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.jafari\Desktop\"/>
    </mc:Choice>
  </mc:AlternateContent>
  <xr:revisionPtr revIDLastSave="0" documentId="13_ncr:1_{6225908E-8402-46FF-BD5F-27C841472B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داده خام" sheetId="1" r:id="rId1"/>
    <sheet name="منطق دسته‌بندی" sheetId="2" r:id="rId2"/>
  </sheets>
  <definedNames>
    <definedName name="_xlnm._FilterDatabase" localSheetId="1" hidden="1">'منطق دسته‌بندی'!$A$1:$C$187</definedName>
    <definedName name="_xlnm.Print_Titles" localSheetId="0">'داده خام'!$1:$1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69" i="1" l="1"/>
  <c r="L369" i="1"/>
  <c r="M413" i="1"/>
  <c r="L413" i="1"/>
  <c r="M386" i="1"/>
  <c r="L386" i="1"/>
  <c r="M368" i="1"/>
  <c r="L368" i="1"/>
  <c r="M347" i="1"/>
  <c r="L347" i="1"/>
  <c r="M450" i="1"/>
  <c r="L450" i="1"/>
  <c r="M380" i="1"/>
  <c r="L380" i="1"/>
  <c r="M438" i="1"/>
  <c r="L438" i="1"/>
  <c r="M342" i="1"/>
  <c r="L342" i="1"/>
  <c r="M399" i="1"/>
  <c r="L399" i="1"/>
  <c r="M437" i="1"/>
  <c r="L437" i="1"/>
  <c r="M346" i="1"/>
  <c r="L346" i="1"/>
  <c r="M398" i="1"/>
  <c r="L398" i="1"/>
  <c r="M428" i="1"/>
  <c r="L428" i="1"/>
  <c r="M367" i="1"/>
  <c r="L367" i="1"/>
  <c r="M379" i="1"/>
  <c r="L379" i="1"/>
  <c r="M404" i="1"/>
  <c r="L404" i="1"/>
  <c r="M442" i="1"/>
  <c r="L442" i="1"/>
  <c r="M385" i="1"/>
  <c r="L385" i="1"/>
  <c r="M449" i="1"/>
  <c r="L449" i="1"/>
  <c r="M378" i="1"/>
  <c r="L378" i="1"/>
  <c r="M397" i="1"/>
  <c r="L397" i="1"/>
  <c r="M436" i="1"/>
  <c r="L436" i="1"/>
  <c r="M427" i="1"/>
  <c r="L427" i="1"/>
  <c r="M424" i="1"/>
  <c r="L424" i="1"/>
  <c r="M412" i="1"/>
  <c r="L412" i="1"/>
  <c r="M394" i="1"/>
  <c r="L394" i="1"/>
  <c r="M423" i="1"/>
  <c r="L423" i="1"/>
  <c r="M389" i="1"/>
  <c r="L389" i="1"/>
  <c r="M366" i="1"/>
  <c r="L366" i="1"/>
  <c r="M405" i="1"/>
  <c r="L405" i="1"/>
  <c r="M431" i="1"/>
  <c r="L431" i="1"/>
  <c r="M395" i="1"/>
  <c r="L395" i="1"/>
  <c r="M331" i="1"/>
  <c r="L331" i="1"/>
  <c r="M344" i="1"/>
  <c r="L344" i="1"/>
  <c r="M330" i="1"/>
  <c r="L330" i="1"/>
  <c r="M372" i="1"/>
  <c r="L372" i="1"/>
  <c r="M414" i="1"/>
  <c r="L414" i="1"/>
  <c r="M422" i="1"/>
  <c r="L422" i="1"/>
  <c r="M388" i="1"/>
  <c r="L388" i="1"/>
  <c r="M411" i="1"/>
  <c r="L411" i="1"/>
  <c r="M410" i="1"/>
  <c r="L410" i="1"/>
  <c r="M377" i="1"/>
  <c r="L377" i="1"/>
  <c r="M373" i="1"/>
  <c r="L373" i="1"/>
  <c r="M376" i="1"/>
  <c r="L376" i="1"/>
  <c r="M421" i="1"/>
  <c r="L421" i="1"/>
  <c r="M408" i="1"/>
  <c r="L408" i="1"/>
  <c r="M433" i="1"/>
  <c r="L433" i="1"/>
  <c r="M390" i="1"/>
  <c r="L390" i="1"/>
  <c r="M355" i="1"/>
  <c r="L355" i="1"/>
  <c r="M337" i="1"/>
  <c r="L337" i="1"/>
  <c r="M327" i="1"/>
  <c r="L327" i="1"/>
  <c r="M448" i="1"/>
  <c r="L448" i="1"/>
  <c r="M364" i="1"/>
  <c r="L364" i="1"/>
  <c r="M340" i="1"/>
  <c r="L340" i="1"/>
  <c r="M447" i="1"/>
  <c r="L447" i="1"/>
  <c r="M341" i="1"/>
  <c r="L341" i="1"/>
  <c r="M416" i="1"/>
  <c r="L416" i="1"/>
  <c r="M354" i="1"/>
  <c r="L354" i="1"/>
  <c r="M403" i="1"/>
  <c r="L403" i="1"/>
  <c r="M383" i="1"/>
  <c r="L383" i="1"/>
  <c r="M384" i="1"/>
  <c r="L384" i="1"/>
  <c r="M441" i="1"/>
  <c r="L441" i="1"/>
  <c r="M420" i="1"/>
  <c r="L420" i="1"/>
  <c r="M446" i="1"/>
  <c r="L446" i="1"/>
  <c r="M401" i="1"/>
  <c r="L401" i="1"/>
  <c r="M353" i="1"/>
  <c r="L353" i="1"/>
  <c r="M426" i="1"/>
  <c r="L426" i="1"/>
  <c r="M396" i="1"/>
  <c r="L396" i="1"/>
  <c r="M350" i="1"/>
  <c r="L350" i="1"/>
  <c r="M349" i="1"/>
  <c r="L349" i="1"/>
  <c r="M371" i="1"/>
  <c r="L371" i="1"/>
  <c r="M400" i="1"/>
  <c r="L400" i="1"/>
  <c r="M363" i="1"/>
  <c r="L363" i="1"/>
  <c r="M430" i="1"/>
  <c r="L430" i="1"/>
  <c r="M439" i="1"/>
  <c r="L439" i="1"/>
  <c r="M432" i="1"/>
  <c r="L432" i="1"/>
  <c r="M338" i="1"/>
  <c r="L338" i="1"/>
  <c r="M352" i="1"/>
  <c r="L352" i="1"/>
  <c r="M425" i="1"/>
  <c r="L425" i="1"/>
  <c r="M334" i="1"/>
  <c r="L334" i="1"/>
  <c r="M419" i="1"/>
  <c r="L419" i="1"/>
  <c r="M435" i="1"/>
  <c r="L435" i="1"/>
  <c r="M445" i="1"/>
  <c r="L445" i="1"/>
  <c r="M375" i="1"/>
  <c r="L375" i="1"/>
  <c r="M362" i="1"/>
  <c r="L362" i="1"/>
  <c r="M351" i="1"/>
  <c r="L351" i="1"/>
  <c r="M339" i="1"/>
  <c r="L339" i="1"/>
  <c r="M391" i="1"/>
  <c r="L391" i="1"/>
  <c r="M407" i="1"/>
  <c r="L407" i="1"/>
  <c r="M357" i="1"/>
  <c r="L357" i="1"/>
  <c r="M382" i="1"/>
  <c r="L382" i="1"/>
  <c r="M406" i="1"/>
  <c r="L406" i="1"/>
  <c r="M332" i="1"/>
  <c r="L332" i="1"/>
  <c r="M444" i="1"/>
  <c r="L444" i="1"/>
  <c r="M336" i="1"/>
  <c r="L336" i="1"/>
  <c r="M429" i="1"/>
  <c r="L429" i="1"/>
  <c r="M329" i="1"/>
  <c r="L329" i="1"/>
  <c r="M417" i="1"/>
  <c r="L417" i="1"/>
  <c r="M409" i="1"/>
  <c r="L409" i="1"/>
  <c r="M381" i="1"/>
  <c r="L381" i="1"/>
  <c r="M392" i="1"/>
  <c r="L392" i="1"/>
  <c r="M393" i="1"/>
  <c r="L393" i="1"/>
  <c r="M359" i="1"/>
  <c r="L359" i="1"/>
  <c r="M348" i="1"/>
  <c r="L348" i="1"/>
  <c r="M345" i="1"/>
  <c r="L345" i="1"/>
  <c r="M361" i="1"/>
  <c r="L361" i="1"/>
  <c r="M343" i="1"/>
  <c r="L343" i="1"/>
  <c r="M328" i="1"/>
  <c r="L328" i="1"/>
  <c r="M360" i="1"/>
  <c r="L360" i="1"/>
  <c r="M356" i="1"/>
  <c r="L356" i="1"/>
  <c r="M440" i="1"/>
  <c r="L440" i="1"/>
  <c r="M374" i="1"/>
  <c r="L374" i="1"/>
  <c r="M335" i="1"/>
  <c r="L335" i="1"/>
  <c r="M434" i="1"/>
  <c r="L434" i="1"/>
  <c r="M358" i="1"/>
  <c r="L358" i="1"/>
  <c r="M443" i="1"/>
  <c r="L443" i="1"/>
  <c r="M415" i="1"/>
  <c r="L415" i="1"/>
  <c r="M402" i="1"/>
  <c r="L402" i="1"/>
  <c r="M365" i="1"/>
  <c r="L365" i="1"/>
  <c r="M370" i="1"/>
  <c r="L370" i="1"/>
  <c r="M333" i="1"/>
  <c r="L333" i="1"/>
  <c r="M387" i="1"/>
  <c r="L387" i="1"/>
  <c r="M418" i="1"/>
  <c r="L418" i="1"/>
  <c r="M326" i="1"/>
  <c r="L326" i="1"/>
  <c r="M325" i="1"/>
  <c r="L325" i="1"/>
  <c r="M324" i="1"/>
  <c r="L324" i="1"/>
  <c r="M323" i="1"/>
  <c r="L323" i="1"/>
  <c r="M322" i="1"/>
  <c r="L322" i="1"/>
  <c r="M321" i="1"/>
  <c r="L321" i="1"/>
  <c r="M320" i="1"/>
  <c r="L320" i="1"/>
  <c r="M319" i="1"/>
  <c r="L319" i="1"/>
  <c r="M318" i="1"/>
  <c r="L318" i="1"/>
  <c r="M317" i="1"/>
  <c r="L317" i="1"/>
  <c r="M316" i="1"/>
  <c r="L316" i="1"/>
  <c r="M315" i="1"/>
  <c r="L315" i="1"/>
  <c r="M314" i="1"/>
  <c r="L314" i="1"/>
  <c r="M313" i="1"/>
  <c r="L313" i="1"/>
  <c r="M312" i="1"/>
  <c r="L312" i="1"/>
  <c r="M311" i="1"/>
  <c r="L311" i="1"/>
  <c r="M310" i="1"/>
  <c r="L310" i="1"/>
  <c r="M309" i="1"/>
  <c r="L309" i="1"/>
  <c r="M308" i="1"/>
  <c r="L308" i="1"/>
  <c r="M307" i="1"/>
  <c r="L307" i="1"/>
  <c r="M306" i="1"/>
  <c r="L306" i="1"/>
  <c r="M305" i="1"/>
  <c r="L305" i="1"/>
  <c r="M304" i="1"/>
  <c r="L304" i="1"/>
  <c r="M303" i="1"/>
  <c r="L303" i="1"/>
  <c r="M302" i="1"/>
  <c r="L302" i="1"/>
  <c r="M301" i="1"/>
  <c r="L301" i="1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4" i="1"/>
  <c r="L4" i="1"/>
  <c r="M3" i="1"/>
  <c r="L3" i="1"/>
  <c r="M2" i="1"/>
  <c r="L2" i="1"/>
</calcChain>
</file>

<file path=xl/sharedStrings.xml><?xml version="1.0" encoding="utf-8"?>
<sst xmlns="http://schemas.openxmlformats.org/spreadsheetml/2006/main" count="5936" uniqueCount="2008">
  <si>
    <t>شماره پذیرش</t>
  </si>
  <si>
    <t>ماه</t>
  </si>
  <si>
    <t>کد ماه</t>
  </si>
  <si>
    <t>نوع محصول</t>
  </si>
  <si>
    <t>مدل</t>
  </si>
  <si>
    <t>شماره سریال</t>
  </si>
  <si>
    <t>اظهار مشتری</t>
  </si>
  <si>
    <t>شرح خرابی</t>
  </si>
  <si>
    <t>تاریخ پذیرش</t>
  </si>
  <si>
    <t>تاریخ تولید</t>
  </si>
  <si>
    <t>تاریخ نصب</t>
  </si>
  <si>
    <t>مدت مصرف (ماه)</t>
  </si>
  <si>
    <t>دسته علت خرابی</t>
  </si>
  <si>
    <t>قطعه تعویضی</t>
  </si>
  <si>
    <t>مراجعه تکراری</t>
  </si>
  <si>
    <t>510018102</t>
  </si>
  <si>
    <t>فروردین</t>
  </si>
  <si>
    <t>1405-01</t>
  </si>
  <si>
    <t>CWM-BMW8T1</t>
  </si>
  <si>
    <t>210100004N00372</t>
  </si>
  <si>
    <t>دفرمگی نوار دور درب ایاب و ذهاب به عهده مشتری</t>
  </si>
  <si>
    <t>دفرمگی لاستیک</t>
  </si>
  <si>
    <t>1405/01/12</t>
  </si>
  <si>
    <t>1403/06/17</t>
  </si>
  <si>
    <t>—</t>
  </si>
  <si>
    <t>خیر</t>
  </si>
  <si>
    <t>210006481</t>
  </si>
  <si>
    <t>52210006N01491</t>
  </si>
  <si>
    <t>صدای غیرعادی هنگام خشک کن — ایاب و ذهاب به عهده شرکت</t>
  </si>
  <si>
    <t>خرابی بلبرینگ</t>
  </si>
  <si>
    <t>1405/01/15</t>
  </si>
  <si>
    <t>1404/05/08</t>
  </si>
  <si>
    <t>1404/09/17</t>
  </si>
  <si>
    <t>بلبرینگ لباسشویی</t>
  </si>
  <si>
    <t>510017937</t>
  </si>
  <si>
    <t>CWM-BMW8V1</t>
  </si>
  <si>
    <t>52210003N01598</t>
  </si>
  <si>
    <t>عدم عملکرد کلیدهای دیسپلی ایاب و ذهاب به عهده شرکت</t>
  </si>
  <si>
    <t>خرابی برد - عدم عملکرد کلیدهای دیسپلی</t>
  </si>
  <si>
    <t>1404/02/25</t>
  </si>
  <si>
    <t>1404/07/13</t>
  </si>
  <si>
    <t>برد لباسشویی</t>
  </si>
  <si>
    <t>130003087</t>
  </si>
  <si>
    <t>ماشین ظرفشویی</t>
  </si>
  <si>
    <t>CDW-H16T</t>
  </si>
  <si>
    <t>52220005N04234</t>
  </si>
  <si>
    <t>خطای F54ایاب و ذهاب به عهده شرکت</t>
  </si>
  <si>
    <t>بدون مورد و اجرت</t>
  </si>
  <si>
    <t>1405/01/16</t>
  </si>
  <si>
    <t>1404/08/08</t>
  </si>
  <si>
    <t>1404/10/10</t>
  </si>
  <si>
    <t>130004233</t>
  </si>
  <si>
    <t>CDW-H15V</t>
  </si>
  <si>
    <t>52220003N00768</t>
  </si>
  <si>
    <t>کسری قطعات تزئینی کابین - کد قطعه در لیست اقدامات درج می گردد. ایاب و ذهاب به عهده شرکت</t>
  </si>
  <si>
    <t>کسری قطعات تزئینی داخل کابین - ظرفشویی</t>
  </si>
  <si>
    <t>1403/04/04</t>
  </si>
  <si>
    <t>1405/01/08</t>
  </si>
  <si>
    <t>130004844</t>
  </si>
  <si>
    <t>تلویزیون</t>
  </si>
  <si>
    <t>CTV-55UHJS2</t>
  </si>
  <si>
    <t>52230003N00664</t>
  </si>
  <si>
    <t>عدم عملکرد ریموت کنترل — ایاب و ذهاب به عهده مشتری</t>
  </si>
  <si>
    <t>ایراد در ریموت کنترل</t>
  </si>
  <si>
    <t>1403/08/13</t>
  </si>
  <si>
    <t>1403/09/29</t>
  </si>
  <si>
    <t>130004876</t>
  </si>
  <si>
    <t>52220002N02754</t>
  </si>
  <si>
    <t>بسته نشدن درب ایاب و ذهاب به عهده شرکت</t>
  </si>
  <si>
    <t>خرابی قلاب میکروسوئیچ</t>
  </si>
  <si>
    <t>1404/08/14</t>
  </si>
  <si>
    <t>1405/01/03</t>
  </si>
  <si>
    <t>میکروسوئیچ 15 نفره</t>
  </si>
  <si>
    <t>130006212</t>
  </si>
  <si>
    <t>52220004N01428</t>
  </si>
  <si>
    <t>ایاب و ذهاب به عهده شرکت — بسته نشدن درب</t>
  </si>
  <si>
    <t>1403/11/02</t>
  </si>
  <si>
    <t>میکروسوئیچ 16 نفره</t>
  </si>
  <si>
    <t>بله</t>
  </si>
  <si>
    <t>130006543</t>
  </si>
  <si>
    <t>52220002N02241</t>
  </si>
  <si>
    <t>خطای F54 — ایاب و ذهاب به عهده شرکت</t>
  </si>
  <si>
    <t>نشتی اورینگ مخزن نمک</t>
  </si>
  <si>
    <t>1404/04/09</t>
  </si>
  <si>
    <t>130006951</t>
  </si>
  <si>
    <t>CWM-BMW8T3</t>
  </si>
  <si>
    <t>52210013N00061</t>
  </si>
  <si>
    <t>جمع شدن آب زیر محصول — ایاب و ذهاب به عهده شرکت</t>
  </si>
  <si>
    <t>نشتی از لاستیک دور درب</t>
  </si>
  <si>
    <t>1404/12/03</t>
  </si>
  <si>
    <t>1405/01/05</t>
  </si>
  <si>
    <t>130007886</t>
  </si>
  <si>
    <t>52210004N00791</t>
  </si>
  <si>
    <t>صدای غیرعادی هنگام خشک کن — مجدد — لرزش و حرکت محصول — ایاب و ذهاب به عهده مشتری</t>
  </si>
  <si>
    <t>1403/02/11</t>
  </si>
  <si>
    <t>130007902</t>
  </si>
  <si>
    <t>CDW-H13V</t>
  </si>
  <si>
    <t>52220001N00661</t>
  </si>
  <si>
    <t>خطای F54 ایاب و ذهاب به عهده شرکت</t>
  </si>
  <si>
    <t>1403/07/07</t>
  </si>
  <si>
    <t>1404/11/04</t>
  </si>
  <si>
    <t>210004764</t>
  </si>
  <si>
    <t>52220005N03644</t>
  </si>
  <si>
    <t>از کار افتادن محصول — ایاب و ذهاب به عهده شرکت</t>
  </si>
  <si>
    <t>ترک در زیر بدنه و شکستگی حوضچه مخزن نمک</t>
  </si>
  <si>
    <t>1404/06/31</t>
  </si>
  <si>
    <t>1404/12/26</t>
  </si>
  <si>
    <t>210005280</t>
  </si>
  <si>
    <t>یخچال مینی</t>
  </si>
  <si>
    <t>MINI-R (BLACK)</t>
  </si>
  <si>
    <t>52240004N00055</t>
  </si>
  <si>
    <t>افتادگی درب/ تنظیم درب — ایاب و ذهاب به عهده شرکت</t>
  </si>
  <si>
    <t>تعویض لولا</t>
  </si>
  <si>
    <t>1403/12/25</t>
  </si>
  <si>
    <t>لولا درب</t>
  </si>
  <si>
    <t>210011071</t>
  </si>
  <si>
    <t>52210006N00699</t>
  </si>
  <si>
    <t>بسته نشدن درب — ایاب و ذهاب به عهده مشتری</t>
  </si>
  <si>
    <t>عدم قرارگیری مهره درب</t>
  </si>
  <si>
    <t>1403/02/05</t>
  </si>
  <si>
    <t>1403/12/09</t>
  </si>
  <si>
    <t>210011141</t>
  </si>
  <si>
    <t>52220005N00355</t>
  </si>
  <si>
    <t>خطای F11 — ایاب و ذهاب به عهده مشتری</t>
  </si>
  <si>
    <t>گرفتگی پمپ تخلیه - غیر گارانتی</t>
  </si>
  <si>
    <t>1403/07/27</t>
  </si>
  <si>
    <t>210011525</t>
  </si>
  <si>
    <t>یخچال ساید‌بای‌ساید</t>
  </si>
  <si>
    <t>C2S-29HS1</t>
  </si>
  <si>
    <t>52240001N02140</t>
  </si>
  <si>
    <t>تعویض فیلتر - غیرگارانتی</t>
  </si>
  <si>
    <t>تعویض فیلتر / غیرگارانتی - ساید بای ساید</t>
  </si>
  <si>
    <t>1403/10/16</t>
  </si>
  <si>
    <t>1404/05/04</t>
  </si>
  <si>
    <t>210011669</t>
  </si>
  <si>
    <t>52240001N01024</t>
  </si>
  <si>
    <t>1403/04/13</t>
  </si>
  <si>
    <t>1404/06/04</t>
  </si>
  <si>
    <t>210012260</t>
  </si>
  <si>
    <t>52240001N00401</t>
  </si>
  <si>
    <t>1403/04/03</t>
  </si>
  <si>
    <t>1403/09/28</t>
  </si>
  <si>
    <t>210012633</t>
  </si>
  <si>
    <t>CWM-BMW9T1</t>
  </si>
  <si>
    <t>52210008N00788</t>
  </si>
  <si>
    <t>لرزش و حرکت محصول غیرگارانتی</t>
  </si>
  <si>
    <t>تراز پایه تنظیم</t>
  </si>
  <si>
    <t>1404/02/22</t>
  </si>
  <si>
    <t>1404/08/11</t>
  </si>
  <si>
    <t>210012658</t>
  </si>
  <si>
    <t>52240001N01707</t>
  </si>
  <si>
    <t>1403/08/10</t>
  </si>
  <si>
    <t>1403/12/13</t>
  </si>
  <si>
    <t>310000306</t>
  </si>
  <si>
    <t>52220005N01360</t>
  </si>
  <si>
    <t>عدم شست و شوی کامل ظروف — ایاب و ذهاب به عهده شرکت</t>
  </si>
  <si>
    <t>خرابی شیربرقی</t>
  </si>
  <si>
    <t>1404/11/28</t>
  </si>
  <si>
    <t>شیر برقی ظرفشویی</t>
  </si>
  <si>
    <t>510015832</t>
  </si>
  <si>
    <t>CWM-BMW8T2</t>
  </si>
  <si>
    <t>52210009N01186</t>
  </si>
  <si>
    <t>صدای غیرعادی هنگام خشک کن — ایاب و ذهاب به عهده شرکت — مجدد</t>
  </si>
  <si>
    <t>1404/04/19</t>
  </si>
  <si>
    <t>1404/04/31</t>
  </si>
  <si>
    <t>رگلاژ پایه تنظیم لباسشویی</t>
  </si>
  <si>
    <t>510019851</t>
  </si>
  <si>
    <t>1405/01/20</t>
  </si>
  <si>
    <t>710000247</t>
  </si>
  <si>
    <t>52220004N01671</t>
  </si>
  <si>
    <t>خرابی پمپ تخلیه</t>
  </si>
  <si>
    <t>1403/11/09</t>
  </si>
  <si>
    <t>پمپ تخلیه ظرفشویی</t>
  </si>
  <si>
    <t>710000446</t>
  </si>
  <si>
    <t>52220004N02498</t>
  </si>
  <si>
    <t>1404/02/01</t>
  </si>
  <si>
    <t>1404/12/23</t>
  </si>
  <si>
    <t>710001924</t>
  </si>
  <si>
    <t>52240001N02052</t>
  </si>
  <si>
    <t>خطای ER — ایاب و ذهاب به عهده شرکت</t>
  </si>
  <si>
    <t>خرابی مگنت درب</t>
  </si>
  <si>
    <t>1403/09/20</t>
  </si>
  <si>
    <t>1404/12/28</t>
  </si>
  <si>
    <t>مگنت درب</t>
  </si>
  <si>
    <t>710002117</t>
  </si>
  <si>
    <t>210140001N00091</t>
  </si>
  <si>
    <t>خطای F54 ایاب و ذهاب به عهده مشتری</t>
  </si>
  <si>
    <t>نشتی از جا قرصی</t>
  </si>
  <si>
    <t>1402/10/21</t>
  </si>
  <si>
    <t>1403/02/04</t>
  </si>
  <si>
    <t>753605</t>
  </si>
  <si>
    <t>52230003N00020</t>
  </si>
  <si>
    <t>پرش تصویر — ایاب و ذهاب به عهده شرکت</t>
  </si>
  <si>
    <t>پرش تصویر</t>
  </si>
  <si>
    <t>1403/06/15</t>
  </si>
  <si>
    <t>1404/02/20</t>
  </si>
  <si>
    <t>برد تلویزیون</t>
  </si>
  <si>
    <t>754522</t>
  </si>
  <si>
    <t>نشتی از مقسم آب</t>
  </si>
  <si>
    <t>1402/12/01</t>
  </si>
  <si>
    <t>759882</t>
  </si>
  <si>
    <t>52220005N04785</t>
  </si>
  <si>
    <t>خطای F11 — ایاب و ذهاب به عهده شرکت</t>
  </si>
  <si>
    <t>1404/08/22</t>
  </si>
  <si>
    <t>1404/09/02</t>
  </si>
  <si>
    <t>760111</t>
  </si>
  <si>
    <t>نشتی درب مخزن نمک</t>
  </si>
  <si>
    <t>1404/12/17</t>
  </si>
  <si>
    <t>760484</t>
  </si>
  <si>
    <t>210100007N00317</t>
  </si>
  <si>
    <t>نشتی از جاپودری</t>
  </si>
  <si>
    <t>1402/12/26</t>
  </si>
  <si>
    <t>760495</t>
  </si>
  <si>
    <t>52240001N01136</t>
  </si>
  <si>
    <t>عدم کارکرد یخساز — ایاب و ذهاب به عهده شرکت</t>
  </si>
  <si>
    <t>اصلاح دمپر پلاستیکی</t>
  </si>
  <si>
    <t>1403/04/28</t>
  </si>
  <si>
    <t>1404/04/25</t>
  </si>
  <si>
    <t>760655</t>
  </si>
  <si>
    <t>52210010N01699</t>
  </si>
  <si>
    <t>تنظیم سوکت برد</t>
  </si>
  <si>
    <t>1404/07/17</t>
  </si>
  <si>
    <t>1404/08/07</t>
  </si>
  <si>
    <t>761052</t>
  </si>
  <si>
    <t>لرزش و حرکت محصول — ایاب و ذهاب به عهده شرکت</t>
  </si>
  <si>
    <t>761565</t>
  </si>
  <si>
    <t>1404/01/30</t>
  </si>
  <si>
    <t>761626</t>
  </si>
  <si>
    <t>52210007N00625</t>
  </si>
  <si>
    <t>1404/02/11</t>
  </si>
  <si>
    <t>761918</t>
  </si>
  <si>
    <t>نشتی پمپ تخلیه</t>
  </si>
  <si>
    <t>1403/12/18</t>
  </si>
  <si>
    <t>نشتی پمپ ظرفشویی</t>
  </si>
  <si>
    <t>762205</t>
  </si>
  <si>
    <t>خرابی زبانه</t>
  </si>
  <si>
    <t>1403/03/19</t>
  </si>
  <si>
    <t>زبانه درب لباسشویی</t>
  </si>
  <si>
    <t>810001656</t>
  </si>
  <si>
    <t>52220005N02458</t>
  </si>
  <si>
    <t>خرابی هیدروستات</t>
  </si>
  <si>
    <t>1404/01/26</t>
  </si>
  <si>
    <t>هیدروستات ظرفشویی</t>
  </si>
  <si>
    <t>810003180</t>
  </si>
  <si>
    <t>1405/01/06</t>
  </si>
  <si>
    <t>810003206</t>
  </si>
  <si>
    <t>810003215</t>
  </si>
  <si>
    <t>1404/03/07</t>
  </si>
  <si>
    <t>100003885</t>
  </si>
  <si>
    <t>CTV-65UHJS2</t>
  </si>
  <si>
    <t>52230004N00236</t>
  </si>
  <si>
    <t>عدم عملکرد ریموت کنترل — ایاب و ذهاب به عهده شرکت</t>
  </si>
  <si>
    <t>1405/01/17</t>
  </si>
  <si>
    <t>1403/11/29</t>
  </si>
  <si>
    <t>1404/02/14</t>
  </si>
  <si>
    <t>130006240</t>
  </si>
  <si>
    <t>52210008N00610</t>
  </si>
  <si>
    <t>صدای غیرعادی هنگام خشک کن ایاب و ذهاب به عهده شرکت</t>
  </si>
  <si>
    <t>1404/02/13</t>
  </si>
  <si>
    <t>210011406</t>
  </si>
  <si>
    <t>52240001N01659</t>
  </si>
  <si>
    <t>1403/08/30</t>
  </si>
  <si>
    <t>1404/05/13</t>
  </si>
  <si>
    <t>310000301</t>
  </si>
  <si>
    <t>210120001N00311</t>
  </si>
  <si>
    <t>عدم کارکرد یخساز — ایاب و ذهاب به عهده مشتری</t>
  </si>
  <si>
    <t>شکستگی کاور بالای یخساز - ساید بای ساید</t>
  </si>
  <si>
    <t>1403/03/06</t>
  </si>
  <si>
    <t>1403/10/18</t>
  </si>
  <si>
    <t>کاور بالای یخساز</t>
  </si>
  <si>
    <t>310003960</t>
  </si>
  <si>
    <t>210100006N00224</t>
  </si>
  <si>
    <t>از کار افتادن محصول — ایاب و ذهاب به عهده مشتری</t>
  </si>
  <si>
    <t>خرابی دیسپلی - عدم عملکرد کلیدهای دیسپلی - لباسشویی</t>
  </si>
  <si>
    <t>1402/09/29</t>
  </si>
  <si>
    <t>1403/07/26</t>
  </si>
  <si>
    <t>710002184</t>
  </si>
  <si>
    <t>52240001N02112</t>
  </si>
  <si>
    <t>اصلاح دمپر پلاستیکی پشت کابین - ساید بای ساید</t>
  </si>
  <si>
    <t>762888</t>
  </si>
  <si>
    <t>210120001N00046</t>
  </si>
  <si>
    <t>خرابی برد - عدم کارکرد یخساز - ساید بای ساید</t>
  </si>
  <si>
    <t>1403/09/03</t>
  </si>
  <si>
    <t>برد ساید بای ساید</t>
  </si>
  <si>
    <t>762981</t>
  </si>
  <si>
    <t>صدای غیرعادی هنگام خشک کن</t>
  </si>
  <si>
    <t>763020</t>
  </si>
  <si>
    <t>تنظیم تایم آبگیری یخساز - ساید بای ساید</t>
  </si>
  <si>
    <t>130004819</t>
  </si>
  <si>
    <t>52220004N03052</t>
  </si>
  <si>
    <t>خرابی واترجت</t>
  </si>
  <si>
    <t>1405/01/18</t>
  </si>
  <si>
    <t>1404/05/27</t>
  </si>
  <si>
    <t>1404/06/15</t>
  </si>
  <si>
    <t>واترجت ظرفشویی</t>
  </si>
  <si>
    <t>130004825</t>
  </si>
  <si>
    <t>52210007N01247</t>
  </si>
  <si>
    <t>1404/05/09</t>
  </si>
  <si>
    <t>1404/09/27</t>
  </si>
  <si>
    <t>210011577</t>
  </si>
  <si>
    <t>52210006N01611</t>
  </si>
  <si>
    <t>خطای LE ایاب و ذهاب به عهده شرکت</t>
  </si>
  <si>
    <t>نشتی از شیلنگ ورودی آب</t>
  </si>
  <si>
    <t>1404/06/24</t>
  </si>
  <si>
    <t>1404/07/15</t>
  </si>
  <si>
    <t>310003983</t>
  </si>
  <si>
    <t>52210003N01422</t>
  </si>
  <si>
    <t>ضربه کابین — غیرگارانتی</t>
  </si>
  <si>
    <t>ضربه کابین</t>
  </si>
  <si>
    <t>1403/10/17</t>
  </si>
  <si>
    <t>510018492</t>
  </si>
  <si>
    <t>52220002N02794</t>
  </si>
  <si>
    <t>1404/08/28</t>
  </si>
  <si>
    <t>1404/12/09</t>
  </si>
  <si>
    <t>763201</t>
  </si>
  <si>
    <t>52220005N03892</t>
  </si>
  <si>
    <t>1404/07/14</t>
  </si>
  <si>
    <t>810001653</t>
  </si>
  <si>
    <t>210100007N00374</t>
  </si>
  <si>
    <t>عدم عملکرد کلیدهای دیسپلی — ایاب و ذهاب به عهده مشتری</t>
  </si>
  <si>
    <t>1403/01/11</t>
  </si>
  <si>
    <t>210004811</t>
  </si>
  <si>
    <t>210100007N00366</t>
  </si>
  <si>
    <t>نشتی از شیلنگ تخلیه آب</t>
  </si>
  <si>
    <t>1405/01/19</t>
  </si>
  <si>
    <t>1404/11/02</t>
  </si>
  <si>
    <t>210004824</t>
  </si>
  <si>
    <t>52240001N01153</t>
  </si>
  <si>
    <t>عدم کارکرد یخساز — عدم خروج آب از آبسردکن — ایاب و ذهاب به عهده شرکت</t>
  </si>
  <si>
    <t>1403/04/27</t>
  </si>
  <si>
    <t>1404/04/16</t>
  </si>
  <si>
    <t>210004827</t>
  </si>
  <si>
    <t>52240001N01238</t>
  </si>
  <si>
    <t>1403/05/17</t>
  </si>
  <si>
    <t>210006037</t>
  </si>
  <si>
    <t>MINI-R (BK01)</t>
  </si>
  <si>
    <t>52240002N00380</t>
  </si>
  <si>
    <t>رنگ پریدگی درب ایاب و ذهاب به عهده شرکت</t>
  </si>
  <si>
    <t>رنگ پریدگی درب - یخچال مینی</t>
  </si>
  <si>
    <t>1403/10/26</t>
  </si>
  <si>
    <t>210006383</t>
  </si>
  <si>
    <t>210100005N00006</t>
  </si>
  <si>
    <t>ایاب و ذهاب به عهده مشتری بسته نشدن درب</t>
  </si>
  <si>
    <t>خرابی میکروسوئیچ</t>
  </si>
  <si>
    <t>1402/08/15</t>
  </si>
  <si>
    <t>میکروسوئیچ لباسشویی</t>
  </si>
  <si>
    <t>210010946</t>
  </si>
  <si>
    <t>52220004N02580</t>
  </si>
  <si>
    <t>ریست دستگاه - ظرفشویی</t>
  </si>
  <si>
    <t>1404/02/05</t>
  </si>
  <si>
    <t>1403/10/30</t>
  </si>
  <si>
    <t>210015748</t>
  </si>
  <si>
    <t>52220005N02291</t>
  </si>
  <si>
    <t>قطعی درخت سیم -غیر گارانتی</t>
  </si>
  <si>
    <t>1404/01/23</t>
  </si>
  <si>
    <t>1404/05/29</t>
  </si>
  <si>
    <t>710002358</t>
  </si>
  <si>
    <t>52220005N04863</t>
  </si>
  <si>
    <t>1404/10/24</t>
  </si>
  <si>
    <t>763731</t>
  </si>
  <si>
    <t>130004237</t>
  </si>
  <si>
    <t>52220005N04878</t>
  </si>
  <si>
    <t>210011917</t>
  </si>
  <si>
    <t>52220005N04894</t>
  </si>
  <si>
    <t>عدم تخلیه آب تمیز داخل درام — ایاب و ذهاب به عهده شرکت</t>
  </si>
  <si>
    <t>نشتی از شیلنگ ورودی</t>
  </si>
  <si>
    <t>1404/08/24</t>
  </si>
  <si>
    <t>510018481</t>
  </si>
  <si>
    <t>52210008N01227</t>
  </si>
  <si>
    <t>پارگی لاستیک</t>
  </si>
  <si>
    <t>1404/05/12</t>
  </si>
  <si>
    <t>نوار گسکت/لاستیک درب ماشین لباسشویی</t>
  </si>
  <si>
    <t>764016</t>
  </si>
  <si>
    <t>نشتی شیلنگ ورودی</t>
  </si>
  <si>
    <t>764154</t>
  </si>
  <si>
    <t>52220004N04742</t>
  </si>
  <si>
    <t>1405/01/21</t>
  </si>
  <si>
    <t>1404/10/11</t>
  </si>
  <si>
    <t>810003210</t>
  </si>
  <si>
    <t>CDW-H16TS1</t>
  </si>
  <si>
    <t>130006264</t>
  </si>
  <si>
    <t>52220005N03807</t>
  </si>
  <si>
    <t>1405/01/22</t>
  </si>
  <si>
    <t>1404/07/07</t>
  </si>
  <si>
    <t>1404/08/13</t>
  </si>
  <si>
    <t>210004826</t>
  </si>
  <si>
    <t>52240001N01229</t>
  </si>
  <si>
    <t>عدم کارکرد یخسازایاب و ذهاب به عهده شرکت</t>
  </si>
  <si>
    <t>1403/05/12</t>
  </si>
  <si>
    <t>1404/04/28</t>
  </si>
  <si>
    <t>210012002</t>
  </si>
  <si>
    <t>CM-RS5BK1</t>
  </si>
  <si>
    <t>52240002N00838</t>
  </si>
  <si>
    <t>گرم شدن محصول — ایاب و ذهاب به عهده شرکت</t>
  </si>
  <si>
    <t>خرابی ترموستات - یخچال مینی</t>
  </si>
  <si>
    <t>1403/12/11</t>
  </si>
  <si>
    <t>1404/05/28</t>
  </si>
  <si>
    <t>ترموستات مینی</t>
  </si>
  <si>
    <t>210012126</t>
  </si>
  <si>
    <t>52220004N01662</t>
  </si>
  <si>
    <t>1404/04/21</t>
  </si>
  <si>
    <t>210015866</t>
  </si>
  <si>
    <t>52240001N01260</t>
  </si>
  <si>
    <t>1403/05/21</t>
  </si>
  <si>
    <t>310000300</t>
  </si>
  <si>
    <t>210100006N00072</t>
  </si>
  <si>
    <t>صدای غیرعادی هنگام خشک کن — ایاب و ذهاب به عهده مشتری</t>
  </si>
  <si>
    <t>تاب درام</t>
  </si>
  <si>
    <t>1402/09/19</t>
  </si>
  <si>
    <t>1404/04/29</t>
  </si>
  <si>
    <t>مجموعه درام ماشین لباسشویی</t>
  </si>
  <si>
    <t>764237</t>
  </si>
  <si>
    <t>764320</t>
  </si>
  <si>
    <t>52240001N01950</t>
  </si>
  <si>
    <t>یخزدگی شیلنگ داخل درب - ساید بای ساید</t>
  </si>
  <si>
    <t>1403/09/07</t>
  </si>
  <si>
    <t>1404/05/05</t>
  </si>
  <si>
    <t>764368</t>
  </si>
  <si>
    <t>52220005N02936</t>
  </si>
  <si>
    <t>1404/03/06</t>
  </si>
  <si>
    <t>1404/08/01</t>
  </si>
  <si>
    <t>764462</t>
  </si>
  <si>
    <t>764466</t>
  </si>
  <si>
    <t>52220002N01514</t>
  </si>
  <si>
    <t>باز شدن درب حین شست و شو ایاب و ذهاب به عهده شرکت</t>
  </si>
  <si>
    <t>1403/11/01</t>
  </si>
  <si>
    <t>764504</t>
  </si>
  <si>
    <t>خرابی ترموستات</t>
  </si>
  <si>
    <t>1404/05/31</t>
  </si>
  <si>
    <t>810003208</t>
  </si>
  <si>
    <t>810003274</t>
  </si>
  <si>
    <t>52230004N00072</t>
  </si>
  <si>
    <t>ایاب و ذهاب به عهده مشتری مشاهده خطوط در نمایش تصویر</t>
  </si>
  <si>
    <t>بدون مورد اجرت</t>
  </si>
  <si>
    <t>1403/07/25</t>
  </si>
  <si>
    <t>1404/03/27</t>
  </si>
  <si>
    <t>130004236</t>
  </si>
  <si>
    <t>52220005N00628</t>
  </si>
  <si>
    <t>تنظیم دیسپلی ( مایع جلادهنده/ صدای دیسپلی)</t>
  </si>
  <si>
    <t>1405/01/23</t>
  </si>
  <si>
    <t>130004793</t>
  </si>
  <si>
    <t>52220002N02226</t>
  </si>
  <si>
    <t>1403/10/27</t>
  </si>
  <si>
    <t>210004825</t>
  </si>
  <si>
    <t>52240001N01196</t>
  </si>
  <si>
    <t>عدم کارکرد یخساز ایاب و ذهاب به عهده شرکت</t>
  </si>
  <si>
    <t>خرابی موتور یخساز - ساید بای ساید</t>
  </si>
  <si>
    <t>1403/04/24</t>
  </si>
  <si>
    <t>1404/03/12</t>
  </si>
  <si>
    <t>خرابی موتور یخساز ساید</t>
  </si>
  <si>
    <t>510016237</t>
  </si>
  <si>
    <t>52220005N00902</t>
  </si>
  <si>
    <t>1404/06/01</t>
  </si>
  <si>
    <t>510019989</t>
  </si>
  <si>
    <t>52220002N02711</t>
  </si>
  <si>
    <t>510020243</t>
  </si>
  <si>
    <t>52210007N01378</t>
  </si>
  <si>
    <t>510020264</t>
  </si>
  <si>
    <t>100003921</t>
  </si>
  <si>
    <t>52220005N00318</t>
  </si>
  <si>
    <t>1405/01/24</t>
  </si>
  <si>
    <t>1403/07/28</t>
  </si>
  <si>
    <t>1404/03/31</t>
  </si>
  <si>
    <t>130004239</t>
  </si>
  <si>
    <t>52240001N01972</t>
  </si>
  <si>
    <t>1403/09/08</t>
  </si>
  <si>
    <t>130006277</t>
  </si>
  <si>
    <t>52220004N05131</t>
  </si>
  <si>
    <t>1404/08/29</t>
  </si>
  <si>
    <t>1404/09/09</t>
  </si>
  <si>
    <t>130007683</t>
  </si>
  <si>
    <t>52220003N02786</t>
  </si>
  <si>
    <t>شکستگی قطعات تزئینی کابین- کد قطعه در لیست اقدامات درج می گردد. — ایاب و ذهاب به عهده شرکت</t>
  </si>
  <si>
    <t>شکستگی سبد بالا</t>
  </si>
  <si>
    <t>1404/08/15</t>
  </si>
  <si>
    <t>1404/12/11</t>
  </si>
  <si>
    <t>سبد ظرفشویی</t>
  </si>
  <si>
    <t>شکستگی سبد پایین</t>
  </si>
  <si>
    <t>210004815</t>
  </si>
  <si>
    <t>52210003N01998</t>
  </si>
  <si>
    <t>جمع شدن آب داخل محصول — ایاب و ذهاب به عهده شرکت</t>
  </si>
  <si>
    <t>شیر برقی لباسشویی</t>
  </si>
  <si>
    <t>210006131</t>
  </si>
  <si>
    <t>52210006N01567</t>
  </si>
  <si>
    <t>1404/05/15</t>
  </si>
  <si>
    <t>1404/10/14</t>
  </si>
  <si>
    <t>210012249</t>
  </si>
  <si>
    <t>MINI-R (RE01)</t>
  </si>
  <si>
    <t>52240003N00589</t>
  </si>
  <si>
    <t>شکستگی قطعات تزئینی داخل کابین - یخچال مینی</t>
  </si>
  <si>
    <t>1403/10/24</t>
  </si>
  <si>
    <t>1404/10/08</t>
  </si>
  <si>
    <t>قطعه تزئینی داخل کابین یخچال مینی</t>
  </si>
  <si>
    <t>210012274</t>
  </si>
  <si>
    <t>52220002N01411</t>
  </si>
  <si>
    <t>زنگ زدگی کابین ایاب و ذهاب به عهده شرکت</t>
  </si>
  <si>
    <t>زنگ زدگی کابین</t>
  </si>
  <si>
    <t>1403/08/06</t>
  </si>
  <si>
    <t>510020027</t>
  </si>
  <si>
    <t>210140002N00260</t>
  </si>
  <si>
    <t>1404/05/01</t>
  </si>
  <si>
    <t>1404/05/02</t>
  </si>
  <si>
    <t>510022350</t>
  </si>
  <si>
    <t>52240001N00642</t>
  </si>
  <si>
    <t>1403/04/06</t>
  </si>
  <si>
    <t>1403/09/27</t>
  </si>
  <si>
    <t>765124</t>
  </si>
  <si>
    <t>52210008N01023</t>
  </si>
  <si>
    <t>برخورد شیلنگ رابط هوا به درام فلزی</t>
  </si>
  <si>
    <t>1404/04/12</t>
  </si>
  <si>
    <t>1404/08/20</t>
  </si>
  <si>
    <t>765427</t>
  </si>
  <si>
    <t>810003207</t>
  </si>
  <si>
    <t>810003432</t>
  </si>
  <si>
    <t>52220003N01306</t>
  </si>
  <si>
    <t>نشتی از شیلنگ تخلیه</t>
  </si>
  <si>
    <t>1403/07/23</t>
  </si>
  <si>
    <t>1404/02/15</t>
  </si>
  <si>
    <t>130008509</t>
  </si>
  <si>
    <t>CWM-BMW7.5VI1</t>
  </si>
  <si>
    <t>52210002N00408</t>
  </si>
  <si>
    <t>پارگی لباس ایاب و ذهاب به عهده شرکت</t>
  </si>
  <si>
    <t>زنگ زدگی درام</t>
  </si>
  <si>
    <t>1405/01/25</t>
  </si>
  <si>
    <t>210012285</t>
  </si>
  <si>
    <t>52220004N02595</t>
  </si>
  <si>
    <t>گرفتگی پمپ تخلیه</t>
  </si>
  <si>
    <t>210012289</t>
  </si>
  <si>
    <t>52220005N03900</t>
  </si>
  <si>
    <t>1404/08/26</t>
  </si>
  <si>
    <t>765575</t>
  </si>
  <si>
    <t>نشتی شیلنگ تخلیه</t>
  </si>
  <si>
    <t>130004708</t>
  </si>
  <si>
    <t>52220001N00786</t>
  </si>
  <si>
    <t>نشتی مهره مخزن نمک</t>
  </si>
  <si>
    <t>1405/01/26</t>
  </si>
  <si>
    <t>1404/09/12</t>
  </si>
  <si>
    <t>130004710</t>
  </si>
  <si>
    <t>52220004N02840</t>
  </si>
  <si>
    <t>1404/02/30</t>
  </si>
  <si>
    <t>1404/10/15</t>
  </si>
  <si>
    <t>130004712</t>
  </si>
  <si>
    <t>52210008N00836</t>
  </si>
  <si>
    <t>1404/03/04</t>
  </si>
  <si>
    <t>1404/05/21</t>
  </si>
  <si>
    <t>پمپ تخلیه لباسشویی</t>
  </si>
  <si>
    <t>130006273</t>
  </si>
  <si>
    <t>52240001N02021</t>
  </si>
  <si>
    <t>1403/09/13</t>
  </si>
  <si>
    <t>130006278</t>
  </si>
  <si>
    <t>210140001N00103</t>
  </si>
  <si>
    <t>1402/10/26</t>
  </si>
  <si>
    <t>210010892</t>
  </si>
  <si>
    <t>52210009N01809</t>
  </si>
  <si>
    <t>دفرمگی نوار دور درب ایاب و ذهاب به عهده شرکت</t>
  </si>
  <si>
    <t>510020282</t>
  </si>
  <si>
    <t>52240001N01500</t>
  </si>
  <si>
    <t>یخزدگی مواد غذایی در تمام طبقات — ایاب و ذهاب به عهده شرکت</t>
  </si>
  <si>
    <t>خرابی سنسور دمای کابین یخچال - ساید بای ساید</t>
  </si>
  <si>
    <t>1403/07/17</t>
  </si>
  <si>
    <t>ترموستات ساید بای ساید</t>
  </si>
  <si>
    <t>765614</t>
  </si>
  <si>
    <t>52220004N01531</t>
  </si>
  <si>
    <t>رگلاژ درب / لولا درب</t>
  </si>
  <si>
    <t>1403/11/07</t>
  </si>
  <si>
    <t>765741</t>
  </si>
  <si>
    <t>خرابی برد</t>
  </si>
  <si>
    <t>765793</t>
  </si>
  <si>
    <t>دفرمگی نوار دور درب — ایاب و ذهاب به عهده شرکت</t>
  </si>
  <si>
    <t>دفرمگی نوار گسگت</t>
  </si>
  <si>
    <t>1404/11/12</t>
  </si>
  <si>
    <t>810003573</t>
  </si>
  <si>
    <t>52220003N01755</t>
  </si>
  <si>
    <t>خطای F54 — ایاب و ذهاب به عهده مشتری</t>
  </si>
  <si>
    <t>نشتی از اورینگ پمپ تخلیه</t>
  </si>
  <si>
    <t>1403/11/04</t>
  </si>
  <si>
    <t>1403/12/16</t>
  </si>
  <si>
    <t>130004703</t>
  </si>
  <si>
    <t>52220004N04970</t>
  </si>
  <si>
    <t>1405/01/27</t>
  </si>
  <si>
    <t>1404/12/05</t>
  </si>
  <si>
    <t>210004819</t>
  </si>
  <si>
    <t>52210010N01829</t>
  </si>
  <si>
    <t>1404/06/22</t>
  </si>
  <si>
    <t>1403/04/18</t>
  </si>
  <si>
    <t>210011129</t>
  </si>
  <si>
    <t>52220004N03782</t>
  </si>
  <si>
    <t>لولا تنظیم / رگلاژ درب</t>
  </si>
  <si>
    <t>1404/07/28</t>
  </si>
  <si>
    <t>1404/10/23</t>
  </si>
  <si>
    <t>210012326</t>
  </si>
  <si>
    <t>210120001N00234</t>
  </si>
  <si>
    <t>تعویض لولای پایین - ساید بای ساید</t>
  </si>
  <si>
    <t>1403/03/20</t>
  </si>
  <si>
    <t>لولا پایین ساید بای ساید</t>
  </si>
  <si>
    <t>510016363</t>
  </si>
  <si>
    <t>52210009N00574</t>
  </si>
  <si>
    <t>1404/02/02</t>
  </si>
  <si>
    <t>510018453</t>
  </si>
  <si>
    <t>52220004N01583</t>
  </si>
  <si>
    <t>تعویض لوگو — ایاب و ذهاب به عهده شرکت</t>
  </si>
  <si>
    <t>1403/12/04</t>
  </si>
  <si>
    <t>1405/02/13</t>
  </si>
  <si>
    <t>510020302</t>
  </si>
  <si>
    <t>510020309</t>
  </si>
  <si>
    <t>210100003N00328</t>
  </si>
  <si>
    <t>1402/10/23</t>
  </si>
  <si>
    <t>1403/02/09</t>
  </si>
  <si>
    <t>766169</t>
  </si>
  <si>
    <t>130004231</t>
  </si>
  <si>
    <t>52210005N01155</t>
  </si>
  <si>
    <t>جمع شدن آب داخل محصول — ایاب و ذهاب به عهده مشتری</t>
  </si>
  <si>
    <t>1405/01/29</t>
  </si>
  <si>
    <t>1403/02/17</t>
  </si>
  <si>
    <t>1403/08/27</t>
  </si>
  <si>
    <t>130004235</t>
  </si>
  <si>
    <t>52220004N01975</t>
  </si>
  <si>
    <t>1403/12/06</t>
  </si>
  <si>
    <t>1404/06/17</t>
  </si>
  <si>
    <t>210005374</t>
  </si>
  <si>
    <t>52240001N00523</t>
  </si>
  <si>
    <t>عدم کارکرد یخساز — مجدد — ایاب و ذهاب به عهده شرکت</t>
  </si>
  <si>
    <t>1403/03/27</t>
  </si>
  <si>
    <t>210005441</t>
  </si>
  <si>
    <t>52240001N01596</t>
  </si>
  <si>
    <t>ایاب و ذهاب به عهده شرکت — جدا شدن قالب یخساز</t>
  </si>
  <si>
    <t>1403/07/22</t>
  </si>
  <si>
    <t>210005449</t>
  </si>
  <si>
    <t>52240002N01230</t>
  </si>
  <si>
    <t>ایاب و ذهاب به عهده شرکت خاموش بودن LED کاور / سقفی</t>
  </si>
  <si>
    <t>خرابی ال ای دی داخل کابین - یخچال مینی</t>
  </si>
  <si>
    <t>1404/05/22</t>
  </si>
  <si>
    <t>1404/08/10</t>
  </si>
  <si>
    <t>لامپ مینی</t>
  </si>
  <si>
    <t>510018164</t>
  </si>
  <si>
    <t>52210007N00839</t>
  </si>
  <si>
    <t>پارگی نوار دور درب — ایاب و ذهاب به عهده شرکت</t>
  </si>
  <si>
    <t>1404/04/02</t>
  </si>
  <si>
    <t>510019960</t>
  </si>
  <si>
    <t>52210005N01679</t>
  </si>
  <si>
    <t>بسته نشدن درب — ایاب و ذهاب به عهده شرکت</t>
  </si>
  <si>
    <t>1404/07/21</t>
  </si>
  <si>
    <t>766636</t>
  </si>
  <si>
    <t>210140001N00211</t>
  </si>
  <si>
    <t>1402/11/05</t>
  </si>
  <si>
    <t>1404/02/03</t>
  </si>
  <si>
    <t>810001791</t>
  </si>
  <si>
    <t>52210009N00298</t>
  </si>
  <si>
    <t>1404/12/21</t>
  </si>
  <si>
    <t>810001819</t>
  </si>
  <si>
    <t>52220004N05167</t>
  </si>
  <si>
    <t>810003135</t>
  </si>
  <si>
    <t>نشتی اورینگ پمپ تخلیه</t>
  </si>
  <si>
    <t>210004817</t>
  </si>
  <si>
    <t>52210010N00366</t>
  </si>
  <si>
    <t>لرزش و حرکت محصول — صدای غیرعادی هنگام خشک کن — ایاب و ذهاب به عهده شرکت</t>
  </si>
  <si>
    <t>1405/01/30</t>
  </si>
  <si>
    <t>1403/11/23</t>
  </si>
  <si>
    <t>510020328</t>
  </si>
  <si>
    <t>صدای غیرعادی پمپ تخلیه</t>
  </si>
  <si>
    <t>767088</t>
  </si>
  <si>
    <t>767187</t>
  </si>
  <si>
    <t>210004823</t>
  </si>
  <si>
    <t>52220004N02355</t>
  </si>
  <si>
    <t>1405/01/31</t>
  </si>
  <si>
    <t>1404/05/14</t>
  </si>
  <si>
    <t>767776</t>
  </si>
  <si>
    <t>اردیبهشت</t>
  </si>
  <si>
    <t>1405-02</t>
  </si>
  <si>
    <t>52220005N00726</t>
  </si>
  <si>
    <t>1405/02/01</t>
  </si>
  <si>
    <t>1403/08/15</t>
  </si>
  <si>
    <t>1404/04/24</t>
  </si>
  <si>
    <t>768255</t>
  </si>
  <si>
    <t>52210007N00761</t>
  </si>
  <si>
    <t>1405/02/02</t>
  </si>
  <si>
    <t>1404/02/19</t>
  </si>
  <si>
    <t>768502</t>
  </si>
  <si>
    <t>52210010N01056</t>
  </si>
  <si>
    <t>1405/02/03</t>
  </si>
  <si>
    <t>1404/03/03</t>
  </si>
  <si>
    <t>768535</t>
  </si>
  <si>
    <t>52220005N02662</t>
  </si>
  <si>
    <t>نشتی از براکت ریل وسط</t>
  </si>
  <si>
    <t>1404/02/06</t>
  </si>
  <si>
    <t>1404/08/12</t>
  </si>
  <si>
    <t>768537</t>
  </si>
  <si>
    <t>52220004N01168</t>
  </si>
  <si>
    <t>جمع شدن آب زیر محصول — ایاب و ذهاب به عهده مشتری</t>
  </si>
  <si>
    <t>باز شدن پرچ داخل کابین</t>
  </si>
  <si>
    <t>1403/09/30</t>
  </si>
  <si>
    <t>1403/12/21</t>
  </si>
  <si>
    <t>310002606</t>
  </si>
  <si>
    <t>52210009N00048</t>
  </si>
  <si>
    <t>عدم عملکرد کلیدهای دیسپلی — ایاب و ذهاب به عهده شرکت</t>
  </si>
  <si>
    <t>1405/02/05</t>
  </si>
  <si>
    <t>1403/10/09</t>
  </si>
  <si>
    <t>769082</t>
  </si>
  <si>
    <t>52220002N02776</t>
  </si>
  <si>
    <t>1404/08/17</t>
  </si>
  <si>
    <t>1404/10/02</t>
  </si>
  <si>
    <t>769267</t>
  </si>
  <si>
    <t>210100006N00248</t>
  </si>
  <si>
    <t>لرزش و حرکت محصول — ایاب و ذهاب به عهده مشتری</t>
  </si>
  <si>
    <t>1402/09/23</t>
  </si>
  <si>
    <t>1403/05/20</t>
  </si>
  <si>
    <t>510016639</t>
  </si>
  <si>
    <t>52210005N01875</t>
  </si>
  <si>
    <t>1405/02/06</t>
  </si>
  <si>
    <t>1404/05/07</t>
  </si>
  <si>
    <t>1405/05/02</t>
  </si>
  <si>
    <t>769694</t>
  </si>
  <si>
    <t>52220005N00758</t>
  </si>
  <si>
    <t>1403/12/19</t>
  </si>
  <si>
    <t>770165</t>
  </si>
  <si>
    <t>52210006N01568</t>
  </si>
  <si>
    <t>قطعی درخت سیم</t>
  </si>
  <si>
    <t>1405/02/07</t>
  </si>
  <si>
    <t>1404/06/16</t>
  </si>
  <si>
    <t>770306</t>
  </si>
  <si>
    <t>گرم شدن محصول ایاب و ذهاب به عهده شرکت</t>
  </si>
  <si>
    <t>نشتی گاز - نامشخص - یخچال مینی</t>
  </si>
  <si>
    <t>1405/02/08</t>
  </si>
  <si>
    <t>130003664</t>
  </si>
  <si>
    <t>52210003N01048</t>
  </si>
  <si>
    <t>صدای غیرعادی هنگام خشک کن — مجدد — ایاب و ذهاب به عهده شرکت</t>
  </si>
  <si>
    <t>1405/02/09</t>
  </si>
  <si>
    <t>1404/03/13</t>
  </si>
  <si>
    <t>770693</t>
  </si>
  <si>
    <t>52220005N03839</t>
  </si>
  <si>
    <t>1404/09/16</t>
  </si>
  <si>
    <t>100003779</t>
  </si>
  <si>
    <t>52230004N00275</t>
  </si>
  <si>
    <t>قطعی صدا در اتصال تلفن همراه به تلویزیون — ایاب و ذهاب به عهده شرکت</t>
  </si>
  <si>
    <t>قطعی صدا در تلویزیون - خرابی مین برد</t>
  </si>
  <si>
    <t>1405/02/10</t>
  </si>
  <si>
    <t>710001205</t>
  </si>
  <si>
    <t>52210007N00595</t>
  </si>
  <si>
    <t>1404/02/10</t>
  </si>
  <si>
    <t>771019</t>
  </si>
  <si>
    <t>52220004N04041</t>
  </si>
  <si>
    <t>1404/09/13</t>
  </si>
  <si>
    <t>771166</t>
  </si>
  <si>
    <t>52240003N00558</t>
  </si>
  <si>
    <t>تنظیم ترموستات</t>
  </si>
  <si>
    <t>1405/02/12</t>
  </si>
  <si>
    <t>1403/10/23</t>
  </si>
  <si>
    <t>771202</t>
  </si>
  <si>
    <t>52210003N01135</t>
  </si>
  <si>
    <t>خطای E1 — ایاب و ذهاب به عهده مشتری</t>
  </si>
  <si>
    <t>1403/02/10</t>
  </si>
  <si>
    <t>1403/11/27</t>
  </si>
  <si>
    <t>771209</t>
  </si>
  <si>
    <t>52240001N01938</t>
  </si>
  <si>
    <t>عایق کاری ورودی یخساز - ساید بای ساید</t>
  </si>
  <si>
    <t>771374</t>
  </si>
  <si>
    <t>52220002N01848</t>
  </si>
  <si>
    <t>1403/11/16</t>
  </si>
  <si>
    <t>1404/02/09</t>
  </si>
  <si>
    <t>130008450</t>
  </si>
  <si>
    <t>52230003N00401</t>
  </si>
  <si>
    <t>از کار افتادن محصول ایاب و ذهاب به عهده مشتری</t>
  </si>
  <si>
    <t>خرابی مین برد</t>
  </si>
  <si>
    <t>1403/08/02</t>
  </si>
  <si>
    <t>510016831</t>
  </si>
  <si>
    <t>52210010N00834</t>
  </si>
  <si>
    <t>1404/02/17</t>
  </si>
  <si>
    <t>772120</t>
  </si>
  <si>
    <t>52210007N01116</t>
  </si>
  <si>
    <t>772264</t>
  </si>
  <si>
    <t>52220005N04527</t>
  </si>
  <si>
    <t>1404/08/18</t>
  </si>
  <si>
    <t>1405/02/19</t>
  </si>
  <si>
    <t>130003757</t>
  </si>
  <si>
    <t>52220005N00148</t>
  </si>
  <si>
    <t>1405/02/14</t>
  </si>
  <si>
    <t>1403/07/12</t>
  </si>
  <si>
    <t>1404/09/26</t>
  </si>
  <si>
    <t>772652</t>
  </si>
  <si>
    <t>52210008N01398</t>
  </si>
  <si>
    <t>خرابی دیسپلی</t>
  </si>
  <si>
    <t>1404/06/12</t>
  </si>
  <si>
    <t>1404/06/26</t>
  </si>
  <si>
    <t>210008359</t>
  </si>
  <si>
    <t>52240001N01301</t>
  </si>
  <si>
    <t>صدای غیرعادی درب ایاب و ذهاب به عهده مشتری</t>
  </si>
  <si>
    <t>تعویض آرام بند - ساید بای ساید</t>
  </si>
  <si>
    <t>1405/02/15</t>
  </si>
  <si>
    <t>1403/06/04</t>
  </si>
  <si>
    <t>آرام‌بند درب ساید بای ساید</t>
  </si>
  <si>
    <t>210009179</t>
  </si>
  <si>
    <t>خاموش بودن LED کاور / سقفی — ایاب و ذهاب به عهده شرکت</t>
  </si>
  <si>
    <t>خرابی LED</t>
  </si>
  <si>
    <t>210006698</t>
  </si>
  <si>
    <t>52210007N01041</t>
  </si>
  <si>
    <t>ریزش آب از درب — ایاب و ذهاب به عهده شرکت</t>
  </si>
  <si>
    <t>1405/02/16</t>
  </si>
  <si>
    <t>1404/03/21</t>
  </si>
  <si>
    <t>1404/06/03</t>
  </si>
  <si>
    <t>210007726</t>
  </si>
  <si>
    <t>52220004N05186</t>
  </si>
  <si>
    <t>1404/09/22</t>
  </si>
  <si>
    <t>773306</t>
  </si>
  <si>
    <t>52220005N04325</t>
  </si>
  <si>
    <t>خطای F54 — مجدد — ایاب و ذهاب به عهده شرکت</t>
  </si>
  <si>
    <t>1404/11/09</t>
  </si>
  <si>
    <t>210007720</t>
  </si>
  <si>
    <t>52240001N01048</t>
  </si>
  <si>
    <t>1405/02/17</t>
  </si>
  <si>
    <t>1403/04/14</t>
  </si>
  <si>
    <t>1404/07/27</t>
  </si>
  <si>
    <t>210014741</t>
  </si>
  <si>
    <t>210100004N00012</t>
  </si>
  <si>
    <t>عدم عملکرد کلیدهای دیسپلی ایاب و ذهاب به عهده مشتری</t>
  </si>
  <si>
    <t>1402/08/09</t>
  </si>
  <si>
    <t>710001786</t>
  </si>
  <si>
    <t>52210003N01370</t>
  </si>
  <si>
    <t>پارگی تسمه</t>
  </si>
  <si>
    <t>1403/11/10</t>
  </si>
  <si>
    <t>تسمه لباسشویی</t>
  </si>
  <si>
    <t>810002486</t>
  </si>
  <si>
    <t>52240001N00372</t>
  </si>
  <si>
    <t>گرم شدن محصول — ایاب و ذهاب به عهده مشتری</t>
  </si>
  <si>
    <t>خرابی کمپرسور - از کارافتادن - ساید بای ساید</t>
  </si>
  <si>
    <t>1403/04/02</t>
  </si>
  <si>
    <t>1403/12/05</t>
  </si>
  <si>
    <t>کمپرسور ساید بای ساید</t>
  </si>
  <si>
    <t>810002893</t>
  </si>
  <si>
    <t>52220004N04080</t>
  </si>
  <si>
    <t>ایاب و ذهاب به عهده شرکت جمع شدن آب داخل محصول</t>
  </si>
  <si>
    <t>1404/08/06</t>
  </si>
  <si>
    <t>810004652</t>
  </si>
  <si>
    <t>52210004N01516</t>
  </si>
  <si>
    <t>1404/05/26</t>
  </si>
  <si>
    <t>774233</t>
  </si>
  <si>
    <t>52240001N01928</t>
  </si>
  <si>
    <t>عدم تخلیه یخ به صورت قالبی — ایاب و ذهاب به عهده شرکت</t>
  </si>
  <si>
    <t>774240</t>
  </si>
  <si>
    <t>52210006N01067</t>
  </si>
  <si>
    <t>اصلاح سوکت میکروسوئیچ</t>
  </si>
  <si>
    <t>774878</t>
  </si>
  <si>
    <t>52220003N01615</t>
  </si>
  <si>
    <t>1405/02/20</t>
  </si>
  <si>
    <t>210008229</t>
  </si>
  <si>
    <t>52210010N02062</t>
  </si>
  <si>
    <t>ایاب و ذهاب به عهده شرکت خطای CE</t>
  </si>
  <si>
    <t>از کار افتادن محصول -خرابی برد</t>
  </si>
  <si>
    <t>1405/02/21</t>
  </si>
  <si>
    <t>1404/09/05</t>
  </si>
  <si>
    <t>1404/09/18</t>
  </si>
  <si>
    <t>775086</t>
  </si>
  <si>
    <t>52220002N01535</t>
  </si>
  <si>
    <t>باز نشدن درب ایاب و ذهاب به عهده شرکت</t>
  </si>
  <si>
    <t>اصلاح میکروسوئیچ درب</t>
  </si>
  <si>
    <t>1403/10/28</t>
  </si>
  <si>
    <t>775632</t>
  </si>
  <si>
    <t>52220003N02491</t>
  </si>
  <si>
    <t>1405/02/22</t>
  </si>
  <si>
    <t>1404/07/08</t>
  </si>
  <si>
    <t>1404/10/20</t>
  </si>
  <si>
    <t>776160</t>
  </si>
  <si>
    <t>CWM-BMW9T2</t>
  </si>
  <si>
    <t>52210015N00213</t>
  </si>
  <si>
    <t>1405/02/23</t>
  </si>
  <si>
    <t>776362</t>
  </si>
  <si>
    <t>52220005N02660</t>
  </si>
  <si>
    <t>1404/06/30</t>
  </si>
  <si>
    <t>210009817</t>
  </si>
  <si>
    <t>CTV-75QMJS4</t>
  </si>
  <si>
    <t>52230008N00018</t>
  </si>
  <si>
    <t>عدم عملکرد ریموت کنترل ایاب و ذهاب به عهده شرکت</t>
  </si>
  <si>
    <t>1405/02/27</t>
  </si>
  <si>
    <t>کنترل تلویزیون</t>
  </si>
  <si>
    <t>510017367</t>
  </si>
  <si>
    <t>CWM-H10VCR1</t>
  </si>
  <si>
    <t>52210011N00704</t>
  </si>
  <si>
    <t>1404/12/02</t>
  </si>
  <si>
    <t>130003972</t>
  </si>
  <si>
    <t>52230003N00884</t>
  </si>
  <si>
    <t>عدم نمایش تصویر در اتصال با بلوتوث — ایاب و ذهاب به عهده شرکت</t>
  </si>
  <si>
    <t>متصل نبودن سوکت WIFI</t>
  </si>
  <si>
    <t>1405/02/28</t>
  </si>
  <si>
    <t>1405/02/26</t>
  </si>
  <si>
    <t>210009809</t>
  </si>
  <si>
    <t>CM-RS5RE1</t>
  </si>
  <si>
    <t>52240003N01096</t>
  </si>
  <si>
    <t>1404/06/29</t>
  </si>
  <si>
    <t>778100</t>
  </si>
  <si>
    <t>52210009N02113</t>
  </si>
  <si>
    <t>1404/07/26</t>
  </si>
  <si>
    <t>210006788</t>
  </si>
  <si>
    <t>CM-RS5BK2</t>
  </si>
  <si>
    <t>52240004N00285</t>
  </si>
  <si>
    <t>سوختن کمپرسور - یخچال مینی</t>
  </si>
  <si>
    <t>1405/02/29</t>
  </si>
  <si>
    <t>1403/11/24</t>
  </si>
  <si>
    <t>کمپرسور مینی</t>
  </si>
  <si>
    <t>775970</t>
  </si>
  <si>
    <t>52240001N01673</t>
  </si>
  <si>
    <t>1403/09/17</t>
  </si>
  <si>
    <t>1404/06/05</t>
  </si>
  <si>
    <t>130004037</t>
  </si>
  <si>
    <t>52220005N01629</t>
  </si>
  <si>
    <t>خطای F12 — ایاب و ذهاب به عهده مشتری</t>
  </si>
  <si>
    <t>1405/02/31</t>
  </si>
  <si>
    <t>1403/11/11</t>
  </si>
  <si>
    <t>210005400</t>
  </si>
  <si>
    <t>52210008N00878</t>
  </si>
  <si>
    <t>ایاب و ذهاب به عهده شرکت صدای غیرعادی هنگام خشک کن</t>
  </si>
  <si>
    <t>1404/03/20</t>
  </si>
  <si>
    <t>210005406</t>
  </si>
  <si>
    <t>52210002N00242</t>
  </si>
  <si>
    <t>310000608</t>
  </si>
  <si>
    <t>210120001N00120</t>
  </si>
  <si>
    <t>1403/03/07</t>
  </si>
  <si>
    <t>1403/06/05</t>
  </si>
  <si>
    <t>779873</t>
  </si>
  <si>
    <t>خرداد</t>
  </si>
  <si>
    <t>1405-03</t>
  </si>
  <si>
    <t>52240001N01882</t>
  </si>
  <si>
    <t>1405/03/02</t>
  </si>
  <si>
    <t>1403/09/04</t>
  </si>
  <si>
    <t>210004739</t>
  </si>
  <si>
    <t>52210008N00988</t>
  </si>
  <si>
    <t>1405/03/03</t>
  </si>
  <si>
    <t>210007876</t>
  </si>
  <si>
    <t>52240001N01143</t>
  </si>
  <si>
    <t>صدای غیرعادی درب — ایاب و ذهاب به عهده مشتری</t>
  </si>
  <si>
    <t>گریسکاری درب - ساید بای ساید</t>
  </si>
  <si>
    <t>510017610</t>
  </si>
  <si>
    <t>52240001N01913</t>
  </si>
  <si>
    <t>نشتی از فیتینگی پشت جلوپایی - ساید بای ساید</t>
  </si>
  <si>
    <t>1403/09/06</t>
  </si>
  <si>
    <t>780467</t>
  </si>
  <si>
    <t>ایاب و ذهاب به عهده شرکت از کار افتادن محصول</t>
  </si>
  <si>
    <t>خرابی موتور</t>
  </si>
  <si>
    <t>موتور لباسشویی</t>
  </si>
  <si>
    <t>130004136</t>
  </si>
  <si>
    <t>52210014N00424</t>
  </si>
  <si>
    <t>1405/03/05</t>
  </si>
  <si>
    <t>781296</t>
  </si>
  <si>
    <t>52240002N00359</t>
  </si>
  <si>
    <t>210009186</t>
  </si>
  <si>
    <t>52220004N01300</t>
  </si>
  <si>
    <t>خرابی برد - از کار افتادن</t>
  </si>
  <si>
    <t>1405/03/07</t>
  </si>
  <si>
    <t>1403/10/02</t>
  </si>
  <si>
    <t>1404/01/05</t>
  </si>
  <si>
    <t>برد ظرفشویی</t>
  </si>
  <si>
    <t>781905</t>
  </si>
  <si>
    <t>52220005N02169</t>
  </si>
  <si>
    <t>تنظیم دیسپلی - پایین بودن میکروسوئیچ درب</t>
  </si>
  <si>
    <t>1404/01/20</t>
  </si>
  <si>
    <t>210007436</t>
  </si>
  <si>
    <t>افتادگی درب/ تنظیم درب — ایاب و ذهاب به عهده مشتری</t>
  </si>
  <si>
    <t>1405/03/09</t>
  </si>
  <si>
    <t>210007557</t>
  </si>
  <si>
    <t>210120001N00221</t>
  </si>
  <si>
    <t>عدم قرار گیری قالب یخساز در جایگاه - ساید بای ساید</t>
  </si>
  <si>
    <t>1403/03/17</t>
  </si>
  <si>
    <t>1404/12/18</t>
  </si>
  <si>
    <t>210009117</t>
  </si>
  <si>
    <t>ایاب و ذهاب به عهده شرکت خطای E6</t>
  </si>
  <si>
    <t>خرابی سنسور یخساز - ساید بای ساید</t>
  </si>
  <si>
    <t>سنسور یخساز ساید بای ساید</t>
  </si>
  <si>
    <t>210009132</t>
  </si>
  <si>
    <t>52220005N00890</t>
  </si>
  <si>
    <t>1403/08/28</t>
  </si>
  <si>
    <t>210013253</t>
  </si>
  <si>
    <t>52240003N01957</t>
  </si>
  <si>
    <t>1405/03/04</t>
  </si>
  <si>
    <t>210007409</t>
  </si>
  <si>
    <t>52210005N01412</t>
  </si>
  <si>
    <t>1405/03/10</t>
  </si>
  <si>
    <t>210014173</t>
  </si>
  <si>
    <t>خاموش و روشن شدن LED کاور / سقفی — مجدد — ایاب و ذهاب به عهده شرکت</t>
  </si>
  <si>
    <t>LED داخلی یخچال مینی</t>
  </si>
  <si>
    <t>210004767</t>
  </si>
  <si>
    <t>52240001N01829</t>
  </si>
  <si>
    <t>خرابی یخساز - عدم چرخش کامل یخساز - ساید بای ساید</t>
  </si>
  <si>
    <t>1405/03/11</t>
  </si>
  <si>
    <t>مکانیزم/مجموعه یخساز ساید بای ساید</t>
  </si>
  <si>
    <t>210008812</t>
  </si>
  <si>
    <t>52220004N00440</t>
  </si>
  <si>
    <t>1403/07/24</t>
  </si>
  <si>
    <t>1403/08/22</t>
  </si>
  <si>
    <t>310000351</t>
  </si>
  <si>
    <t>بسته نشدن درب — ریزش آب از درب — ایاب و ذهاب به عهده شرکت</t>
  </si>
  <si>
    <t>تنظیم دیسپلی ( مایع جلادهنده/ صدای دیسپلی/ باز شدن یا باز نشدن درب )</t>
  </si>
  <si>
    <t>510017943</t>
  </si>
  <si>
    <t>210120001N00335</t>
  </si>
  <si>
    <t>710000346</t>
  </si>
  <si>
    <t>52210007N01410</t>
  </si>
  <si>
    <t>1405/03/12</t>
  </si>
  <si>
    <t>1404/05/18</t>
  </si>
  <si>
    <t>310000805</t>
  </si>
  <si>
    <t>52220004N04922</t>
  </si>
  <si>
    <t>1405/03/16</t>
  </si>
  <si>
    <t>1404/08/25</t>
  </si>
  <si>
    <t>210006091</t>
  </si>
  <si>
    <t>52220004N02155</t>
  </si>
  <si>
    <t>1405/03/17</t>
  </si>
  <si>
    <t>1404/01/19</t>
  </si>
  <si>
    <t>1404/06/13</t>
  </si>
  <si>
    <t>210006821</t>
  </si>
  <si>
    <t>52240001N01110</t>
  </si>
  <si>
    <t>1405/03/18</t>
  </si>
  <si>
    <t>1403/05/03</t>
  </si>
  <si>
    <t>210006874</t>
  </si>
  <si>
    <t>52220004N04701</t>
  </si>
  <si>
    <t>1405/03/19</t>
  </si>
  <si>
    <t>1404/08/21</t>
  </si>
  <si>
    <t>210006953</t>
  </si>
  <si>
    <t>52240001N00630</t>
  </si>
  <si>
    <t>1403/07/01</t>
  </si>
  <si>
    <t>210007178</t>
  </si>
  <si>
    <t>52210006N00678</t>
  </si>
  <si>
    <t>1405/03/20</t>
  </si>
  <si>
    <t>1403/02/02</t>
  </si>
  <si>
    <t>1403/02/24</t>
  </si>
  <si>
    <t>210013242</t>
  </si>
  <si>
    <t>52240001N00637</t>
  </si>
  <si>
    <t>افتادگی درب/ تنظیم درب ایاب و ذهاب به عهده شرکت</t>
  </si>
  <si>
    <t>شکستگی قاب لولا - ساید بای ساید</t>
  </si>
  <si>
    <t>1403/03/13</t>
  </si>
  <si>
    <t>1404/07/22</t>
  </si>
  <si>
    <t>قاب لولا ساید بای ساید</t>
  </si>
  <si>
    <t>210008506</t>
  </si>
  <si>
    <t>52240001N00773</t>
  </si>
  <si>
    <t>آلارم خودبخودی محصول — اختلاف ارتفاع درب یخچال و فریزر — ایاب و ذهاب به عهده مشتری</t>
  </si>
  <si>
    <t>خرابی برد - آلارم خود بخودی محصول - ساید بای ساید</t>
  </si>
  <si>
    <t>1405/03/21</t>
  </si>
  <si>
    <t>1403/04/09</t>
  </si>
  <si>
    <t>210009082</t>
  </si>
  <si>
    <t>52240001N01164</t>
  </si>
  <si>
    <t>1405/03/22</t>
  </si>
  <si>
    <t>1404/09/29</t>
  </si>
  <si>
    <t>210008839</t>
  </si>
  <si>
    <t>52220003N00607</t>
  </si>
  <si>
    <t>1405/03/23</t>
  </si>
  <si>
    <t>1403/03/26</t>
  </si>
  <si>
    <t>1403/04/16</t>
  </si>
  <si>
    <t>210008929</t>
  </si>
  <si>
    <t>52220005N02101</t>
  </si>
  <si>
    <t>عدم تخلیه آب داخل ماشین ظرفشویی — ایاب و ذهاب به عهده مشتری — خطای F54</t>
  </si>
  <si>
    <t>1404/01/08</t>
  </si>
  <si>
    <t>210010846</t>
  </si>
  <si>
    <t>52220004N02290</t>
  </si>
  <si>
    <t>1405/03/30</t>
  </si>
  <si>
    <t>1404/01/21</t>
  </si>
  <si>
    <t>1405/03/26</t>
  </si>
  <si>
    <t>210012222</t>
  </si>
  <si>
    <t>تیر</t>
  </si>
  <si>
    <t>1405-04</t>
  </si>
  <si>
    <t>52240001N01897</t>
  </si>
  <si>
    <t>ایاب و ذهاب به عهده شرکت عدم تخلیه یخ به صورت قالبی</t>
  </si>
  <si>
    <t>1405/04/02</t>
  </si>
  <si>
    <t>1403/09/10</t>
  </si>
  <si>
    <t>1405/03/28</t>
  </si>
  <si>
    <t>210013035</t>
  </si>
  <si>
    <t>52240001N01019</t>
  </si>
  <si>
    <t>عدم تخلیه یخ به صورت قالبی — ایاب و ذهاب به عهده مشتری</t>
  </si>
  <si>
    <t>خرابی شیربرقی فریزر - ساید بای ساید</t>
  </si>
  <si>
    <t>1405/04/08</t>
  </si>
  <si>
    <t>1403/04/19</t>
  </si>
  <si>
    <t>1403/10/06</t>
  </si>
  <si>
    <t>شیر برقی ساید بای ساید</t>
  </si>
  <si>
    <t>210013847</t>
  </si>
  <si>
    <t>52240001N00748</t>
  </si>
  <si>
    <t>1405/04/14</t>
  </si>
  <si>
    <t>1403/11/18</t>
  </si>
  <si>
    <t>210014545</t>
  </si>
  <si>
    <t>52240001N00477</t>
  </si>
  <si>
    <t>1405/04/20</t>
  </si>
  <si>
    <t>1403/03/29</t>
  </si>
  <si>
    <t>1403/08/20</t>
  </si>
  <si>
    <t>130005241</t>
  </si>
  <si>
    <t>مرداد</t>
  </si>
  <si>
    <t>1405-05</t>
  </si>
  <si>
    <t>CDW-H15VW1</t>
  </si>
  <si>
    <t>210140003N00273</t>
  </si>
  <si>
    <t>1405/05/01</t>
  </si>
  <si>
    <t>1403/03/16</t>
  </si>
  <si>
    <t>DW-HS مقسم حوضچه آب ماشین ظرفشویی</t>
  </si>
  <si>
    <t>130008765</t>
  </si>
  <si>
    <t>CWM-BMW8VI1</t>
  </si>
  <si>
    <t>52210004N01019</t>
  </si>
  <si>
    <t>خطای DE — ایاب و ذهاب به عهده شرکت</t>
  </si>
  <si>
    <t>اصلاح سوکت قفل درب</t>
  </si>
  <si>
    <t>1403/12/26</t>
  </si>
  <si>
    <t>1404/12/19</t>
  </si>
  <si>
    <t>210016686</t>
  </si>
  <si>
    <t>52220004N00350</t>
  </si>
  <si>
    <t>پایین بودن میکروسوئیچ درب</t>
  </si>
  <si>
    <t>210016804</t>
  </si>
  <si>
    <t>CDW-H16TW1</t>
  </si>
  <si>
    <t>52220005N00667</t>
  </si>
  <si>
    <t>قلاب میکروسوئیچ ماشین ظرفشویی CDW-H13\CDW-H15\CDW-H16</t>
  </si>
  <si>
    <t>510022694</t>
  </si>
  <si>
    <t>52210004N01100</t>
  </si>
  <si>
    <t>خطای UE — ایاب و ذهاب به عهده مشتری</t>
  </si>
  <si>
    <t>1404/02/23</t>
  </si>
  <si>
    <t>1404/04/26</t>
  </si>
  <si>
    <t>BMW-8V برد ماشین لباسشویی</t>
  </si>
  <si>
    <t>210016840</t>
  </si>
  <si>
    <t>52240003N01005</t>
  </si>
  <si>
    <t>شکستگی دستگیره — ایاب و ذهاب به عهده شرکت</t>
  </si>
  <si>
    <t>شکستگی دستگیره</t>
  </si>
  <si>
    <t>1404/01/14</t>
  </si>
  <si>
    <t>MINI دستگیره درب یخچال</t>
  </si>
  <si>
    <t>210016956</t>
  </si>
  <si>
    <t>52240001N01982</t>
  </si>
  <si>
    <t>شکستگی قالب یخساز — ایاب و ذهاب به عهده مشتری</t>
  </si>
  <si>
    <t>شکستگی قالب یخساز - ساید بای ساید</t>
  </si>
  <si>
    <t>1405/05/03</t>
  </si>
  <si>
    <t>1403/09/11</t>
  </si>
  <si>
    <t>C2S-29HS1 قالب یخ ساید بای ساید</t>
  </si>
  <si>
    <t>210016958</t>
  </si>
  <si>
    <t>DW-HS-16 برد ماشین ظرفشویی</t>
  </si>
  <si>
    <t>310006831</t>
  </si>
  <si>
    <t>52220005N02589</t>
  </si>
  <si>
    <t>زنگ زدگی — ایاب و ذهاب به عهده شرکت</t>
  </si>
  <si>
    <t>زنگ زدگی سبد ظرفشویی</t>
  </si>
  <si>
    <t>DW-HS-16 سبد پایین ماشین ظرفشویی</t>
  </si>
  <si>
    <t>803211</t>
  </si>
  <si>
    <t>52240001N01417</t>
  </si>
  <si>
    <t>کمپرسور اینورتر سایدبای ساید C2S-29HS1-VFL110CY</t>
  </si>
  <si>
    <t>210017071</t>
  </si>
  <si>
    <t>52210004N01381</t>
  </si>
  <si>
    <t>لرزش درب — ایاب و ذهاب به عهده شرکت</t>
  </si>
  <si>
    <t>1405/05/04</t>
  </si>
  <si>
    <t>210017095</t>
  </si>
  <si>
    <t>52220004N02221</t>
  </si>
  <si>
    <t>خطای F1 — ایاب و ذهاب به عهده شرکت</t>
  </si>
  <si>
    <t>غیر گارانتی</t>
  </si>
  <si>
    <t>1404/05/11</t>
  </si>
  <si>
    <t>210017131</t>
  </si>
  <si>
    <t>CM-RS5BL1</t>
  </si>
  <si>
    <t>52240005N00063</t>
  </si>
  <si>
    <t>خاموش بودن LED کاور / سقفی — ایاب و ذهاب به عهده مشتری</t>
  </si>
  <si>
    <t>MINI LED یخچال</t>
  </si>
  <si>
    <t>210017169</t>
  </si>
  <si>
    <t>52240003N00743</t>
  </si>
  <si>
    <t>1403/12/14</t>
  </si>
  <si>
    <t>310006922</t>
  </si>
  <si>
    <t>CWM-BMW9TW1</t>
  </si>
  <si>
    <t>52210007N00806</t>
  </si>
  <si>
    <t>1404/03/17</t>
  </si>
  <si>
    <t>310006971</t>
  </si>
  <si>
    <t>CWM-BMW8TW3</t>
  </si>
  <si>
    <t>52210013N00195</t>
  </si>
  <si>
    <t>کسری قطعات پک بسته بندی - کد قطعه در لیست اقدامات درج می گردد. — ایاب و ذهاب به عهده شرکت</t>
  </si>
  <si>
    <t>کسری پک بسته بندی</t>
  </si>
  <si>
    <t>BMW شیلنگ ورودی آب ماشین لباسشویی</t>
  </si>
  <si>
    <t>510022884</t>
  </si>
  <si>
    <t>CDW-K14BW1</t>
  </si>
  <si>
    <t>52220007N00285</t>
  </si>
  <si>
    <t>خطای E5 — ایاب و ذهاب به عهده مشتری</t>
  </si>
  <si>
    <t>810004918</t>
  </si>
  <si>
    <t>52240003N00980</t>
  </si>
  <si>
    <t>MINI کلید فشاری یخچال</t>
  </si>
  <si>
    <t>1403/12/27</t>
  </si>
  <si>
    <t>1405/04/30</t>
  </si>
  <si>
    <t>210017281</t>
  </si>
  <si>
    <t>52220003N01628</t>
  </si>
  <si>
    <t>باز شدن درب حین شست و شو — ایاب و ذهاب به عهده مشتری</t>
  </si>
  <si>
    <t>1405/05/05</t>
  </si>
  <si>
    <t>1404/04/06</t>
  </si>
  <si>
    <t>210017334</t>
  </si>
  <si>
    <t>52220005N02989</t>
  </si>
  <si>
    <t>بسته نشدن درب — عدم عملکرد کلیدهای دیسپلی — ایاب و ذهاب به عهده شرکت</t>
  </si>
  <si>
    <t>210017383</t>
  </si>
  <si>
    <t>52240001N01243</t>
  </si>
  <si>
    <t>1403/05/27</t>
  </si>
  <si>
    <t>1403/08/07</t>
  </si>
  <si>
    <t>210017385</t>
  </si>
  <si>
    <t>52220005N00939</t>
  </si>
  <si>
    <t>مشاهده لکه روی ظروف — ایاب و ذهاب به عهده مشتری</t>
  </si>
  <si>
    <t>1403/11/08</t>
  </si>
  <si>
    <t>210017424</t>
  </si>
  <si>
    <t>52220005N00799</t>
  </si>
  <si>
    <t>1403/08/19</t>
  </si>
  <si>
    <t>1403/12/12</t>
  </si>
  <si>
    <t>510022914</t>
  </si>
  <si>
    <t>52240003N01043</t>
  </si>
  <si>
    <t>کسری قطعات تزئینی پک قطعات داخلی</t>
  </si>
  <si>
    <t>MINI شلف بزرگ یخچال</t>
  </si>
  <si>
    <t>810004925</t>
  </si>
  <si>
    <t>52220005N03163</t>
  </si>
  <si>
    <t>باز شدن درب حین شست و شو — ایاب و ذهاب به عهده شرکت</t>
  </si>
  <si>
    <t>1404/10/17</t>
  </si>
  <si>
    <t>810004999</t>
  </si>
  <si>
    <t>CWM-BMW8TW2</t>
  </si>
  <si>
    <t>52210009N01919</t>
  </si>
  <si>
    <t>1405/05/06</t>
  </si>
  <si>
    <t>210017675</t>
  </si>
  <si>
    <t>52240001N01072</t>
  </si>
  <si>
    <t>1405/05/07</t>
  </si>
  <si>
    <t>دمپر پلاستیکی استوانه ای ساید بای ساید C2S-29HS1</t>
  </si>
  <si>
    <t>210017702</t>
  </si>
  <si>
    <t>52240001N02072</t>
  </si>
  <si>
    <t>1403/09/19</t>
  </si>
  <si>
    <t>دمپر پلاستیکی گرد ساید بای ساید C2S-29HS1</t>
  </si>
  <si>
    <t>210017703</t>
  </si>
  <si>
    <t>52220004N05024</t>
  </si>
  <si>
    <t>210017735</t>
  </si>
  <si>
    <t>210120001N00010</t>
  </si>
  <si>
    <t>1403/03/21</t>
  </si>
  <si>
    <t>1403/09/26</t>
  </si>
  <si>
    <t>C2S-29HS1 برد اینورتر کمپرسور ساید بای ساید</t>
  </si>
  <si>
    <t>510023047</t>
  </si>
  <si>
    <t>52220005N01832</t>
  </si>
  <si>
    <t>210017847</t>
  </si>
  <si>
    <t>52220005N05234</t>
  </si>
  <si>
    <t>1405/05/08</t>
  </si>
  <si>
    <t>1404/09/01</t>
  </si>
  <si>
    <t>210017912</t>
  </si>
  <si>
    <t>52240001N01918</t>
  </si>
  <si>
    <t>فاصله درب از کابین</t>
  </si>
  <si>
    <t>710004092</t>
  </si>
  <si>
    <t>130009304</t>
  </si>
  <si>
    <t>52210007N01185</t>
  </si>
  <si>
    <t>پارگی نوار گسکت</t>
  </si>
  <si>
    <t>1405/05/10</t>
  </si>
  <si>
    <t>1404/05/06</t>
  </si>
  <si>
    <t>1404/06/20</t>
  </si>
  <si>
    <t>نوار گسکت درب ماشین لباسشویی BMW 8T&amp;9T</t>
  </si>
  <si>
    <t>210012219</t>
  </si>
  <si>
    <t>52240001N00833</t>
  </si>
  <si>
    <t>شکستگی قطعات تزئینی کابین- کد قطعه در لیست اقدامات درج می گردد. — غیرگارانتی</t>
  </si>
  <si>
    <t>شکستگی قطعات تزئینی داخل کابین</t>
  </si>
  <si>
    <t>1403/04/17</t>
  </si>
  <si>
    <t>1403/10/11</t>
  </si>
  <si>
    <t>210018081</t>
  </si>
  <si>
    <t>CWM-BMW8TI2</t>
  </si>
  <si>
    <t>52210010N01473</t>
  </si>
  <si>
    <t>210018087</t>
  </si>
  <si>
    <t>52240001N00858</t>
  </si>
  <si>
    <t>اصلاح شیلنگ یخساز</t>
  </si>
  <si>
    <t>210018186</t>
  </si>
  <si>
    <t>52240003N00529</t>
  </si>
  <si>
    <t>1403/10/22</t>
  </si>
  <si>
    <t>510023219</t>
  </si>
  <si>
    <t>52210010N02061</t>
  </si>
  <si>
    <t>عدم عملکرد کلیدهای دیسپلی — از کار افتادن محصول — ایاب و ذهاب به عهده شرکت</t>
  </si>
  <si>
    <t>عدم نصب سوکت موتور روی برد</t>
  </si>
  <si>
    <t>اصلاح سوکت</t>
  </si>
  <si>
    <t>810005151</t>
  </si>
  <si>
    <t>بسته نشدن درب — مجدد — خطای F11 — ایاب و ذهاب به عهده شرکت</t>
  </si>
  <si>
    <t>810005154</t>
  </si>
  <si>
    <t>52240001N00813</t>
  </si>
  <si>
    <t>ترک وان — ایاب و ذهاب به عهده مشتری</t>
  </si>
  <si>
    <t>210018303</t>
  </si>
  <si>
    <t>52220005N00261</t>
  </si>
  <si>
    <t>1405/05/11</t>
  </si>
  <si>
    <t>1403/07/18</t>
  </si>
  <si>
    <t>210018344</t>
  </si>
  <si>
    <t>52240001N02070</t>
  </si>
  <si>
    <t>210018440</t>
  </si>
  <si>
    <t>خاموش بودن LED کاور / سقفی — مجدد — ایاب و ذهاب به عهده شرکت</t>
  </si>
  <si>
    <t>1405/05/12</t>
  </si>
  <si>
    <t>1404/04/22</t>
  </si>
  <si>
    <t>1404/08/04</t>
  </si>
  <si>
    <t>210018459</t>
  </si>
  <si>
    <t>52210009N01247</t>
  </si>
  <si>
    <t>ریست دیسپلی — ایاب و ذهاب به عهده شرکت</t>
  </si>
  <si>
    <t>خرابی برد نمایشگر</t>
  </si>
  <si>
    <t>BMW-9T برد نمایشگر ماشین لباسشویی</t>
  </si>
  <si>
    <t>310007559</t>
  </si>
  <si>
    <t>52240002N00398</t>
  </si>
  <si>
    <t>MINI ترموستات یخچال</t>
  </si>
  <si>
    <t>710004197</t>
  </si>
  <si>
    <t>52220005N01584</t>
  </si>
  <si>
    <t>زنگ زدگی کابین — ایاب و ذهاب به عهده مشتری</t>
  </si>
  <si>
    <t>210018575</t>
  </si>
  <si>
    <t>52240001N01880</t>
  </si>
  <si>
    <t>1405/05/13</t>
  </si>
  <si>
    <t>C2S-29HS1 سنسور یخساز ساید بای ساید</t>
  </si>
  <si>
    <t>130009511</t>
  </si>
  <si>
    <t>52240001N01044</t>
  </si>
  <si>
    <t>1405/05/14</t>
  </si>
  <si>
    <t>C2S-29HS1 دمپر کامل خروجی یخساز ساید بای ساید</t>
  </si>
  <si>
    <t>210018623</t>
  </si>
  <si>
    <t>CWM-BMW7.5VW1</t>
  </si>
  <si>
    <t>52210001N00523</t>
  </si>
  <si>
    <t>صدای لرزش شیلنگ پمپ تخلیه - عایق کاری</t>
  </si>
  <si>
    <t>1404/06/19</t>
  </si>
  <si>
    <t>510023398</t>
  </si>
  <si>
    <t>210100001N00175</t>
  </si>
  <si>
    <t>عدم تخلیه آب کثیف داخل درام — ایاب و ذهاب به عهده مشتری</t>
  </si>
  <si>
    <t>1403/01/06</t>
  </si>
  <si>
    <t>1403/05/07</t>
  </si>
  <si>
    <t>BMW-7/5V پمپ تخلیه ماشین لباسشویی</t>
  </si>
  <si>
    <t>510023485</t>
  </si>
  <si>
    <t>52240001N02015</t>
  </si>
  <si>
    <t>1403/09/12</t>
  </si>
  <si>
    <t>1404/02/21</t>
  </si>
  <si>
    <t>C2S-29HS1 شیربرقی ساید بای ساید</t>
  </si>
  <si>
    <t>210018851</t>
  </si>
  <si>
    <t>52240002N00908</t>
  </si>
  <si>
    <t>خرابی کمپرسور</t>
  </si>
  <si>
    <t>1405/05/15</t>
  </si>
  <si>
    <t>کمپرسور EMX26 MINI</t>
  </si>
  <si>
    <t>210018913</t>
  </si>
  <si>
    <t>52230003N00408</t>
  </si>
  <si>
    <t>1403/12/20</t>
  </si>
  <si>
    <t>TV-HS-43&amp;50&amp;55 کنترل تلویزیون</t>
  </si>
  <si>
    <t>310007778</t>
  </si>
  <si>
    <t>52220004N00520</t>
  </si>
  <si>
    <t>1403/07/29</t>
  </si>
  <si>
    <t>510023639</t>
  </si>
  <si>
    <t>خرابی موتور یخساز</t>
  </si>
  <si>
    <t>1403/05/29</t>
  </si>
  <si>
    <t>C2S-29HS1 موتور یخساز ساید بای ساید</t>
  </si>
  <si>
    <t>510023668</t>
  </si>
  <si>
    <t>52220004N04192</t>
  </si>
  <si>
    <t>عدم تخلیه آب داخل ماشین ظرفشویی — ایاب و ذهاب به عهده شرکت</t>
  </si>
  <si>
    <t>1405/05/16</t>
  </si>
  <si>
    <t>اورینگ پمپ تخلیه گریس کاری شده است .</t>
  </si>
  <si>
    <t>130009640</t>
  </si>
  <si>
    <t>52240001N01358</t>
  </si>
  <si>
    <t>ترک وان</t>
  </si>
  <si>
    <t>1405/05/17</t>
  </si>
  <si>
    <t>1403/11/20</t>
  </si>
  <si>
    <t>130009673</t>
  </si>
  <si>
    <t>52240001N01862</t>
  </si>
  <si>
    <t>پارگی سنسور یخساز</t>
  </si>
  <si>
    <t>1404/11/30</t>
  </si>
  <si>
    <t>210019017</t>
  </si>
  <si>
    <t>52240001N01244</t>
  </si>
  <si>
    <t>صدای غیرعادی درب — ایاب و ذهاب به عهده شرکت</t>
  </si>
  <si>
    <t>تعویض آرام بند</t>
  </si>
  <si>
    <t>C2S-29HS1 آرام بند فریزر ساید بای ساید</t>
  </si>
  <si>
    <t>210019021</t>
  </si>
  <si>
    <t>شکستگی قالب یخساز</t>
  </si>
  <si>
    <t>310007859</t>
  </si>
  <si>
    <t>52240004N00484</t>
  </si>
  <si>
    <t>خاموش و روشن شدن LED کاور / سقفی — ایاب و ذهاب به عهده شرکت</t>
  </si>
  <si>
    <t>خرابی کلید فشاری</t>
  </si>
  <si>
    <t>1404/11/01</t>
  </si>
  <si>
    <t>1405/04/01</t>
  </si>
  <si>
    <t>210019260</t>
  </si>
  <si>
    <t>52220005N04316</t>
  </si>
  <si>
    <t>1405/05/18</t>
  </si>
  <si>
    <t>210019667</t>
  </si>
  <si>
    <t>130009846</t>
  </si>
  <si>
    <t>52240003N00957</t>
  </si>
  <si>
    <t>1405/05/19</t>
  </si>
  <si>
    <t>1403/12/10</t>
  </si>
  <si>
    <t>1404/07/03</t>
  </si>
  <si>
    <t>210019486</t>
  </si>
  <si>
    <t>52210009N01216</t>
  </si>
  <si>
    <t>1404/07/09</t>
  </si>
  <si>
    <t>210019507</t>
  </si>
  <si>
    <t>CDW-H15VS1</t>
  </si>
  <si>
    <t>210140002N00048</t>
  </si>
  <si>
    <t>1402/10/10</t>
  </si>
  <si>
    <t>1402/12/17</t>
  </si>
  <si>
    <t>DW-HS-15 سبد پایین ماشین ظرفشویی</t>
  </si>
  <si>
    <t>210019531</t>
  </si>
  <si>
    <t>210120001N00133</t>
  </si>
  <si>
    <t>صدای غیرعادی درب — غیرگارانتی</t>
  </si>
  <si>
    <t>1403/03/23</t>
  </si>
  <si>
    <t>1403/09/05</t>
  </si>
  <si>
    <t>210019555</t>
  </si>
  <si>
    <t>52220004N01295</t>
  </si>
  <si>
    <t>1403/10/01</t>
  </si>
  <si>
    <t>210019559</t>
  </si>
  <si>
    <t>CM-RM5WH1</t>
  </si>
  <si>
    <t>52240009N00273</t>
  </si>
  <si>
    <t>1405/04/31</t>
  </si>
  <si>
    <t>310008128</t>
  </si>
  <si>
    <t>CWM-BMW9TW2</t>
  </si>
  <si>
    <t>52210015N00250</t>
  </si>
  <si>
    <t>کسری پک بسته بندی - کد داخلی قطعه در لیست اقدام درج می گردد. — ایاب و ذهاب به عهده شرکت</t>
  </si>
  <si>
    <t>1404/12/24</t>
  </si>
  <si>
    <t>810005501</t>
  </si>
  <si>
    <t>52220005N03894</t>
  </si>
  <si>
    <t>/ CDW-H13\CDW-H15\CDW-H16 DW-HS پمپ تخلیه ماشین ظرفشویی</t>
  </si>
  <si>
    <t>130009877</t>
  </si>
  <si>
    <t>52220004N00564</t>
  </si>
  <si>
    <t>1405/05/20</t>
  </si>
  <si>
    <t>1403/08/08</t>
  </si>
  <si>
    <t>1403/12/28</t>
  </si>
  <si>
    <t>130009921</t>
  </si>
  <si>
    <t>52240001N01120</t>
  </si>
  <si>
    <t>1404/04/17</t>
  </si>
  <si>
    <t>210019670</t>
  </si>
  <si>
    <t>52210009N01248</t>
  </si>
  <si>
    <t>310008145</t>
  </si>
  <si>
    <t>52220004N04349</t>
  </si>
  <si>
    <t>نشتی از o-ring جا قرصی</t>
  </si>
  <si>
    <t>310008150</t>
  </si>
  <si>
    <t>52220004N00129</t>
  </si>
  <si>
    <t>عدم شست و شوی کامل ظروف — ایاب و ذهاب به عهده مشتری</t>
  </si>
  <si>
    <t>1403/07/15</t>
  </si>
  <si>
    <t>1404/03/11</t>
  </si>
  <si>
    <t>810005539</t>
  </si>
  <si>
    <t>CDW-H13VS1</t>
  </si>
  <si>
    <t>52220001N01468</t>
  </si>
  <si>
    <t>810050</t>
  </si>
  <si>
    <t>52220005N00126</t>
  </si>
  <si>
    <t>ماشين لباسشويي</t>
  </si>
  <si>
    <t>CWM-BMW8VW1</t>
  </si>
  <si>
    <t>52210003N01073</t>
  </si>
  <si>
    <t>خطاي DE**اياب و ذهاب به عهده مشتري</t>
  </si>
  <si>
    <t>خرابي ميکروسوئيچ درب</t>
  </si>
  <si>
    <t>1405/06/15</t>
  </si>
  <si>
    <t>BMW-7/5V&amp;8V&amp;8T قفل درب ماشين لباسشويي</t>
  </si>
  <si>
    <t>CWM-BMW8T</t>
  </si>
  <si>
    <t>52210003N01146</t>
  </si>
  <si>
    <t>از کار افتادن محصول**اياب و ذهاب به عهده مشتري</t>
  </si>
  <si>
    <t>خرابي شيربرقي - لباسشویی</t>
  </si>
  <si>
    <t>1405/06/05</t>
  </si>
  <si>
    <t>1403/02/18</t>
  </si>
  <si>
    <t>1403/06/28</t>
  </si>
  <si>
    <t xml:space="preserve">                        BMW شيربرقي ماشين لباسشويي</t>
  </si>
  <si>
    <t>52220002N00573</t>
  </si>
  <si>
    <t>روي هم افتادن کشو**اياب و ذهاب به عهده شرکت</t>
  </si>
  <si>
    <t>شکستگی ریل سبد ظرفشویی</t>
  </si>
  <si>
    <t>1405/05/22</t>
  </si>
  <si>
    <t>1404/08/19</t>
  </si>
  <si>
    <t>DW-HS-13&amp;15 نگهدارنده جلو و عقب ريل سبد بالا ماشين</t>
  </si>
  <si>
    <t>52220003N00619</t>
  </si>
  <si>
    <t>خطاي F54**اياب و ذهاب به عهده مشتري</t>
  </si>
  <si>
    <t>نشتي از مقسم آب</t>
  </si>
  <si>
    <t>1405/06/02</t>
  </si>
  <si>
    <t>1403/05/02</t>
  </si>
  <si>
    <t>---</t>
  </si>
  <si>
    <t>52220002N00725</t>
  </si>
  <si>
    <t>خطاي F54 ** اياب و ذهاب به عهده مشتري</t>
  </si>
  <si>
    <t>نشتي پمپ تخليه</t>
  </si>
  <si>
    <t>1405/06/01</t>
  </si>
  <si>
    <t>1403/03/24</t>
  </si>
  <si>
    <t>52240001N00456</t>
  </si>
  <si>
    <t>شکستگي قطعات تزئيني درب- کد قطعه در ليست اقدامات درج مي گردد.</t>
  </si>
  <si>
    <t>شکستگي قطعات تزئيني پک قطعات داخلي - سايد باي سايد</t>
  </si>
  <si>
    <t>1405/06/11</t>
  </si>
  <si>
    <t>1403/03/31</t>
  </si>
  <si>
    <t xml:space="preserve">                 شلف يخچال سايد باي سايد C2S-29HS1</t>
  </si>
  <si>
    <t>52240001N00508</t>
  </si>
  <si>
    <t>بسته نشدن درب**پايين بودن فشار آب خروجي از آبسردکن**اياب و ذهاب به عهده مشتري</t>
  </si>
  <si>
    <t xml:space="preserve">رگلاژ درب </t>
  </si>
  <si>
    <t>1405/06/14</t>
  </si>
  <si>
    <t>52240001N00767</t>
  </si>
  <si>
    <t>چکه آبسردکن**مجدد**اياب و ذهاب به عهده شرکت</t>
  </si>
  <si>
    <t>اصلاح دمپر پلاستيکي پشت کابين - سايد باي سايد</t>
  </si>
  <si>
    <t>1405/06/19</t>
  </si>
  <si>
    <t>1403/04/11</t>
  </si>
  <si>
    <t>1404/07/05</t>
  </si>
  <si>
    <t xml:space="preserve">         دمپر پلاستيکي گرد سايد باي سايد C2S-29HS1</t>
  </si>
  <si>
    <t>ترک وان ** اياب و ذهاب به عهده مشتري</t>
  </si>
  <si>
    <t xml:space="preserve">ترک وان یخچال </t>
  </si>
  <si>
    <t>1405/05/30</t>
  </si>
  <si>
    <t xml:space="preserve">           کابين فوم خورده سايد باي سايد C2S-29HS1</t>
  </si>
  <si>
    <t>52240001N01098</t>
  </si>
  <si>
    <t>عدم کارکرد يخساز ** اياب و ذهاب به عهده مشتري</t>
  </si>
  <si>
    <t>خرابي موتور يخساز - سايد باي سايد</t>
  </si>
  <si>
    <t>1405/06/17</t>
  </si>
  <si>
    <t>1404/10/21</t>
  </si>
  <si>
    <t xml:space="preserve">                         C2S-29HS1 سنسور يخساز سايد باي سايد
    C2S-29HS1 موتور يخساز سايد باي سايد</t>
  </si>
  <si>
    <t>52240001N01115</t>
  </si>
  <si>
    <t>خروج يکسره آب از آبسردکن**اياب و ذهاب به عهده مشتري</t>
  </si>
  <si>
    <t>خرابي شيربرقي فريزر - سايد باي سايد</t>
  </si>
  <si>
    <t>1405/05/24</t>
  </si>
  <si>
    <t>1403/05/31</t>
  </si>
  <si>
    <t xml:space="preserve">C2S-29HS1 شيربرقي سايد باي سايد </t>
  </si>
  <si>
    <t>عدم تخليه يخ به صورت قالبي**اياب و ذهاب به عهده مشتري</t>
  </si>
  <si>
    <t>1405/06/03</t>
  </si>
  <si>
    <t xml:space="preserve">C2S-29HS1 دمپر کامل خروجي يخساز سايد باي سايد </t>
  </si>
  <si>
    <t>52220003N01180</t>
  </si>
  <si>
    <t xml:space="preserve">نشتی از اورینگ پمپ تخلیه </t>
  </si>
  <si>
    <t>1405/06/18</t>
  </si>
  <si>
    <t>1403/12/07</t>
  </si>
  <si>
    <t>52220004N00054</t>
  </si>
  <si>
    <t>عدم شست و شوي کامل ظروف**اياب و ذهاب به عهده مشتري</t>
  </si>
  <si>
    <t xml:space="preserve">اصلاح شیلنگ تخلیه </t>
  </si>
  <si>
    <t>1405/05/29</t>
  </si>
  <si>
    <t>1403/07/10</t>
  </si>
  <si>
    <t>1403/11/28</t>
  </si>
  <si>
    <t>52220004N00085</t>
  </si>
  <si>
    <t>جمع شدن آب زير محصول**بسته نشدن درب**اياب و ذهاب به عهده شرکت</t>
  </si>
  <si>
    <t>1405/05/31</t>
  </si>
  <si>
    <t>1403/07/11</t>
  </si>
  <si>
    <t>بسته نشدن درب**اياب و ذهاب به عهده شرکت</t>
  </si>
  <si>
    <t>پايين بودن میکروسوئیچ درب - ظرفشویی</t>
  </si>
  <si>
    <t>52220004N00185</t>
  </si>
  <si>
    <t>بسته نشدن درب**اياب و ذهاب به عهده مشتري</t>
  </si>
  <si>
    <t>خرابی  قلاب میکروسوئیچ</t>
  </si>
  <si>
    <t>1405/05/26</t>
  </si>
  <si>
    <t>1403/07/16</t>
  </si>
  <si>
    <t>1403/11/13</t>
  </si>
  <si>
    <t>قلاب ميکروسوئيچ ماشين ظرفشويی     CDW-H13\CDW-H15\CDW-H16</t>
  </si>
  <si>
    <t>52220005N00253</t>
  </si>
  <si>
    <t>از کار افتادن محصول**اياب و ذهاب به عهده شرکت</t>
  </si>
  <si>
    <t>52240001N01462</t>
  </si>
  <si>
    <t>خرابي کمپرسور - از کارافتادن - سايد باي سايد</t>
  </si>
  <si>
    <t xml:space="preserve">LM60&amp;LM70-VFL110CY کمپرسور اينورتر دانپر فريزر </t>
  </si>
  <si>
    <t>52240001N01567</t>
  </si>
  <si>
    <t>تعريق کاور / سقف**عدم تخليه يخ به صورت قالبي**اياب و ذهاب به عهده شرکت</t>
  </si>
  <si>
    <t>1405/05/27</t>
  </si>
  <si>
    <t>1403/07/21</t>
  </si>
  <si>
    <t>1404/10/04</t>
  </si>
  <si>
    <t>عدم کارکرد يخساز ** اياب و ذهاب به عهده شرکت</t>
  </si>
  <si>
    <t>يخزدگي شيلنگ داخل درب يخساز - سايد باي سايد</t>
  </si>
  <si>
    <t xml:space="preserve">C2S-29HS1 درب فريزرمونتاژ شده  سايد باي سايد  </t>
  </si>
  <si>
    <t>52240001N01604</t>
  </si>
  <si>
    <t>جمع شدن آب زير محصول**اياب و ذهاب به عهده شرکت</t>
  </si>
  <si>
    <t>1405/06/08</t>
  </si>
  <si>
    <t>1404/12/27</t>
  </si>
  <si>
    <t xml:space="preserve">C2S-29HS1 شيربرقي سايد باي سايد  </t>
  </si>
  <si>
    <t>52220005N00474</t>
  </si>
  <si>
    <t>خرابي برد - عدم عملکرد کليدهاي ديسپلي</t>
  </si>
  <si>
    <t>1405/06/07</t>
  </si>
  <si>
    <t>1403/08/01</t>
  </si>
  <si>
    <t>1403/11/21</t>
  </si>
  <si>
    <t>DW-HS-16 برد ماشين ظرفشويي</t>
  </si>
  <si>
    <t>52240001N01710</t>
  </si>
  <si>
    <t>شکستگي قالب يخساز**اياب و ذهاب به عهده مشتري</t>
  </si>
  <si>
    <t xml:space="preserve">شکستگی کاور پشت یخساز </t>
  </si>
  <si>
    <t>1405/06/04</t>
  </si>
  <si>
    <t>1403/12/02</t>
  </si>
  <si>
    <t xml:space="preserve">            C2S-29HS1 کاور پشت يخساز سايد باي سايد</t>
  </si>
  <si>
    <t>52220005N00601</t>
  </si>
  <si>
    <t>خرابي پمپ تخليه</t>
  </si>
  <si>
    <t>1405/06/12</t>
  </si>
  <si>
    <t>/     CDW-H13\CDW-H15\CDW-H16     DW-HS پمپ تخليه ماشين ظرفشویي</t>
  </si>
  <si>
    <t>52220005N00605</t>
  </si>
  <si>
    <t>بسته نشدن درب ** اياب و ذهاب به عهده شرکت</t>
  </si>
  <si>
    <t>52240001N01778</t>
  </si>
  <si>
    <t>تعويض فيلتر - غيرگارانتي</t>
  </si>
  <si>
    <t>1405/06/16</t>
  </si>
  <si>
    <t>52240001N01789</t>
  </si>
  <si>
    <t>صداي غيرعادي موتور فن کندانسور **اياب و ذهاب به عهده شرکت</t>
  </si>
  <si>
    <t>صداي غير عادي فن کندانسور - سايد باي سايد</t>
  </si>
  <si>
    <t xml:space="preserve">C2S-29HS1 موتور فن و پروانه کندانسور سايد باي سايد  </t>
  </si>
  <si>
    <t>CTV-50UHJS2</t>
  </si>
  <si>
    <t>52230002N01170</t>
  </si>
  <si>
    <t>از کار افتادن محصول ** اياب و ذهاب به عهده مشتري</t>
  </si>
  <si>
    <t>خرابي مين برد</t>
  </si>
  <si>
    <t>1403/08/24</t>
  </si>
  <si>
    <t>1403/10/08</t>
  </si>
  <si>
    <t xml:space="preserve">                             TV-HS-50 برد تلويزيون</t>
  </si>
  <si>
    <t>عدم کارکرد يخساز**مجدد**اياب و ذهاب به عهده شرکت</t>
  </si>
  <si>
    <t>1405/05/21</t>
  </si>
  <si>
    <t>52240001N01867</t>
  </si>
  <si>
    <t>عدم کارکرد يخساز**اياب و ذهاب به عهده شرکت</t>
  </si>
  <si>
    <t xml:space="preserve">                   
   C2S-29HS1 موتور يخساز سايد باي سايد</t>
  </si>
  <si>
    <t>52240001N01934</t>
  </si>
  <si>
    <t xml:space="preserve">
اصلاح دمپر پلاستيکي پشت کابين - سايد باي سايد</t>
  </si>
  <si>
    <t>1404/04/04</t>
  </si>
  <si>
    <t xml:space="preserve">C2S-29HS1 دمپر کامل خروجي يخساز سايد باي سايد 
</t>
  </si>
  <si>
    <t>52240001N02048</t>
  </si>
  <si>
    <t>موج درب ** اياب و ذهاب به عهده مشتري</t>
  </si>
  <si>
    <t>موج درب - سايد باي سايد</t>
  </si>
  <si>
    <t>1404/03/05</t>
  </si>
  <si>
    <t>C2S-29HS1 درب یخچال ساید بای ساید</t>
  </si>
  <si>
    <t>52220005N01022</t>
  </si>
  <si>
    <t>1405/05/25</t>
  </si>
  <si>
    <t>1403/10/20</t>
  </si>
  <si>
    <t>52240001N02125</t>
  </si>
  <si>
    <t>52220005N01169</t>
  </si>
  <si>
    <t>باز نشدن درب**اياب و ذهاب به عهده مشتري</t>
  </si>
  <si>
    <t>52240001N02132</t>
  </si>
  <si>
    <t>1403/09/21</t>
  </si>
  <si>
    <t xml:space="preserve">C2S-29HS1 دمپر کامل خروجي يخساز سايد باي سايد     </t>
  </si>
  <si>
    <t>52220005N01210</t>
  </si>
  <si>
    <t>1403/11/17</t>
  </si>
  <si>
    <t>52220004N01273</t>
  </si>
  <si>
    <t>1404/07/23</t>
  </si>
  <si>
    <t>52210003N01248</t>
  </si>
  <si>
    <t>عدم تخليه آب کثيف داخل درام ** اياب و ذهاب به عهده شرکت</t>
  </si>
  <si>
    <t>1403/10/07</t>
  </si>
  <si>
    <t>BMW-8V&amp;8T&amp;9T پمپ تخلیه ماشین لباسشویی</t>
  </si>
  <si>
    <t>52210009N00098</t>
  </si>
  <si>
    <t>لرزش و حرکت محصول**اياب و ذهاب به عهده شرکت</t>
  </si>
  <si>
    <t xml:space="preserve">تراز  پایه تنظیم </t>
  </si>
  <si>
    <t>1403/10/15</t>
  </si>
  <si>
    <t>52210003N01476</t>
  </si>
  <si>
    <t>صداي غيرعادي هنگام خشک کن ** اياب و ذهاب به عهده مشتري</t>
  </si>
  <si>
    <t>تراز پايه تنظيم</t>
  </si>
  <si>
    <t>52240001N01372</t>
  </si>
  <si>
    <t>عدم کارکرد يخساز**</t>
  </si>
  <si>
    <t>1405/03/25</t>
  </si>
  <si>
    <t>52240004N00311</t>
  </si>
  <si>
    <t>خاموش و روشن شدن LED کاور / سقفي**اياب و ذهاب به عهده شرکت</t>
  </si>
  <si>
    <t>1403/11/25</t>
  </si>
  <si>
    <t>1405/04/16</t>
  </si>
  <si>
    <t xml:space="preserve">                             MINI کليد فشاري يخچال</t>
  </si>
  <si>
    <t>52210009N00194</t>
  </si>
  <si>
    <t>کمرنگ شدن ديسپلي - خرابي ديسپلي**اياب و ذهاب به عهده شرکت</t>
  </si>
  <si>
    <t xml:space="preserve">                 BMW-9T برد نمايشگر ماشين لباسشويي</t>
  </si>
  <si>
    <t>52240003N00836</t>
  </si>
  <si>
    <t>خاموش بودن LED کاور / سقفي ** اياب و ذهاب به عهده شرکت</t>
  </si>
  <si>
    <t>1403/12/03</t>
  </si>
  <si>
    <t>52240002N00847</t>
  </si>
  <si>
    <t>1405/04/15</t>
  </si>
  <si>
    <t>52240002N01029</t>
  </si>
  <si>
    <t>خاموش بودن LED کاور / سقفي**اياب و ذهاب به عهده شرکت</t>
  </si>
  <si>
    <t>1403/12/22</t>
  </si>
  <si>
    <t>52220002N01933</t>
  </si>
  <si>
    <t>1405/06/10</t>
  </si>
  <si>
    <t>52220004N02288</t>
  </si>
  <si>
    <t>خطاي F54 ** اياب و ذهاب به عهده شرکت</t>
  </si>
  <si>
    <t>52220004N02499</t>
  </si>
  <si>
    <t>نشتي اورينگ مخزن نمک</t>
  </si>
  <si>
    <t>52220001N01207</t>
  </si>
  <si>
    <t>خرابي برد - از کار افتادن</t>
  </si>
  <si>
    <t>1404/12/07</t>
  </si>
  <si>
    <t>DW-HS-13 برد ماشین ظرفشویی</t>
  </si>
  <si>
    <t>52210007N00659</t>
  </si>
  <si>
    <t xml:space="preserve"> ** زنگ زدگي درام ** اياب و ذهاب به عهده شرکت</t>
  </si>
  <si>
    <t>زنگ زدگي درام</t>
  </si>
  <si>
    <t>1405/06/09</t>
  </si>
  <si>
    <t>ورق بدنه دیگ استیل درون درام            (8V/8T/9T)
جلو بدنه دیگ استیل درون درام          (8V/8T/9T)
ورق عقب بدنه دیگ استیل درون درام   (8V/8T/9T)</t>
  </si>
  <si>
    <t>لرزش و حرکت محصول ** مجدد ** اياب و ذهاب به عهده شرکت</t>
  </si>
  <si>
    <t>خرابي کمک فنر</t>
  </si>
  <si>
    <t xml:space="preserve">     BMW-8V&amp;8T&amp;9T کمک فنر ماشین  لباسشویی </t>
  </si>
  <si>
    <t>52210010N00840</t>
  </si>
  <si>
    <t>نشتي از شيلنگ جاپودري</t>
  </si>
  <si>
    <t xml:space="preserve">BMW-7/5V&amp;8T&amp;9T لوله خرطومی خروجی از درام لباسشویی </t>
  </si>
  <si>
    <t>52220005N02783</t>
  </si>
  <si>
    <t>نشتي شيلنگ تخليه</t>
  </si>
  <si>
    <t xml:space="preserve">DW-HS شیلنگ تخلیه ماشین ظرفشویی </t>
  </si>
  <si>
    <t>52220005N02823</t>
  </si>
  <si>
    <t>52220005N02870</t>
  </si>
  <si>
    <t>نشتي از شيلنگ هيدروستات</t>
  </si>
  <si>
    <t>1404/03/28</t>
  </si>
  <si>
    <t>CWM-BMW8TI1</t>
  </si>
  <si>
    <t>52210006N01150</t>
  </si>
  <si>
    <t>صداي غيرعادي هنگام خشک کن**اياب و ذهاب به عهده مشتري</t>
  </si>
  <si>
    <t>1404/03/01</t>
  </si>
  <si>
    <t>1404/03/25</t>
  </si>
  <si>
    <t>52210007N00830</t>
  </si>
  <si>
    <t>صداي غيرعادي هنگام خشک کن**اياب و ذهاب به عهده شرکت</t>
  </si>
  <si>
    <t>صداي غيرعادي پمپ تخليه</t>
  </si>
  <si>
    <t>CTV-65QLJS3</t>
  </si>
  <si>
    <t>52230005N00188</t>
  </si>
  <si>
    <t xml:space="preserve">                             TV-HS-65QL      برد تلويزيون</t>
  </si>
  <si>
    <t>CTV-75QLJS3</t>
  </si>
  <si>
    <t>52230007N00049</t>
  </si>
  <si>
    <t>عدم عملکرد ريموت کنترل</t>
  </si>
  <si>
    <t xml:space="preserve">                             TV-HS-75QL      برد تلويزيون</t>
  </si>
  <si>
    <t>52210002N00295</t>
  </si>
  <si>
    <t>عدم عملکرد کليدهاي ديسپلي ** اياب و ذهاب به عهده مشتري</t>
  </si>
  <si>
    <t>1404/09/24</t>
  </si>
  <si>
    <t>BMW-7.5 برد نمایشگر ماشین لباسشویی</t>
  </si>
  <si>
    <t>52210002N00325</t>
  </si>
  <si>
    <t>BMW-7/5V&amp;8V&amp;8T قفل درب ماشین لباسشویی</t>
  </si>
  <si>
    <t>52210001N00427</t>
  </si>
  <si>
    <t>جمع شدن آب داخل محصول**اياب و ذهاب به عهده شرکت</t>
  </si>
  <si>
    <t>1404/03/14</t>
  </si>
  <si>
    <t>BMW  شیربرقی ماشین لباسشویی</t>
  </si>
  <si>
    <t>CWM-BMW8TW1</t>
  </si>
  <si>
    <t>52210005N01774</t>
  </si>
  <si>
    <t>نشتي از شيلنگ ورودي آب</t>
  </si>
  <si>
    <t>1404/03/18</t>
  </si>
  <si>
    <t>BMW شيلنگ ورودي آب ماشين لباسشويي</t>
  </si>
  <si>
    <t>52220003N02265</t>
  </si>
  <si>
    <t>خطاي F54**اياب و ذهاب به عهده شرکت</t>
  </si>
  <si>
    <t>نشتی از حوضچه مخزن نمک</t>
  </si>
  <si>
    <t>1404/03/08</t>
  </si>
  <si>
    <t>52210010N01160</t>
  </si>
  <si>
    <t>صداي غيرعادي هنگام خشک کن ** اياب و ذهاب به عهده مشتري ** مجدد</t>
  </si>
  <si>
    <t>1404/04/18</t>
  </si>
  <si>
    <t>پارگي نوار دور درب**اياب و ذهاب به عهده شرکت</t>
  </si>
  <si>
    <t>پارگي لاستيک</t>
  </si>
  <si>
    <t xml:space="preserve">نوار گسکت درب ماشين لباسشويي BMW 8T&amp;9T    </t>
  </si>
  <si>
    <t>52210010N01361</t>
  </si>
  <si>
    <t>52210006N01420</t>
  </si>
  <si>
    <t>1405/05/28</t>
  </si>
  <si>
    <t xml:space="preserve">              BMW-8T&amp;9T مجموعه درام ماشین لباسشویی </t>
  </si>
  <si>
    <t>52210007N01251</t>
  </si>
  <si>
    <t>1405/06/06</t>
  </si>
  <si>
    <t>1405/04/21</t>
  </si>
  <si>
    <t>CWM-BMW9TI1</t>
  </si>
  <si>
    <t>52210008N01212</t>
  </si>
  <si>
    <t>52210010N01554</t>
  </si>
  <si>
    <t>عدم شست و شوي کامل لباس**اياب و ذهاب به عهده شرکت</t>
  </si>
  <si>
    <t xml:space="preserve">اصلاح سوکت از روي برد </t>
  </si>
  <si>
    <t>1404/05/19</t>
  </si>
  <si>
    <t>52220005N03057</t>
  </si>
  <si>
    <t>خطای  F13**اياب و ذهاب به عهده مشتري</t>
  </si>
  <si>
    <t>خرابي هيدروستات</t>
  </si>
  <si>
    <t>1404/06/09</t>
  </si>
  <si>
    <t>DW-HS-16 هیدروستات ماشین ظرفشویی</t>
  </si>
  <si>
    <t>52220005N03371</t>
  </si>
  <si>
    <t>52210008N01427</t>
  </si>
  <si>
    <t>52220004N03689</t>
  </si>
  <si>
    <t>خطاي F12**اياب و ذهاب به عهده شرکت</t>
  </si>
  <si>
    <t xml:space="preserve">اصلاح شیلنگ  ورودی  آب </t>
  </si>
  <si>
    <t>52220003N02483</t>
  </si>
  <si>
    <t>52210009N02072</t>
  </si>
  <si>
    <t>1404/07/24</t>
  </si>
  <si>
    <t>52220005N04053</t>
  </si>
  <si>
    <t>کسري قطعات پک بسته بندي - کد قطعه در ليست اقدامات درج مي گردد. ** اياب و ذهاب به عهده شرکت</t>
  </si>
  <si>
    <t xml:space="preserve">کسری کارت گارانتی </t>
  </si>
  <si>
    <t>1404/07/29</t>
  </si>
  <si>
    <t xml:space="preserve">کارت گارانتی </t>
  </si>
  <si>
    <t>52220005N04139</t>
  </si>
  <si>
    <t>کسري جلوپايي**اياب و ذهاب به عهده شرکت</t>
  </si>
  <si>
    <t>کسري جلوپايي</t>
  </si>
  <si>
    <t>1405/06/13</t>
  </si>
  <si>
    <t xml:space="preserve"> DW-HS-15      جلوپایی سفید ماشین ظرفشویی</t>
  </si>
  <si>
    <t>52220004N04320</t>
  </si>
  <si>
    <t>عدم تخليه آب داخل ماشين ظرفشويي ** اياب و ذهاب به عهده شرکت</t>
  </si>
  <si>
    <t>52220002N02708</t>
  </si>
  <si>
    <t>52220004N04944</t>
  </si>
  <si>
    <t>52240003N01318</t>
  </si>
  <si>
    <t>52240003N01352</t>
  </si>
  <si>
    <t>1404/09/11</t>
  </si>
  <si>
    <t>52220004N05225</t>
  </si>
  <si>
    <t>52220004N05243</t>
  </si>
  <si>
    <t>1405/04/24</t>
  </si>
  <si>
    <t>52220003N02873</t>
  </si>
  <si>
    <t>1404/11/26</t>
  </si>
  <si>
    <t>52220005N05305</t>
  </si>
  <si>
    <t>1404/12/25</t>
  </si>
  <si>
    <t>52240004N00400</t>
  </si>
  <si>
    <t>پارگي وان</t>
  </si>
  <si>
    <t xml:space="preserve">درحال پیگیری </t>
  </si>
  <si>
    <t>52210011N00514</t>
  </si>
  <si>
    <t>کسري قطعات پک بسته بندي - کد قطعه در ليست اقدامات درج مي گردد.**اياب و ذهاب به عهده شرکت</t>
  </si>
  <si>
    <t>کسري پک بسته بندي</t>
  </si>
  <si>
    <t>1404/11/07</t>
  </si>
  <si>
    <t>CM-RS5GR1</t>
  </si>
  <si>
    <t>52240006N00362</t>
  </si>
  <si>
    <t>شکستگي قطعات تزئيني درب- کد قطعه در ليست اقدامات درج مي گردد. ** خاموش و روشن شدن LED آبسردکن ** اياب و ذهاب به عهده شرکت</t>
  </si>
  <si>
    <t>شکستگي قطعات تزئيني داخل درب - يخچال ميني</t>
  </si>
  <si>
    <t>1404/11/08</t>
  </si>
  <si>
    <t>MINI شلف کوچک یخچال</t>
  </si>
  <si>
    <t>CDW-K14BS1</t>
  </si>
  <si>
    <t>52220006N00231</t>
  </si>
  <si>
    <t>شکستگي جلوپايي**اياب و ذهاب به عهده شرکت</t>
  </si>
  <si>
    <t>شکستگي جلوپايي</t>
  </si>
  <si>
    <t>1404/11/27</t>
  </si>
  <si>
    <t>K-DW- جلوپایی سیلور ماشین ظرفشویی 14</t>
  </si>
  <si>
    <t>52210013N00088</t>
  </si>
  <si>
    <t>1404/12/01</t>
  </si>
  <si>
    <t>52210013N00027</t>
  </si>
  <si>
    <t>1404/11/29</t>
  </si>
  <si>
    <t>52210013N00239</t>
  </si>
  <si>
    <t>52210013N00223</t>
  </si>
  <si>
    <t>52220007N00292</t>
  </si>
  <si>
    <t>عدم شست و شوي کامل ظروف ** اياب و ذهاب به عهده شرکت</t>
  </si>
  <si>
    <t>1404/12/06</t>
  </si>
  <si>
    <t>52210015N00167</t>
  </si>
  <si>
    <t>1404/12/10</t>
  </si>
  <si>
    <t>52240006N00670</t>
  </si>
  <si>
    <t>خاموش بودن LED کاور / سقفي**شکستگي قطعات تزئيني کابين- کد قطعه در ليست اقدامات درج مي گردد.**اياب و ذهاب به عهده شرکت</t>
  </si>
  <si>
    <t>CWM-BMW9TI2</t>
  </si>
  <si>
    <t>52210016N00248</t>
  </si>
  <si>
    <t>کسري پک بسته بندي - کد داخلي قطعه در ليست اقدام درج مي گردد.**اياب و ذهاب به عهده شرکت</t>
  </si>
  <si>
    <t>52210016N00186</t>
  </si>
  <si>
    <t>52240006N00731</t>
  </si>
  <si>
    <t>رنگ پريدگي درب**اياب و ذهاب به عهده شرکت</t>
  </si>
  <si>
    <t xml:space="preserve">رنگ پریدگی درب </t>
  </si>
  <si>
    <t xml:space="preserve">تعویض محصول </t>
  </si>
  <si>
    <t>52210016N00345</t>
  </si>
  <si>
    <t>BMW-9T قفل درب ماشين لباسشويي</t>
  </si>
  <si>
    <t>52210015N00262</t>
  </si>
  <si>
    <t>52210016N00331</t>
  </si>
  <si>
    <t>پارگي نوار دور درب ** اياب و ذهاب به عهده شرکت</t>
  </si>
  <si>
    <t>52210016N00321</t>
  </si>
  <si>
    <t>CWM-BMW8TI3</t>
  </si>
  <si>
    <t>52210014N00302</t>
  </si>
  <si>
    <t xml:space="preserve">سفت کردن پیچ های بالانسور </t>
  </si>
  <si>
    <t>52210014N00455</t>
  </si>
  <si>
    <t>52240003N02110</t>
  </si>
  <si>
    <t>1405/03/13</t>
  </si>
  <si>
    <t>CM-RS5WH1</t>
  </si>
  <si>
    <t>52240010N00042</t>
  </si>
  <si>
    <t>خاموش و روشن شدن LED کاور / سقفي ** اياب و ذهاب به عهده شرکت</t>
  </si>
  <si>
    <t>1405/04/22</t>
  </si>
  <si>
    <t>CM-RM5ST1</t>
  </si>
  <si>
    <t>52240020N00054</t>
  </si>
  <si>
    <t>کسري قطعات تزئيني داخل درب - يخچال ميني</t>
  </si>
  <si>
    <t>1405/03/27</t>
  </si>
  <si>
    <t xml:space="preserve">                            MINI جا تخم مرغی </t>
  </si>
  <si>
    <t>52240009N00267</t>
  </si>
  <si>
    <t>گرم شدن محصول**اياب و ذهاب به عهده شرکت</t>
  </si>
  <si>
    <t xml:space="preserve">اصلاح سوکت کمپرسور </t>
  </si>
  <si>
    <t>52240009N00225</t>
  </si>
  <si>
    <t xml:space="preserve">تنظیم ترموستات </t>
  </si>
  <si>
    <t>کلیدواژه / عبارت</t>
  </si>
  <si>
    <t>اولویت</t>
  </si>
  <si>
    <t>برد نمایشگر</t>
  </si>
  <si>
    <t>خرابی - برد نمایش/مین برد (تعویض)</t>
  </si>
  <si>
    <t>مین برد</t>
  </si>
  <si>
    <t>مين برد</t>
  </si>
  <si>
    <t>برد</t>
  </si>
  <si>
    <t>خرابی - برد الکترونیک (تعویض)</t>
  </si>
  <si>
    <t>دیسپلی</t>
  </si>
  <si>
    <t>ديسپل</t>
  </si>
  <si>
    <t>ریموت</t>
  </si>
  <si>
    <t>ریموت کنترل (تعویض/تعمیر)</t>
  </si>
  <si>
    <t>ريموت</t>
  </si>
  <si>
    <t>LED</t>
  </si>
  <si>
    <t>خرابی - لامپ/LED داخلی (تعویض)</t>
  </si>
  <si>
    <t>ال ای دی</t>
  </si>
  <si>
    <t>ال اي دي</t>
  </si>
  <si>
    <t>زنگ زدگی</t>
  </si>
  <si>
    <t>زنگ‌زدگی بدنه/قطعه (تعویض)</t>
  </si>
  <si>
    <t>زنگ‌زدگی</t>
  </si>
  <si>
    <t>زنگ زد</t>
  </si>
  <si>
    <t>سبد</t>
  </si>
  <si>
    <t>سبد ظرفشویی - شکستگی (تعویض)</t>
  </si>
  <si>
    <t>خرابی - تاب برداشتن درام (تعویض)</t>
  </si>
  <si>
    <t>درام</t>
  </si>
  <si>
    <t>خرابی - سایر ایراد درام (تعویض)</t>
  </si>
  <si>
    <t>کمک فنر</t>
  </si>
  <si>
    <t>خرابی - کمک فنر (تعویض)</t>
  </si>
  <si>
    <t>کمک‌فنر</t>
  </si>
  <si>
    <t>موتور</t>
  </si>
  <si>
    <t>خرابی - موتور (تعویض)</t>
  </si>
  <si>
    <t>تسمه</t>
  </si>
  <si>
    <t>خرابی - تسمه (تعویض)</t>
  </si>
  <si>
    <t>بلبرینگ</t>
  </si>
  <si>
    <t>خرابی - بلبرینگ (تعویض)</t>
  </si>
  <si>
    <t>بلبرينگ</t>
  </si>
  <si>
    <t>هیدروستات</t>
  </si>
  <si>
    <t>خرابی - هیدروستات (تعویض)</t>
  </si>
  <si>
    <t>هيدروستات</t>
  </si>
  <si>
    <t>شیربرقی</t>
  </si>
  <si>
    <t>خرابی - شیربرقی (تعویض)</t>
  </si>
  <si>
    <t>شيربرقي</t>
  </si>
  <si>
    <t>واترجت</t>
  </si>
  <si>
    <t>خرابی - واترجت (تعویض)</t>
  </si>
  <si>
    <t>واتر جت</t>
  </si>
  <si>
    <t>ترموستات</t>
  </si>
  <si>
    <t>خرابی - ترموستات/سنسور دما (تعویض)</t>
  </si>
  <si>
    <t>سنسور دمای کابین</t>
  </si>
  <si>
    <t>سنسور دما</t>
  </si>
  <si>
    <t>کمپرسور</t>
  </si>
  <si>
    <t>خرابی - کمپرسور (تعویض)</t>
  </si>
  <si>
    <t>فن کندانسور</t>
  </si>
  <si>
    <t>فن کندانسور - خرابی/صدا (تعویض)</t>
  </si>
  <si>
    <t>موتور یخساز</t>
  </si>
  <si>
    <t>یخساز - خرابی موتور (تعویض)</t>
  </si>
  <si>
    <t>موتور يخساز</t>
  </si>
  <si>
    <t>سنسور یخساز</t>
  </si>
  <si>
    <t>یخساز - خرابی سنسور (تعویض)</t>
  </si>
  <si>
    <t>سنسور يخساز</t>
  </si>
  <si>
    <t>خرابی یخساز</t>
  </si>
  <si>
    <t>یخساز - خرابی موتور/سنسور/برد (تعویض)</t>
  </si>
  <si>
    <t>خرابي يخساز</t>
  </si>
  <si>
    <t>قالب یخساز</t>
  </si>
  <si>
    <t>یخساز - قالب/کاور (تعویض/بازبینی)</t>
  </si>
  <si>
    <t>قالب يخساز</t>
  </si>
  <si>
    <t>یخساز - کاور (تعویض)</t>
  </si>
  <si>
    <t>کاور پشت یخساز</t>
  </si>
  <si>
    <t>لاستیک</t>
  </si>
  <si>
    <t>لاستیک درزگیر - دفرمگی/پارگی (تعویض)</t>
  </si>
  <si>
    <t>لاستيک</t>
  </si>
  <si>
    <t>گسکت</t>
  </si>
  <si>
    <t>گسگت</t>
  </si>
  <si>
    <t>لولا</t>
  </si>
  <si>
    <t>مکانیزم درب - لولا (تعویض/تنظیم)</t>
  </si>
  <si>
    <t>زبانه</t>
  </si>
  <si>
    <t>مکانیزم درب - زبانه (تعویض)</t>
  </si>
  <si>
    <t>مکانیزم درب - مگنت (تعویض)</t>
  </si>
  <si>
    <t>میکروسوئیچ</t>
  </si>
  <si>
    <t>مکانیزم درب - میکروسوئیچ/قلاب (تعویض/تنظیم)</t>
  </si>
  <si>
    <t>ميکروسوئيچ</t>
  </si>
  <si>
    <t>قلاب میکروسوئیچ</t>
  </si>
  <si>
    <t>قلاب ميکروسوئيچ</t>
  </si>
  <si>
    <t>کلید فشاری</t>
  </si>
  <si>
    <t>کلید فشاری (تعویض/بازبینی)</t>
  </si>
  <si>
    <t>کليد فشاري</t>
  </si>
  <si>
    <t>وان/کابین - ترک (نیازمند تعویض/بررسی)</t>
  </si>
  <si>
    <t>ترک وان یخچال</t>
  </si>
  <si>
    <t>مکانیزم درب - دستگیره (تعویض)</t>
  </si>
  <si>
    <t>دستگیره</t>
  </si>
  <si>
    <t>فیتینگی</t>
  </si>
  <si>
    <t>نشتی - اتصال/فیتینگ (تعمیر/آب‌بندی)</t>
  </si>
  <si>
    <t>فیتینگ</t>
  </si>
  <si>
    <t>مخزن نمک</t>
  </si>
  <si>
    <t>نشتی - درب مخزن نمک (تعمیر/آب‌بندی)</t>
  </si>
  <si>
    <t>مقسم آب</t>
  </si>
  <si>
    <t>نشتی - مقسم آب (تعمیر/آب‌بندی)</t>
  </si>
  <si>
    <t>جاپودری</t>
  </si>
  <si>
    <t>نشتی - جاپودری (تعمیر/آب‌بندی)</t>
  </si>
  <si>
    <t>جاپودري</t>
  </si>
  <si>
    <t>جا قرصی</t>
  </si>
  <si>
    <t>نشتی - جاپودری/جا قرصی (تعمیر/آب‌بندی)</t>
  </si>
  <si>
    <t>براکت ریل</t>
  </si>
  <si>
    <t>نشتی - براکت ریل (تعمیر/آب‌بندی)</t>
  </si>
  <si>
    <t>براکت</t>
  </si>
  <si>
    <t>پمپ تخلیه</t>
  </si>
  <si>
    <t>خرابی - پمپ تخلیه (تعویض)</t>
  </si>
  <si>
    <t>پمپ تخليه</t>
  </si>
  <si>
    <t>شیلنگ</t>
  </si>
  <si>
    <t>شیلنگ - برخورد/لهیدگی (بازبینی)</t>
  </si>
  <si>
    <t>شيلنگ</t>
  </si>
  <si>
    <t>پرچ</t>
  </si>
  <si>
    <t>پرچ/بدنه کابین (تعمیر)</t>
  </si>
  <si>
    <t>ضربه</t>
  </si>
  <si>
    <t>بدنه/کابین - ضربه (بازبینی/تعویض پنل)</t>
  </si>
  <si>
    <t>رنگ پریدگی</t>
  </si>
  <si>
    <t>بدنه/درب - ایراد ظاهری (بازبینی)</t>
  </si>
  <si>
    <t>رنگ‌پریدگی</t>
  </si>
  <si>
    <t>فاصله درب</t>
  </si>
  <si>
    <t>سایر اجزای درب (بازبینی)</t>
  </si>
  <si>
    <t>موج درب</t>
  </si>
  <si>
    <t>درب</t>
  </si>
  <si>
    <t>نشتی گاز</t>
  </si>
  <si>
    <t>نشتی گاز - نیازمند بررسی</t>
  </si>
  <si>
    <t>نشتی</t>
  </si>
  <si>
    <t>نشتی آب - محل نامشخص (نیازمند بازدید)</t>
  </si>
  <si>
    <t>آبریزش</t>
  </si>
  <si>
    <t>آبريزش</t>
  </si>
  <si>
    <t>سیم‌کشی/اتصالات (تعویض/بازبینی)</t>
  </si>
  <si>
    <t>قطعی سیم</t>
  </si>
  <si>
    <t>کسری قطعات تزئینی</t>
  </si>
  <si>
    <t>قطعات تزئینی - شکستگی/کسری (تعویض)</t>
  </si>
  <si>
    <t>کسري قطعات تزئيني</t>
  </si>
  <si>
    <t>قطعات تزئینی</t>
  </si>
  <si>
    <t>قطعات تزئيني</t>
  </si>
  <si>
    <t>کسری جلوپایی</t>
  </si>
  <si>
    <t>جلوپایی/پایه (کسری/شکستگی)</t>
  </si>
  <si>
    <t>شکستگی جلوپایی</t>
  </si>
  <si>
    <t>کسری اقلام بسته‌بندی</t>
  </si>
  <si>
    <t>کسری پک بسته‌بندی</t>
  </si>
  <si>
    <t>کسري پک بسته‌بندي</t>
  </si>
  <si>
    <t>کسری کارت گارانتی</t>
  </si>
  <si>
    <t>کسری مدارک/کارت گارانتی</t>
  </si>
  <si>
    <t>درحال پیگیری</t>
  </si>
  <si>
    <t>درحال پیگیری/نیازمند تعیین علت</t>
  </si>
  <si>
    <t>در حال پیگیری</t>
  </si>
  <si>
    <t>تعویض فیلتر</t>
  </si>
  <si>
    <t>غیرگارانتی/بدون قطعه</t>
  </si>
  <si>
    <t>فیلتر</t>
  </si>
  <si>
    <t>فيلتر</t>
  </si>
  <si>
    <t>بدون مورد</t>
  </si>
  <si>
    <t>غير گارانتي</t>
  </si>
  <si>
    <t>غیرگارانتی</t>
  </si>
  <si>
    <t>بدون اجرت</t>
  </si>
  <si>
    <t>ریست</t>
  </si>
  <si>
    <t>ریست نرم‌افزاری (بدون قطعه)</t>
  </si>
  <si>
    <t>ريست</t>
  </si>
  <si>
    <t>تعویض محصول</t>
  </si>
  <si>
    <t>تعویض کامل دستگاه (Replacement)</t>
  </si>
  <si>
    <t>تعویض دستگاه</t>
  </si>
  <si>
    <t>تعويض محصول</t>
  </si>
  <si>
    <t>تعويض دستگاه</t>
  </si>
  <si>
    <t>تنظیم دیسپلی</t>
  </si>
  <si>
    <t>تنظیم - تنظیمات دستگاه/دیسپلی (تعمیر)</t>
  </si>
  <si>
    <t>تنظيم ديسپل</t>
  </si>
  <si>
    <t>تنظیم صفحه نمایش</t>
  </si>
  <si>
    <t>تنظيم صفحه نمايش</t>
  </si>
  <si>
    <t>تنظیم تایم آبگیری یخساز</t>
  </si>
  <si>
    <t>یخساز - تنظیم/عایق (تعمیر)</t>
  </si>
  <si>
    <t>تنظيم تايم آبگيري يخساز</t>
  </si>
  <si>
    <t>عایق کاری ورودی یخساز</t>
  </si>
  <si>
    <t>اصلاح دمپر</t>
  </si>
  <si>
    <t>سفت کردن پیچ</t>
  </si>
  <si>
    <t>بالانسور/اتصالات - تنظیم</t>
  </si>
  <si>
    <t>تراز/لرزش - نصب (رگلاژ پایه)</t>
  </si>
  <si>
    <t>رگلاژ درب</t>
  </si>
  <si>
    <t>مکانیزم درب - لولا (تنظیم)</t>
  </si>
  <si>
    <t>لولا تنظیم</t>
  </si>
  <si>
    <t>تنظیم لولا</t>
  </si>
  <si>
    <t>گریسکاری درب</t>
  </si>
  <si>
    <t>مکانیزم درب - گریسکاری/تنظیم</t>
  </si>
  <si>
    <t>گریس‌کاری درب</t>
  </si>
  <si>
    <t>مکانیزم درب - مهره/اتصال (تنظیم)</t>
  </si>
  <si>
    <t>عدم قرار گیری مهره درب</t>
  </si>
  <si>
    <t>عدم قرارگیری قالب یخساز</t>
  </si>
  <si>
    <t>یخساز - قالب/مکانیزم (تنظیم)</t>
  </si>
  <si>
    <t>عدم قرار گیری قالب یخساز</t>
  </si>
  <si>
    <t>سیم‌کشی/اتصالات (تعمیر/تنظیم)</t>
  </si>
  <si>
    <t>تنظیم سوکت</t>
  </si>
  <si>
    <t>متصل نبودن سوکت</t>
  </si>
  <si>
    <t>اصلاح سیم</t>
  </si>
  <si>
    <t>تنظیم ترموستات (تعمیر/تنظیم)</t>
  </si>
  <si>
    <t>پمپ تخلیه - گرفتگی/بازبینی</t>
  </si>
  <si>
    <t>گرفتگی پمپ تخليه</t>
  </si>
  <si>
    <t>نشتی - پمپ تخلیه (تعمیر/آب‌بندی)</t>
  </si>
  <si>
    <t>نشتی پمپ تخليه</t>
  </si>
  <si>
    <t>نشتی اورینگ پمپ تخليه</t>
  </si>
  <si>
    <t>نشتی از شیلنگ</t>
  </si>
  <si>
    <t>نشتی - شیلنگ (تعمیر/آب‌بندی)</t>
  </si>
  <si>
    <t>نشتی شیلنگ</t>
  </si>
  <si>
    <t>نشتي از شيلنگ</t>
  </si>
  <si>
    <t>نشتي شيلنگ</t>
  </si>
  <si>
    <t>حوضچه مخزن نمک - ترک/شکستگی (تعویض/بررسی)</t>
  </si>
  <si>
    <t>شکستگی حوضچه مخزن نمک</t>
  </si>
  <si>
    <t>رنگ پریدگی درب</t>
  </si>
  <si>
    <t>زنگ‌زدگی درام</t>
  </si>
  <si>
    <t>زنگ زدگی سبد</t>
  </si>
  <si>
    <t>زنگ‌زدگی سبد</t>
  </si>
  <si>
    <t>نشتی از مخزن نمک</t>
  </si>
  <si>
    <t>نشتی از براکت</t>
  </si>
  <si>
    <t>نشتي از براکت</t>
  </si>
  <si>
    <t>نشتی از فیتینگی</t>
  </si>
  <si>
    <t>نشتی از فیتینگ</t>
  </si>
  <si>
    <t>نشتی از لاستیک</t>
  </si>
  <si>
    <t>نشتی از گسکت</t>
  </si>
  <si>
    <t>برد نمایش تلویزیون (تعویض)</t>
  </si>
  <si>
    <t>صداي غير عادي فن کندانسور</t>
  </si>
  <si>
    <t>صدای غیرعادی فن کندانسور</t>
  </si>
  <si>
    <t>آرام‌بند درب (تعویض)</t>
  </si>
  <si>
    <t>عایق کاری</t>
  </si>
  <si>
    <t>عایق‌کاری/اصلاح (تعمیر)</t>
  </si>
  <si>
    <t>عایق‌کاری</t>
  </si>
  <si>
    <t>اصلاح سوکت کمپرسور</t>
  </si>
  <si>
    <t xml:space="preserve">شهریور </t>
  </si>
  <si>
    <t>1405-06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</si>
</sst>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1A1A1A"/>
      <name val="Calibri"/>
    </font>
    <font>
      <sz val="11"/>
      <color theme="1"/>
      <name val="YEKAN BAKH"/>
    </font>
    <font>
      <sz val="11"/>
      <color rgb="FF1A1A1A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E6E1DA"/>
      </left>
      <right style="thin">
        <color rgb="FFE6E1DA"/>
      </right>
      <top/>
      <bottom style="thin">
        <color rgb="FFE6E1DA"/>
      </bottom>
      <diagonal/>
    </border>
    <border>
      <left style="thin">
        <color rgb="FFE6E1DA"/>
      </left>
      <right style="thin">
        <color rgb="FFE6E1DA"/>
      </right>
      <top style="thin">
        <color rgb="FFE6E1DA"/>
      </top>
      <bottom style="thin">
        <color rgb="FFE6E1D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wrapText="1"/>
    </xf>
    <xf numFmtId="0" fontId="2" fillId="0" borderId="2" xfId="0" applyFont="1" applyFill="1" applyBorder="1" applyAlignment="1">
      <alignment horizontal="center" vertical="center" wrapText="1"/>
    </xf>
    <xf numFmtId="3" fontId="2" fillId="0" borderId="2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wrapText="1"/>
    </xf>
  </cellXfs>
  <cellStyles count="1">
    <cellStyle name="Normal" xfId="0" builtinId="0"/>
  </cellStyles>
  <dxfs count="19">
    <dxf>
      <fill>
        <patternFill patternType="none">
          <fgColor indexed="64"/>
          <bgColor auto="1"/>
        </patternFill>
      </fill>
      <alignment wrapText="1"/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</font>
      <fill>
        <patternFill patternType="none">
          <fgColor indexed="64"/>
          <bgColor auto="1"/>
        </patternFill>
      </fill>
      <alignment horizontal="center" vertical="center" wrapText="1"/>
      <border outline="0">
        <left style="thin">
          <color rgb="FFE6E1DA"/>
        </left>
        <right style="thin">
          <color rgb="FFE6E1DA"/>
        </right>
        <top/>
        <bottom/>
      </border>
    </dxf>
    <dxf>
      <fill>
        <patternFill patternType="none">
          <fgColor indexed="64"/>
          <bgColor auto="1"/>
        </patternFill>
      </fill>
      <alignment wrapText="1"/>
    </dxf>
    <dxf>
      <font>
        <strike val="0"/>
        <condense val="0"/>
        <extend val="0"/>
        <outline val="0"/>
        <shadow val="0"/>
        <vertAlign val="baseline"/>
        <sz val="11"/>
        <color theme="1"/>
        <name val="YEKAN BAKH"/>
      </font>
      <fill>
        <patternFill patternType="none">
          <fgColor indexed="64"/>
          <bgColor auto="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wrapText="1"/>
    </dxf>
    <dxf>
      <fill>
        <patternFill patternType="none">
          <fgColor indexed="64"/>
          <bgColor auto="1"/>
        </patternFill>
      </fill>
      <alignment wrapText="1"/>
    </dxf>
    <dxf>
      <font>
        <strike val="0"/>
        <condense val="0"/>
        <extend val="0"/>
        <outline val="0"/>
        <shadow val="0"/>
        <vertAlign val="baseline"/>
        <sz val="11"/>
        <color theme="1"/>
        <name val="YEKAN BAKH"/>
      </font>
      <fill>
        <patternFill patternType="none">
          <fgColor indexed="64"/>
          <bgColor auto="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YEKAN BAKH"/>
      </font>
      <fill>
        <patternFill patternType="none">
          <fgColor indexed="64"/>
          <bgColor auto="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YEKAN BAKH"/>
      </font>
      <fill>
        <patternFill patternType="none">
          <fgColor indexed="64"/>
          <bgColor auto="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YEKAN BAKH"/>
      </font>
      <fill>
        <patternFill patternType="none">
          <fgColor indexed="64"/>
          <bgColor auto="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YEKAN BAKH"/>
      </font>
      <fill>
        <patternFill patternType="none">
          <fgColor indexed="64"/>
          <bgColor auto="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YEKAN BAKH"/>
      </font>
      <fill>
        <patternFill patternType="none">
          <fgColor indexed="64"/>
          <bgColor auto="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YEKAN BAKH"/>
      </font>
      <fill>
        <patternFill patternType="none">
          <fgColor indexed="64"/>
          <bgColor auto="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YEKAN BAKH"/>
      </font>
      <fill>
        <patternFill patternType="none">
          <fgColor indexed="64"/>
          <bgColor auto="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wrapText="1"/>
    </dxf>
    <dxf>
      <fill>
        <patternFill patternType="none">
          <fgColor indexed="64"/>
          <bgColor auto="1"/>
        </patternFill>
      </fill>
      <alignment wrapText="1"/>
    </dxf>
    <dxf>
      <font>
        <strike val="0"/>
        <condense val="0"/>
        <extend val="0"/>
        <outline val="0"/>
        <shadow val="0"/>
        <vertAlign val="baseline"/>
        <sz val="11"/>
        <color theme="1"/>
        <name val="YEKAN BAKH"/>
      </font>
      <fill>
        <patternFill patternType="none">
          <fgColor indexed="64"/>
          <bgColor auto="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E6E1DA"/>
        </top>
      </border>
    </dxf>
    <dxf>
      <border outline="0">
        <bottom style="thin">
          <color rgb="FFE6E1DA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O450" totalsRowShown="0" headerRowDxfId="1" dataDxfId="0" headerRowBorderDxfId="18" tableBorderDxfId="17">
  <autoFilter ref="A1:O450" xr:uid="{00000000-0009-0000-0100-000001000000}"/>
  <sortState xmlns:xlrd2="http://schemas.microsoft.com/office/spreadsheetml/2017/richdata2" ref="A2:O450">
    <sortCondition ref="I1:I450"/>
  </sortState>
  <tableColumns count="15">
    <tableColumn id="1" xr3:uid="{00000000-0010-0000-0000-000001000000}" name="شماره پذیرش" dataDxfId="16"/>
    <tableColumn id="2" xr3:uid="{00000000-0010-0000-0000-000002000000}" name="ماه" dataDxfId="15"/>
    <tableColumn id="3" xr3:uid="{00000000-0010-0000-0000-000003000000}" name="کد ماه" dataDxfId="14"/>
    <tableColumn id="4" xr3:uid="{00000000-0010-0000-0000-000004000000}" name="نوع محصول" dataDxfId="13"/>
    <tableColumn id="5" xr3:uid="{00000000-0010-0000-0000-000005000000}" name="مدل" dataDxfId="12"/>
    <tableColumn id="6" xr3:uid="{00000000-0010-0000-0000-000006000000}" name="شماره سریال" dataDxfId="11"/>
    <tableColumn id="7" xr3:uid="{00000000-0010-0000-0000-000007000000}" name="اظهار مشتری" dataDxfId="10"/>
    <tableColumn id="8" xr3:uid="{00000000-0010-0000-0000-000008000000}" name="شرح خرابی" dataDxfId="9"/>
    <tableColumn id="9" xr3:uid="{00000000-0010-0000-0000-000009000000}" name="تاریخ پذیرش" dataDxfId="8"/>
    <tableColumn id="10" xr3:uid="{00000000-0010-0000-0000-00000A000000}" name="تاریخ تولید" dataDxfId="7"/>
    <tableColumn id="11" xr3:uid="{00000000-0010-0000-0000-00000B000000}" name="تاریخ نصب" dataDxfId="6"/>
    <tableColumn id="12" xr3:uid="{00000000-0010-0000-0000-00000C000000}" name="مدت مصرف (ماه)" dataDxfId="5"/>
    <tableColumn id="13" xr3:uid="{00000000-0010-0000-0000-00000D000000}" name="دسته علت خرابی" dataDxfId="4">
      <calculatedColumnFormula>IF(OR(ISNUMBER(SEARCH("بدون مورد",H2)),ISNUMBER(SEARCH("غير گارانتي",H2)),ISNUMBER(SEARCH("غیر گارانتی",H2)),ISNUMBER(SEARCH("بدون اجرت",H2)),ISNUMBER(SEARCH("فيلتر",H2)),ISNUMBER(SEARCH("فیلتر",H2))),"غیرگارانتی/بدون قطعه",IF(OR(ISNUMBER(SEARCH("ريست",H2)),ISNUMBER(SEARCH("ریست",H2))),"ریست نرم‌افزاری (بدون قطعه)",IF(OR(ISNUMBER(SEARCH("تعویض محصول",H2)),ISNUMBER(SEARCH("تعویض دستگاه",H2))),"تعویض کامل دستگاه (Replacement)",IF(ISNUMBER(SEARCH("پمپ",H2)),IF(ISNUMBER(SEARCH("نشت",H2)),"نشتی - پمپ تخلیه (تعمیر/آب‌بندی)","خرابی - پمپ تخلیه (تعویض)"),IF(ISNUMBER(SEARCH("کمپرسور",H2)),"خرابی - کمپرسور (تعویض)",IF(ISNUMBER(SEARCH("کمک فنر",H2)),"خرابی - کمک فنر (تعویض)",IF(ISNUMBER(SEARCH("لولا",H2)),"مکانیزم درب - لولا (تعویض)",IF(OR(ISNUMBER(SEARCH("قلاب",H2)),ISNUMBER(SEARCH("ميکروسوئيچ",H2)),ISNUMBER(SEARCH("میکروسوئیچ",H2))),"مکانیزم درب - میکروسوئیچ/قلاب (تعویض/تنظیم)",IF(ISNUMBER(SEARCH("زبانه",H2)),"مکانیزم درب - زبانه (تعویض)",IF(OR(ISNUMBER(SEARCH("شيلنگ",H2)),ISNUMBER(SEARCH("شیلنگ",H2))),IF(OR(ISNUMBER(SEARCH("نشتی",H2)),ISNUMBER(SEARCH("نشتي",H2))),"نشتی - شیلنگ (تعمیر/آب‌بندی)",IF(OR(ISNUMBER(SEARCH("يخ",H2)),ISNUMBER(SEARCH("یخ",H2))),"شیلنگ یخساز - یخ‌زدگی (بازبینی)","شیلنگ - برخورد/لهیدگی (بازبینی)")),IF(OR(ISNUMBER(SEARCH("تنظيم ديسپل",H2)),ISNUMBER(SEARCH("تنظیم دیسپل",H2)),ISNUMBER(SEARCH("تنظيم صفحه نمايش",H2)),ISNUMBER(SEARCH("تنظیم صفحه نمایش",H2))),"تنظیم - تنظیمات دستگاه/دیسپلی (تعمیر)",IF(OR(ISNUMBER(SEARCH("برد",H2)),ISNUMBER(SEARCH("سوکت",H2)),ISNUMBER(SEARCH("ديسپل",H2)),ISNUMBER(SEARCH("دیسپل",H2))),"خرابی - برد الکترونیک (تعویض)",IF(OR(ISNUMBER(SEARCH("يخساز",H2)),ISNUMBER(SEARCH("یخساز",H2)),ISNUMBER(SEARCH("دمپر",H2))),IF(OR(ISNUMBER(SEARCH("خرابی",H2)),ISNUMBER(SEARCH("خراب",H2)),ISNUMBER(SEARCH("عدم کارکرد",H2)),ISNUMBER(SEARCH("عدم عملکرد",H2))),"یخساز - خرابی موتور/سنسور/برد (تعویض)","یخساز - تنظیم/عایق (تعمیر)"),IF(OR(ISNUMBER(SEARCH("لاستيک",H2)),ISNUMBER(SEARCH("لاستیک",H2))),"لاستیک درزگیر - دفرمگی/پارگی (تعویض)",IF(OR(ISNUMBER(SEARCH("گسکت",H2)),ISNUMBER(SEARCH("گسگت",H2))),"لاستیک درزگیر - دفرمگی/پارگی (تعویض)",IF(ISNUMBER(SEARCH("مخزن نمک",H2)),"نشتی - درب مخزن نمک (تعمیر/آب‌بندی)",IF(ISNUMBER(SEARCH("براکت",H2)),"نشتی - براکت ریل (تعمیر/آب‌بندی)",IF(ISNUMBER(SEARCH("جاپودر",H2)),"نشتی - جاپودری (تعمیر/آب‌بندی)",IF(ISNUMBER(SEARCH("مقسم",H2)),"نشتی - مقسم آب (تعمیر/آب‌بندی)",IF(OR(ISNUMBER(SEARCH("سنسور دما",H2)),ISNUMBER(SEARCH("ترموستات",H2))),"خرابی - ترموستات (تعویض)",IF(OR(ISNUMBER(SEARCH("هيدروستات",H2)),ISNUMBER(SEARCH("هیدروستات",H2))),"خرابی - هیدروستات (تعویض)",IF(OR(ISNUMBER(SEARCH("بلبرينگ",H2)),ISNUMBER(SEARCH("بلبرینگ",H2))),"خرابی - بلبرینگ (تعویض)",IF(OR(ISNUMBER(SEARCH("شيربرق",H2)),ISNUMBER(SEARCH("شیربرق",H2))),"خرابی - شیربرقی (تعویض)",IF(OR(ISNUMBER(SEARCH("واتر جت",H2)),ISNUMBER(SEARCH("واترجت",H2))),"خرابی - واترجت (تعویض)",IF(OR(ISNUMBER(SEARCH("سيم",H2)),ISNUMBER(SEARCH("سیم",H2)),ISNUMBER(SEARCH("اتصال",H2))),"سیم‌کشی/اتصالات (تعویض/بازبینی)",IF(OR(ISNUMBER(SEARCH("تصوير",H2)),ISNUMBER(SEARCH("تصویر",H2))),"برد نمایش تلویزیون (تعویض)",IF(OR(ISNUMBER(SEARCH("ريموت",H2)),ISNUMBER(SEARCH("ریموت",H2))),"ریموت کنترل (تعویض/تعمیر)",IF(OR(ISNUMBER(SEARCH("ال اي دي",H2)),ISNUMBER(SEARCH("ال ای دی",H2)),ISNUMBER(SEARCH("LED",H2))),"خرابی - لامپ/LED داخلی (تعویض)",IF(ISNUMBER(SEARCH("زنگ زدگ",H2)),"زنگ‌زدگی بدنه/قطعه (تعویض)",IF(OR(ISNUMBER(SEARCH("قطعات تزئين",H2)),ISNUMBER(SEARCH("قطعات تزئین",H2))),"قطعات تزئینی - شکستگی/کسری (تعویض)",IF(ISNUMBER(SEARCH("سبد",H2)),"سبد ظرفشویی - شکستگی (تعویض)",IF(ISNUMBER(SEARCH("تاب درام",H2)),"خرابی - تاب برداشتن درام (تعویض)",IF(ISNUMBER(SEARCH("درام",H2)),"خرابی - سایر ایراد درام (تعویض)",IF(ISNUMBER(SEARCH("موتور",H2)),"خرابی - موتور (تعویض)",IF(ISNUMBER(SEARCH("تسمه",H2)),"خرابی - تسمه (تعویض)",IF(OR(ISNUMBER(SEARCH("پيچ ولوم",H2)),ISNUMBER(SEARCH("پیچ ولوم",H2))),"تنظیم - پیچ ولوم/دکمه (تعمیر)",IF(OR(ISNUMBER(SEARCH("کسري قطعات",H2)),ISNUMBER(SEARCH("کسری قطعات",H2))),"کسری قطعات تزئینی (تعویض)",IF(ISNUMBER(SEARCH("پرچ",H2)),"پرچ/بدنه کابین(تعمیر)",IF(OR(ISNUMBER(SEARCH("نشت",H2)),ISNUMBER(SEARCH("آبريزش",H2)),ISNUMBER(SEARCH("آبریزش",H2))),"نشتی آب - محل نامشخص (نیازمند بازدید)",IF(ISNUMBER(SEARCH("درب",H2)),"سایر اجزای درب (بازبینی)",IF(ISNUMBER(SEARCH("ضربه",H2)),"بدنه/کابین - ضربه (بازبینی/تعویض پنل)",IF(ISNUMBER(SEARCH("تراز",H2)),"تراز/لرزش - نصب (رگلاژ پایه)",IF(OR(ISNUMBER(SEARCH("تعویض",H2)),ISNUMBER(SEARCH("تعويض",H2))),"تعویض کامل دستگاه (Replacement)","سایر (نیازمند بررسی دستی)")))))))))))))))))))))))))))))))))))))))))))</calculatedColumnFormula>
    </tableColumn>
    <tableColumn id="14" xr3:uid="{00000000-0010-0000-0000-00000E000000}" name="قطعه تعویضی" dataDxfId="3"/>
    <tableColumn id="19" xr3:uid="{00000000-0010-0000-0000-000013000000}" name="مراجعه تکراری" dataDxfId="2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451"/>
  <sheetViews>
    <sheetView showGridLines="0" rightToLeft="1" tabSelected="1" zoomScale="115" zoomScaleNormal="115" workbookViewId="0">
      <pane ySplit="1" topLeftCell="A446" activePane="bottomLeft" state="frozen"/>
      <selection pane="bottomLeft" activeCell="D6" sqref="D6"/>
    </sheetView>
  </sheetViews>
  <sheetFormatPr defaultRowHeight="15"/>
  <cols>
    <col min="1" max="1" width="16" style="2" customWidth="1"/>
    <col min="2" max="3" width="12" style="2" customWidth="1"/>
    <col min="4" max="4" width="22" style="2" customWidth="1"/>
    <col min="5" max="5" width="16" style="2" customWidth="1"/>
    <col min="6" max="6" width="20" style="2" customWidth="1"/>
    <col min="7" max="7" width="36" style="2" customWidth="1"/>
    <col min="8" max="8" width="28" style="2" customWidth="1"/>
    <col min="9" max="11" width="14" style="2" customWidth="1"/>
    <col min="12" max="12" width="16.140625" style="2" customWidth="1"/>
    <col min="13" max="13" width="32" style="2" customWidth="1"/>
    <col min="14" max="14" width="22" style="2" customWidth="1"/>
    <col min="15" max="15" width="14" style="2" customWidth="1"/>
    <col min="16" max="16" width="9.140625" style="2" customWidth="1"/>
    <col min="17" max="16384" width="9.140625" style="2"/>
  </cols>
  <sheetData>
    <row r="1" spans="1:15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30" customHeight="1">
      <c r="A2" s="3" t="s">
        <v>15</v>
      </c>
      <c r="B2" s="3" t="s">
        <v>16</v>
      </c>
      <c r="C2" s="3" t="s">
        <v>17</v>
      </c>
      <c r="D2" s="3" t="s">
        <v>1402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23</v>
      </c>
      <c r="L2" s="4">
        <f>IF(OR(TRIM(I2)="",TRIM(K2)=""),"",IFERROR((VALUE(LEFT(TRIM(I2),4))-VALUE(LEFT(TRIM(K2),4)))*12+VALUE(MID(TRIM(I2),6,2))-VALUE(MID(TRIM(K2),6,2)),""))</f>
        <v>19</v>
      </c>
      <c r="M2" s="3" t="str">
        <f>IF(TRIM(H2)="","",IFERROR(LOOKUP(2,1/(ISNUMBER(SEARCH('منطق دسته‌بندی'!$A$2:$A$187,H2))),'منطق دسته‌بندی'!$B$2:$B$187),"سایر (نیازمند بررسی دستی)"))</f>
        <v>لاستیک درزگیر - دفرمگی/پارگی (تعویض)</v>
      </c>
      <c r="N2" s="3" t="s">
        <v>24</v>
      </c>
      <c r="O2" s="3" t="s">
        <v>25</v>
      </c>
    </row>
    <row r="3" spans="1:15" ht="30" customHeight="1">
      <c r="A3" s="3" t="s">
        <v>26</v>
      </c>
      <c r="B3" s="3" t="s">
        <v>16</v>
      </c>
      <c r="C3" s="3" t="s">
        <v>17</v>
      </c>
      <c r="D3" s="3" t="s">
        <v>1402</v>
      </c>
      <c r="E3" s="3" t="s">
        <v>18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4">
        <f>IF(OR(TRIM(I3)="",TRIM(K3)=""),"",IFERROR((VALUE(LEFT(TRIM(I3),4))-VALUE(LEFT(TRIM(K3),4)))*12+VALUE(MID(TRIM(I3),6,2))-VALUE(MID(TRIM(K3),6,2)),""))</f>
        <v>4</v>
      </c>
      <c r="M3" s="3" t="str">
        <f>IF(TRIM(H3)="","",IFERROR(LOOKUP(2,1/(ISNUMBER(SEARCH('منطق دسته‌بندی'!$A$2:$A$187,H3))),'منطق دسته‌بندی'!$B$2:$B$187),"سایر (نیازمند بررسی دستی)"))</f>
        <v>خرابی - بلبرینگ (تعویض)</v>
      </c>
      <c r="N3" s="3" t="s">
        <v>33</v>
      </c>
      <c r="O3" s="3" t="s">
        <v>25</v>
      </c>
    </row>
    <row r="4" spans="1:15" ht="30" customHeight="1">
      <c r="A4" s="3" t="s">
        <v>34</v>
      </c>
      <c r="B4" s="3" t="s">
        <v>16</v>
      </c>
      <c r="C4" s="3" t="s">
        <v>17</v>
      </c>
      <c r="D4" s="3" t="s">
        <v>1402</v>
      </c>
      <c r="E4" s="3" t="s">
        <v>35</v>
      </c>
      <c r="F4" s="3" t="s">
        <v>36</v>
      </c>
      <c r="G4" s="3" t="s">
        <v>37</v>
      </c>
      <c r="H4" s="3" t="s">
        <v>38</v>
      </c>
      <c r="I4" s="3" t="s">
        <v>30</v>
      </c>
      <c r="J4" s="3" t="s">
        <v>39</v>
      </c>
      <c r="K4" s="3" t="s">
        <v>40</v>
      </c>
      <c r="L4" s="4">
        <f>IF(OR(TRIM(I4)="",TRIM(K4)=""),"",IFERROR((VALUE(LEFT(TRIM(I4),4))-VALUE(LEFT(TRIM(K4),4)))*12+VALUE(MID(TRIM(I4),6,2))-VALUE(MID(TRIM(K4),6,2)),""))</f>
        <v>6</v>
      </c>
      <c r="M4" s="3" t="str">
        <f>IF(TRIM(H4)="","",IFERROR(LOOKUP(2,1/(ISNUMBER(SEARCH('منطق دسته‌بندی'!$A$2:$A$187,H4))),'منطق دسته‌بندی'!$B$2:$B$187),"سایر (نیازمند بررسی دستی)"))</f>
        <v>خرابی - برد الکترونیک (تعویض)</v>
      </c>
      <c r="N4" s="3" t="s">
        <v>41</v>
      </c>
      <c r="O4" s="3" t="s">
        <v>25</v>
      </c>
    </row>
    <row r="5" spans="1:15">
      <c r="A5" s="3" t="s">
        <v>42</v>
      </c>
      <c r="B5" s="3" t="s">
        <v>16</v>
      </c>
      <c r="C5" s="3" t="s">
        <v>17</v>
      </c>
      <c r="D5" s="3" t="s">
        <v>43</v>
      </c>
      <c r="E5" s="3" t="s">
        <v>44</v>
      </c>
      <c r="F5" s="3" t="s">
        <v>45</v>
      </c>
      <c r="G5" s="3" t="s">
        <v>46</v>
      </c>
      <c r="H5" s="3" t="s">
        <v>47</v>
      </c>
      <c r="I5" s="3" t="s">
        <v>48</v>
      </c>
      <c r="J5" s="3" t="s">
        <v>49</v>
      </c>
      <c r="K5" s="3" t="s">
        <v>50</v>
      </c>
      <c r="L5" s="4">
        <f>IF(OR(TRIM(I5)="",TRIM(K5)=""),"",IFERROR((VALUE(LEFT(TRIM(I5),4))-VALUE(LEFT(TRIM(K5),4)))*12+VALUE(MID(TRIM(I5),6,2))-VALUE(MID(TRIM(K5),6,2)),""))</f>
        <v>3</v>
      </c>
      <c r="M5" s="3" t="str">
        <f>IF(TRIM(H5)="","",IFERROR(LOOKUP(2,1/(ISNUMBER(SEARCH('منطق دسته‌بندی'!$A$2:$A$187,H5))),'منطق دسته‌بندی'!$B$2:$B$187),"سایر (نیازمند بررسی دستی)"))</f>
        <v>غیرگارانتی/بدون قطعه</v>
      </c>
      <c r="N5" s="3" t="s">
        <v>24</v>
      </c>
      <c r="O5" s="3" t="s">
        <v>25</v>
      </c>
    </row>
    <row r="6" spans="1:15" ht="45" customHeight="1">
      <c r="A6" s="3" t="s">
        <v>51</v>
      </c>
      <c r="B6" s="3" t="s">
        <v>16</v>
      </c>
      <c r="C6" s="3" t="s">
        <v>17</v>
      </c>
      <c r="D6" s="3" t="s">
        <v>43</v>
      </c>
      <c r="E6" s="3" t="s">
        <v>52</v>
      </c>
      <c r="F6" s="3" t="s">
        <v>53</v>
      </c>
      <c r="G6" s="3" t="s">
        <v>54</v>
      </c>
      <c r="H6" s="3" t="s">
        <v>55</v>
      </c>
      <c r="I6" s="3" t="s">
        <v>48</v>
      </c>
      <c r="J6" s="3" t="s">
        <v>56</v>
      </c>
      <c r="K6" s="3" t="s">
        <v>57</v>
      </c>
      <c r="L6" s="4">
        <f>IF(OR(TRIM(I6)="",TRIM(K6)=""),"",IFERROR((VALUE(LEFT(TRIM(I6),4))-VALUE(LEFT(TRIM(K6),4)))*12+VALUE(MID(TRIM(I6),6,2))-VALUE(MID(TRIM(K6),6,2)),""))</f>
        <v>0</v>
      </c>
      <c r="M6" s="3" t="str">
        <f>IF(TRIM(H6)="","",IFERROR(LOOKUP(2,1/(ISNUMBER(SEARCH('منطق دسته‌بندی'!$A$2:$A$187,H6))),'منطق دسته‌بندی'!$B$2:$B$187),"سایر (نیازمند بررسی دستی)"))</f>
        <v>قطعات تزئینی - شکستگی/کسری (تعویض)</v>
      </c>
      <c r="N6" s="3" t="s">
        <v>24</v>
      </c>
      <c r="O6" s="3" t="s">
        <v>25</v>
      </c>
    </row>
    <row r="7" spans="1:15" ht="30" customHeight="1">
      <c r="A7" s="3" t="s">
        <v>58</v>
      </c>
      <c r="B7" s="3" t="s">
        <v>16</v>
      </c>
      <c r="C7" s="3" t="s">
        <v>17</v>
      </c>
      <c r="D7" s="3" t="s">
        <v>59</v>
      </c>
      <c r="E7" s="3" t="s">
        <v>60</v>
      </c>
      <c r="F7" s="3" t="s">
        <v>61</v>
      </c>
      <c r="G7" s="3" t="s">
        <v>62</v>
      </c>
      <c r="H7" s="3" t="s">
        <v>63</v>
      </c>
      <c r="I7" s="3" t="s">
        <v>48</v>
      </c>
      <c r="J7" s="3" t="s">
        <v>64</v>
      </c>
      <c r="K7" s="3" t="s">
        <v>65</v>
      </c>
      <c r="L7" s="4">
        <f>IF(OR(TRIM(I7)="",TRIM(K7)=""),"",IFERROR((VALUE(LEFT(TRIM(I7),4))-VALUE(LEFT(TRIM(K7),4)))*12+VALUE(MID(TRIM(I7),6,2))-VALUE(MID(TRIM(K7),6,2)),""))</f>
        <v>16</v>
      </c>
      <c r="M7" s="3" t="str">
        <f>IF(TRIM(H7)="","",IFERROR(LOOKUP(2,1/(ISNUMBER(SEARCH('منطق دسته‌بندی'!$A$2:$A$187,H7))),'منطق دسته‌بندی'!$B$2:$B$187),"سایر (نیازمند بررسی دستی)"))</f>
        <v>ریموت کنترل (تعویض/تعمیر)</v>
      </c>
      <c r="N7" s="3" t="s">
        <v>24</v>
      </c>
      <c r="O7" s="3" t="s">
        <v>25</v>
      </c>
    </row>
    <row r="8" spans="1:15" ht="30" customHeight="1">
      <c r="A8" s="3" t="s">
        <v>66</v>
      </c>
      <c r="B8" s="3" t="s">
        <v>16</v>
      </c>
      <c r="C8" s="3" t="s">
        <v>17</v>
      </c>
      <c r="D8" s="3" t="s">
        <v>43</v>
      </c>
      <c r="E8" s="3" t="s">
        <v>52</v>
      </c>
      <c r="F8" s="3" t="s">
        <v>67</v>
      </c>
      <c r="G8" s="3" t="s">
        <v>68</v>
      </c>
      <c r="H8" s="3" t="s">
        <v>69</v>
      </c>
      <c r="I8" s="3" t="s">
        <v>48</v>
      </c>
      <c r="J8" s="3" t="s">
        <v>70</v>
      </c>
      <c r="K8" s="3" t="s">
        <v>71</v>
      </c>
      <c r="L8" s="4">
        <f>IF(OR(TRIM(I8)="",TRIM(K8)=""),"",IFERROR((VALUE(LEFT(TRIM(I8),4))-VALUE(LEFT(TRIM(K8),4)))*12+VALUE(MID(TRIM(I8),6,2))-VALUE(MID(TRIM(K8),6,2)),""))</f>
        <v>0</v>
      </c>
      <c r="M8" s="3" t="str">
        <f>IF(TRIM(H8)="","",IFERROR(LOOKUP(2,1/(ISNUMBER(SEARCH('منطق دسته‌بندی'!$A$2:$A$187,H8))),'منطق دسته‌بندی'!$B$2:$B$187),"سایر (نیازمند بررسی دستی)"))</f>
        <v>مکانیزم درب - میکروسوئیچ/قلاب (تعویض/تنظیم)</v>
      </c>
      <c r="N8" s="3" t="s">
        <v>72</v>
      </c>
      <c r="O8" s="3" t="s">
        <v>25</v>
      </c>
    </row>
    <row r="9" spans="1:15" ht="30" customHeight="1">
      <c r="A9" s="3" t="s">
        <v>73</v>
      </c>
      <c r="B9" s="3" t="s">
        <v>16</v>
      </c>
      <c r="C9" s="3" t="s">
        <v>17</v>
      </c>
      <c r="D9" s="3" t="s">
        <v>43</v>
      </c>
      <c r="E9" s="3" t="s">
        <v>44</v>
      </c>
      <c r="F9" s="3" t="s">
        <v>74</v>
      </c>
      <c r="G9" s="3" t="s">
        <v>75</v>
      </c>
      <c r="H9" s="3" t="s">
        <v>69</v>
      </c>
      <c r="I9" s="3" t="s">
        <v>48</v>
      </c>
      <c r="J9" s="3" t="s">
        <v>76</v>
      </c>
      <c r="K9" s="3" t="s">
        <v>76</v>
      </c>
      <c r="L9" s="4">
        <f>IF(OR(TRIM(I9)="",TRIM(K9)=""),"",IFERROR((VALUE(LEFT(TRIM(I9),4))-VALUE(LEFT(TRIM(K9),4)))*12+VALUE(MID(TRIM(I9),6,2))-VALUE(MID(TRIM(K9),6,2)),""))</f>
        <v>14</v>
      </c>
      <c r="M9" s="3" t="str">
        <f>IF(TRIM(H9)="","",IFERROR(LOOKUP(2,1/(ISNUMBER(SEARCH('منطق دسته‌بندی'!$A$2:$A$187,H9))),'منطق دسته‌بندی'!$B$2:$B$187),"سایر (نیازمند بررسی دستی)"))</f>
        <v>مکانیزم درب - میکروسوئیچ/قلاب (تعویض/تنظیم)</v>
      </c>
      <c r="N9" s="3" t="s">
        <v>77</v>
      </c>
      <c r="O9" s="3" t="s">
        <v>78</v>
      </c>
    </row>
    <row r="10" spans="1:15">
      <c r="A10" s="3" t="s">
        <v>79</v>
      </c>
      <c r="B10" s="3" t="s">
        <v>16</v>
      </c>
      <c r="C10" s="3" t="s">
        <v>17</v>
      </c>
      <c r="D10" s="3" t="s">
        <v>43</v>
      </c>
      <c r="E10" s="3" t="s">
        <v>52</v>
      </c>
      <c r="F10" s="3" t="s">
        <v>80</v>
      </c>
      <c r="G10" s="3" t="s">
        <v>81</v>
      </c>
      <c r="H10" s="3" t="s">
        <v>82</v>
      </c>
      <c r="I10" s="3" t="s">
        <v>48</v>
      </c>
      <c r="J10" s="3" t="s">
        <v>83</v>
      </c>
      <c r="K10" s="3" t="s">
        <v>83</v>
      </c>
      <c r="L10" s="4">
        <f>IF(OR(TRIM(I10)="",TRIM(K10)=""),"",IFERROR((VALUE(LEFT(TRIM(I10),4))-VALUE(LEFT(TRIM(K10),4)))*12+VALUE(MID(TRIM(I10),6,2))-VALUE(MID(TRIM(K10),6,2)),""))</f>
        <v>9</v>
      </c>
      <c r="M10" s="3" t="str">
        <f>IF(TRIM(H10)="","",IFERROR(LOOKUP(2,1/(ISNUMBER(SEARCH('منطق دسته‌بندی'!$A$2:$A$187,H10))),'منطق دسته‌بندی'!$B$2:$B$187),"سایر (نیازمند بررسی دستی)"))</f>
        <v>نشتی - درب مخزن نمک (تعمیر/آب‌بندی)</v>
      </c>
      <c r="N10" s="3" t="s">
        <v>24</v>
      </c>
      <c r="O10" s="3" t="s">
        <v>78</v>
      </c>
    </row>
    <row r="11" spans="1:15" ht="30" customHeight="1">
      <c r="A11" s="3" t="s">
        <v>84</v>
      </c>
      <c r="B11" s="3" t="s">
        <v>16</v>
      </c>
      <c r="C11" s="3" t="s">
        <v>17</v>
      </c>
      <c r="D11" s="3" t="s">
        <v>1402</v>
      </c>
      <c r="E11" s="3" t="s">
        <v>85</v>
      </c>
      <c r="F11" s="3" t="s">
        <v>86</v>
      </c>
      <c r="G11" s="3" t="s">
        <v>87</v>
      </c>
      <c r="H11" s="3" t="s">
        <v>88</v>
      </c>
      <c r="I11" s="3" t="s">
        <v>48</v>
      </c>
      <c r="J11" s="3" t="s">
        <v>89</v>
      </c>
      <c r="K11" s="3" t="s">
        <v>90</v>
      </c>
      <c r="L11" s="4">
        <f>IF(OR(TRIM(I11)="",TRIM(K11)=""),"",IFERROR((VALUE(LEFT(TRIM(I11),4))-VALUE(LEFT(TRIM(K11),4)))*12+VALUE(MID(TRIM(I11),6,2))-VALUE(MID(TRIM(K11),6,2)),""))</f>
        <v>0</v>
      </c>
      <c r="M11" s="3" t="str">
        <f>IF(TRIM(H11)="","",IFERROR(LOOKUP(2,1/(ISNUMBER(SEARCH('منطق دسته‌بندی'!$A$2:$A$187,H11))),'منطق دسته‌بندی'!$B$2:$B$187),"سایر (نیازمند بررسی دستی)"))</f>
        <v>لاستیک درزگیر - دفرمگی/پارگی (تعویض)</v>
      </c>
      <c r="N11" s="3" t="s">
        <v>24</v>
      </c>
      <c r="O11" s="3" t="s">
        <v>25</v>
      </c>
    </row>
    <row r="12" spans="1:15" ht="45" customHeight="1">
      <c r="A12" s="3" t="s">
        <v>91</v>
      </c>
      <c r="B12" s="3" t="s">
        <v>16</v>
      </c>
      <c r="C12" s="3" t="s">
        <v>17</v>
      </c>
      <c r="D12" s="3" t="s">
        <v>1402</v>
      </c>
      <c r="E12" s="3" t="s">
        <v>35</v>
      </c>
      <c r="F12" s="3" t="s">
        <v>92</v>
      </c>
      <c r="G12" s="3" t="s">
        <v>93</v>
      </c>
      <c r="H12" s="3" t="s">
        <v>29</v>
      </c>
      <c r="I12" s="3" t="s">
        <v>48</v>
      </c>
      <c r="J12" s="3" t="s">
        <v>94</v>
      </c>
      <c r="K12" s="3" t="s">
        <v>64</v>
      </c>
      <c r="L12" s="4">
        <f>IF(OR(TRIM(I12)="",TRIM(K12)=""),"",IFERROR((VALUE(LEFT(TRIM(I12),4))-VALUE(LEFT(TRIM(K12),4)))*12+VALUE(MID(TRIM(I12),6,2))-VALUE(MID(TRIM(K12),6,2)),""))</f>
        <v>17</v>
      </c>
      <c r="M12" s="3" t="str">
        <f>IF(TRIM(H12)="","",IFERROR(LOOKUP(2,1/(ISNUMBER(SEARCH('منطق دسته‌بندی'!$A$2:$A$187,H12))),'منطق دسته‌بندی'!$B$2:$B$187),"سایر (نیازمند بررسی دستی)"))</f>
        <v>خرابی - بلبرینگ (تعویض)</v>
      </c>
      <c r="N12" s="3" t="s">
        <v>33</v>
      </c>
      <c r="O12" s="3" t="s">
        <v>25</v>
      </c>
    </row>
    <row r="13" spans="1:15">
      <c r="A13" s="3" t="s">
        <v>95</v>
      </c>
      <c r="B13" s="3" t="s">
        <v>16</v>
      </c>
      <c r="C13" s="3" t="s">
        <v>17</v>
      </c>
      <c r="D13" s="3" t="s">
        <v>43</v>
      </c>
      <c r="E13" s="3" t="s">
        <v>96</v>
      </c>
      <c r="F13" s="3" t="s">
        <v>97</v>
      </c>
      <c r="G13" s="3" t="s">
        <v>98</v>
      </c>
      <c r="H13" s="3" t="s">
        <v>82</v>
      </c>
      <c r="I13" s="3" t="s">
        <v>48</v>
      </c>
      <c r="J13" s="3" t="s">
        <v>99</v>
      </c>
      <c r="K13" s="3" t="s">
        <v>100</v>
      </c>
      <c r="L13" s="4">
        <f>IF(OR(TRIM(I13)="",TRIM(K13)=""),"",IFERROR((VALUE(LEFT(TRIM(I13),4))-VALUE(LEFT(TRIM(K13),4)))*12+VALUE(MID(TRIM(I13),6,2))-VALUE(MID(TRIM(K13),6,2)),""))</f>
        <v>2</v>
      </c>
      <c r="M13" s="3" t="str">
        <f>IF(TRIM(H13)="","",IFERROR(LOOKUP(2,1/(ISNUMBER(SEARCH('منطق دسته‌بندی'!$A$2:$A$187,H13))),'منطق دسته‌بندی'!$B$2:$B$187),"سایر (نیازمند بررسی دستی)"))</f>
        <v>نشتی - درب مخزن نمک (تعمیر/آب‌بندی)</v>
      </c>
      <c r="N13" s="3" t="s">
        <v>24</v>
      </c>
      <c r="O13" s="3" t="s">
        <v>25</v>
      </c>
    </row>
    <row r="14" spans="1:15" ht="30" customHeight="1">
      <c r="A14" s="3" t="s">
        <v>101</v>
      </c>
      <c r="B14" s="3" t="s">
        <v>16</v>
      </c>
      <c r="C14" s="3" t="s">
        <v>17</v>
      </c>
      <c r="D14" s="3" t="s">
        <v>43</v>
      </c>
      <c r="E14" s="3" t="s">
        <v>44</v>
      </c>
      <c r="F14" s="3" t="s">
        <v>102</v>
      </c>
      <c r="G14" s="3" t="s">
        <v>103</v>
      </c>
      <c r="H14" s="3" t="s">
        <v>104</v>
      </c>
      <c r="I14" s="3" t="s">
        <v>48</v>
      </c>
      <c r="J14" s="3" t="s">
        <v>105</v>
      </c>
      <c r="K14" s="3" t="s">
        <v>106</v>
      </c>
      <c r="L14" s="4">
        <f>IF(OR(TRIM(I14)="",TRIM(K14)=""),"",IFERROR((VALUE(LEFT(TRIM(I14),4))-VALUE(LEFT(TRIM(K14),4)))*12+VALUE(MID(TRIM(I14),6,2))-VALUE(MID(TRIM(K14),6,2)),""))</f>
        <v>1</v>
      </c>
      <c r="M14" s="3" t="str">
        <f>IF(TRIM(H14)="","",IFERROR(LOOKUP(2,1/(ISNUMBER(SEARCH('منطق دسته‌بندی'!$A$2:$A$187,H14))),'منطق دسته‌بندی'!$B$2:$B$187),"سایر (نیازمند بررسی دستی)"))</f>
        <v>حوضچه مخزن نمک - ترک/شکستگی (تعویض/بررسی)</v>
      </c>
      <c r="N14" s="3" t="s">
        <v>24</v>
      </c>
      <c r="O14" s="3" t="s">
        <v>25</v>
      </c>
    </row>
    <row r="15" spans="1:15" ht="30" customHeight="1">
      <c r="A15" s="3" t="s">
        <v>107</v>
      </c>
      <c r="B15" s="3" t="s">
        <v>16</v>
      </c>
      <c r="C15" s="3" t="s">
        <v>17</v>
      </c>
      <c r="D15" s="3" t="s">
        <v>108</v>
      </c>
      <c r="E15" s="3" t="s">
        <v>109</v>
      </c>
      <c r="F15" s="3" t="s">
        <v>110</v>
      </c>
      <c r="G15" s="3" t="s">
        <v>111</v>
      </c>
      <c r="H15" s="3" t="s">
        <v>112</v>
      </c>
      <c r="I15" s="3" t="s">
        <v>48</v>
      </c>
      <c r="J15" s="3" t="s">
        <v>64</v>
      </c>
      <c r="K15" s="3" t="s">
        <v>113</v>
      </c>
      <c r="L15" s="4">
        <f>IF(OR(TRIM(I15)="",TRIM(K15)=""),"",IFERROR((VALUE(LEFT(TRIM(I15),4))-VALUE(LEFT(TRIM(K15),4)))*12+VALUE(MID(TRIM(I15),6,2))-VALUE(MID(TRIM(K15),6,2)),""))</f>
        <v>13</v>
      </c>
      <c r="M15" s="3" t="str">
        <f>IF(TRIM(H15)="","",IFERROR(LOOKUP(2,1/(ISNUMBER(SEARCH('منطق دسته‌بندی'!$A$2:$A$187,H15))),'منطق دسته‌بندی'!$B$2:$B$187),"سایر (نیازمند بررسی دستی)"))</f>
        <v>مکانیزم درب - لولا (تعویض/تنظیم)</v>
      </c>
      <c r="N15" s="3" t="s">
        <v>114</v>
      </c>
      <c r="O15" s="3" t="s">
        <v>25</v>
      </c>
    </row>
    <row r="16" spans="1:15" ht="30" customHeight="1">
      <c r="A16" s="3" t="s">
        <v>115</v>
      </c>
      <c r="B16" s="3" t="s">
        <v>16</v>
      </c>
      <c r="C16" s="3" t="s">
        <v>17</v>
      </c>
      <c r="D16" s="3" t="s">
        <v>1402</v>
      </c>
      <c r="E16" s="3" t="s">
        <v>18</v>
      </c>
      <c r="F16" s="3" t="s">
        <v>116</v>
      </c>
      <c r="G16" s="3" t="s">
        <v>117</v>
      </c>
      <c r="H16" s="3" t="s">
        <v>118</v>
      </c>
      <c r="I16" s="3" t="s">
        <v>48</v>
      </c>
      <c r="J16" s="3" t="s">
        <v>119</v>
      </c>
      <c r="K16" s="3" t="s">
        <v>120</v>
      </c>
      <c r="L16" s="4">
        <f>IF(OR(TRIM(I16)="",TRIM(K16)=""),"",IFERROR((VALUE(LEFT(TRIM(I16),4))-VALUE(LEFT(TRIM(K16),4)))*12+VALUE(MID(TRIM(I16),6,2))-VALUE(MID(TRIM(K16),6,2)),""))</f>
        <v>13</v>
      </c>
      <c r="M16" s="3" t="str">
        <f>IF(TRIM(H16)="","",IFERROR(LOOKUP(2,1/(ISNUMBER(SEARCH('منطق دسته‌بندی'!$A$2:$A$187,H16))),'منطق دسته‌بندی'!$B$2:$B$187),"سایر (نیازمند بررسی دستی)"))</f>
        <v>مکانیزم درب - مهره/اتصال (تنظیم)</v>
      </c>
      <c r="N16" s="3" t="s">
        <v>24</v>
      </c>
      <c r="O16" s="3" t="s">
        <v>25</v>
      </c>
    </row>
    <row r="17" spans="1:15">
      <c r="A17" s="3" t="s">
        <v>121</v>
      </c>
      <c r="B17" s="3" t="s">
        <v>16</v>
      </c>
      <c r="C17" s="3" t="s">
        <v>17</v>
      </c>
      <c r="D17" s="3" t="s">
        <v>43</v>
      </c>
      <c r="E17" s="3" t="s">
        <v>44</v>
      </c>
      <c r="F17" s="3" t="s">
        <v>122</v>
      </c>
      <c r="G17" s="3" t="s">
        <v>123</v>
      </c>
      <c r="H17" s="3" t="s">
        <v>124</v>
      </c>
      <c r="I17" s="3" t="s">
        <v>48</v>
      </c>
      <c r="J17" s="3" t="s">
        <v>125</v>
      </c>
      <c r="K17" s="3" t="s">
        <v>125</v>
      </c>
      <c r="L17" s="4">
        <f>IF(OR(TRIM(I17)="",TRIM(K17)=""),"",IFERROR((VALUE(LEFT(TRIM(I17),4))-VALUE(LEFT(TRIM(K17),4)))*12+VALUE(MID(TRIM(I17),6,2))-VALUE(MID(TRIM(K17),6,2)),""))</f>
        <v>18</v>
      </c>
      <c r="M17" s="3" t="str">
        <f>IF(TRIM(H17)="","",IFERROR(LOOKUP(2,1/(ISNUMBER(SEARCH('منطق دسته‌بندی'!$A$2:$A$187,H17))),'منطق دسته‌بندی'!$B$2:$B$187),"سایر (نیازمند بررسی دستی)"))</f>
        <v>پمپ تخلیه - گرفتگی/بازبینی</v>
      </c>
      <c r="N17" s="3" t="s">
        <v>24</v>
      </c>
      <c r="O17" s="3" t="s">
        <v>25</v>
      </c>
    </row>
    <row r="18" spans="1:15" ht="30" customHeight="1">
      <c r="A18" s="3" t="s">
        <v>126</v>
      </c>
      <c r="B18" s="3" t="s">
        <v>16</v>
      </c>
      <c r="C18" s="3" t="s">
        <v>17</v>
      </c>
      <c r="D18" s="3" t="s">
        <v>127</v>
      </c>
      <c r="E18" s="3" t="s">
        <v>128</v>
      </c>
      <c r="F18" s="3" t="s">
        <v>129</v>
      </c>
      <c r="G18" s="3" t="s">
        <v>130</v>
      </c>
      <c r="H18" s="3" t="s">
        <v>131</v>
      </c>
      <c r="I18" s="3" t="s">
        <v>48</v>
      </c>
      <c r="J18" s="3" t="s">
        <v>132</v>
      </c>
      <c r="K18" s="3" t="s">
        <v>133</v>
      </c>
      <c r="L18" s="4">
        <f>IF(OR(TRIM(I18)="",TRIM(K18)=""),"",IFERROR((VALUE(LEFT(TRIM(I18),4))-VALUE(LEFT(TRIM(K18),4)))*12+VALUE(MID(TRIM(I18),6,2))-VALUE(MID(TRIM(K18),6,2)),""))</f>
        <v>8</v>
      </c>
      <c r="M18" s="3" t="str">
        <f>IF(TRIM(H18)="","",IFERROR(LOOKUP(2,1/(ISNUMBER(SEARCH('منطق دسته‌بندی'!$A$2:$A$187,H18))),'منطق دسته‌بندی'!$B$2:$B$187),"سایر (نیازمند بررسی دستی)"))</f>
        <v>غیرگارانتی/بدون قطعه</v>
      </c>
      <c r="N18" s="3" t="s">
        <v>24</v>
      </c>
      <c r="O18" s="3" t="s">
        <v>25</v>
      </c>
    </row>
    <row r="19" spans="1:15" ht="30" customHeight="1">
      <c r="A19" s="3" t="s">
        <v>134</v>
      </c>
      <c r="B19" s="3" t="s">
        <v>16</v>
      </c>
      <c r="C19" s="3" t="s">
        <v>17</v>
      </c>
      <c r="D19" s="3" t="s">
        <v>127</v>
      </c>
      <c r="E19" s="3" t="s">
        <v>128</v>
      </c>
      <c r="F19" s="3" t="s">
        <v>135</v>
      </c>
      <c r="G19" s="3" t="s">
        <v>130</v>
      </c>
      <c r="H19" s="3" t="s">
        <v>131</v>
      </c>
      <c r="I19" s="3" t="s">
        <v>48</v>
      </c>
      <c r="J19" s="3" t="s">
        <v>136</v>
      </c>
      <c r="K19" s="3" t="s">
        <v>137</v>
      </c>
      <c r="L19" s="4">
        <f>IF(OR(TRIM(I19)="",TRIM(K19)=""),"",IFERROR((VALUE(LEFT(TRIM(I19),4))-VALUE(LEFT(TRIM(K19),4)))*12+VALUE(MID(TRIM(I19),6,2))-VALUE(MID(TRIM(K19),6,2)),""))</f>
        <v>7</v>
      </c>
      <c r="M19" s="3" t="str">
        <f>IF(TRIM(H19)="","",IFERROR(LOOKUP(2,1/(ISNUMBER(SEARCH('منطق دسته‌بندی'!$A$2:$A$187,H19))),'منطق دسته‌بندی'!$B$2:$B$187),"سایر (نیازمند بررسی دستی)"))</f>
        <v>غیرگارانتی/بدون قطعه</v>
      </c>
      <c r="N19" s="3" t="s">
        <v>24</v>
      </c>
      <c r="O19" s="3" t="s">
        <v>25</v>
      </c>
    </row>
    <row r="20" spans="1:15" ht="30" customHeight="1">
      <c r="A20" s="3" t="s">
        <v>138</v>
      </c>
      <c r="B20" s="3" t="s">
        <v>16</v>
      </c>
      <c r="C20" s="3" t="s">
        <v>17</v>
      </c>
      <c r="D20" s="3" t="s">
        <v>127</v>
      </c>
      <c r="E20" s="3" t="s">
        <v>128</v>
      </c>
      <c r="F20" s="3" t="s">
        <v>139</v>
      </c>
      <c r="G20" s="3" t="s">
        <v>130</v>
      </c>
      <c r="H20" s="3" t="s">
        <v>131</v>
      </c>
      <c r="I20" s="3" t="s">
        <v>48</v>
      </c>
      <c r="J20" s="3" t="s">
        <v>140</v>
      </c>
      <c r="K20" s="3" t="s">
        <v>141</v>
      </c>
      <c r="L20" s="4">
        <f>IF(OR(TRIM(I20)="",TRIM(K20)=""),"",IFERROR((VALUE(LEFT(TRIM(I20),4))-VALUE(LEFT(TRIM(K20),4)))*12+VALUE(MID(TRIM(I20),6,2))-VALUE(MID(TRIM(K20),6,2)),""))</f>
        <v>16</v>
      </c>
      <c r="M20" s="3" t="str">
        <f>IF(TRIM(H20)="","",IFERROR(LOOKUP(2,1/(ISNUMBER(SEARCH('منطق دسته‌بندی'!$A$2:$A$187,H20))),'منطق دسته‌بندی'!$B$2:$B$187),"سایر (نیازمند بررسی دستی)"))</f>
        <v>غیرگارانتی/بدون قطعه</v>
      </c>
      <c r="N20" s="3" t="s">
        <v>24</v>
      </c>
      <c r="O20" s="3" t="s">
        <v>25</v>
      </c>
    </row>
    <row r="21" spans="1:15">
      <c r="A21" s="3" t="s">
        <v>142</v>
      </c>
      <c r="B21" s="3" t="s">
        <v>16</v>
      </c>
      <c r="C21" s="3" t="s">
        <v>17</v>
      </c>
      <c r="D21" s="3" t="s">
        <v>1402</v>
      </c>
      <c r="E21" s="3" t="s">
        <v>143</v>
      </c>
      <c r="F21" s="3" t="s">
        <v>144</v>
      </c>
      <c r="G21" s="3" t="s">
        <v>145</v>
      </c>
      <c r="H21" s="3" t="s">
        <v>146</v>
      </c>
      <c r="I21" s="3" t="s">
        <v>48</v>
      </c>
      <c r="J21" s="3" t="s">
        <v>147</v>
      </c>
      <c r="K21" s="3" t="s">
        <v>148</v>
      </c>
      <c r="L21" s="4">
        <f>IF(OR(TRIM(I21)="",TRIM(K21)=""),"",IFERROR((VALUE(LEFT(TRIM(I21),4))-VALUE(LEFT(TRIM(K21),4)))*12+VALUE(MID(TRIM(I21),6,2))-VALUE(MID(TRIM(K21),6,2)),""))</f>
        <v>5</v>
      </c>
      <c r="M21" s="3" t="str">
        <f>IF(TRIM(H21)="","",IFERROR(LOOKUP(2,1/(ISNUMBER(SEARCH('منطق دسته‌بندی'!$A$2:$A$187,H21))),'منطق دسته‌بندی'!$B$2:$B$187),"سایر (نیازمند بررسی دستی)"))</f>
        <v>تراز/لرزش - نصب (رگلاژ پایه)</v>
      </c>
      <c r="N21" s="3" t="s">
        <v>24</v>
      </c>
      <c r="O21" s="3" t="s">
        <v>78</v>
      </c>
    </row>
    <row r="22" spans="1:15" ht="30" customHeight="1">
      <c r="A22" s="3" t="s">
        <v>149</v>
      </c>
      <c r="B22" s="3" t="s">
        <v>16</v>
      </c>
      <c r="C22" s="3" t="s">
        <v>17</v>
      </c>
      <c r="D22" s="3" t="s">
        <v>127</v>
      </c>
      <c r="E22" s="3" t="s">
        <v>128</v>
      </c>
      <c r="F22" s="3" t="s">
        <v>150</v>
      </c>
      <c r="G22" s="3" t="s">
        <v>130</v>
      </c>
      <c r="H22" s="3" t="s">
        <v>131</v>
      </c>
      <c r="I22" s="3" t="s">
        <v>48</v>
      </c>
      <c r="J22" s="3" t="s">
        <v>151</v>
      </c>
      <c r="K22" s="3" t="s">
        <v>152</v>
      </c>
      <c r="L22" s="4">
        <f>IF(OR(TRIM(I22)="",TRIM(K22)=""),"",IFERROR((VALUE(LEFT(TRIM(I22),4))-VALUE(LEFT(TRIM(K22),4)))*12+VALUE(MID(TRIM(I22),6,2))-VALUE(MID(TRIM(K22),6,2)),""))</f>
        <v>13</v>
      </c>
      <c r="M22" s="3" t="str">
        <f>IF(TRIM(H22)="","",IFERROR(LOOKUP(2,1/(ISNUMBER(SEARCH('منطق دسته‌بندی'!$A$2:$A$187,H22))),'منطق دسته‌بندی'!$B$2:$B$187),"سایر (نیازمند بررسی دستی)"))</f>
        <v>غیرگارانتی/بدون قطعه</v>
      </c>
      <c r="N22" s="3" t="s">
        <v>24</v>
      </c>
      <c r="O22" s="3" t="s">
        <v>25</v>
      </c>
    </row>
    <row r="23" spans="1:15" ht="30" customHeight="1">
      <c r="A23" s="3" t="s">
        <v>153</v>
      </c>
      <c r="B23" s="3" t="s">
        <v>16</v>
      </c>
      <c r="C23" s="3" t="s">
        <v>17</v>
      </c>
      <c r="D23" s="3" t="s">
        <v>43</v>
      </c>
      <c r="E23" s="3" t="s">
        <v>44</v>
      </c>
      <c r="F23" s="3" t="s">
        <v>154</v>
      </c>
      <c r="G23" s="3" t="s">
        <v>155</v>
      </c>
      <c r="H23" s="3" t="s">
        <v>156</v>
      </c>
      <c r="I23" s="3" t="s">
        <v>48</v>
      </c>
      <c r="J23" s="3" t="s">
        <v>76</v>
      </c>
      <c r="K23" s="3" t="s">
        <v>157</v>
      </c>
      <c r="L23" s="4">
        <f>IF(OR(TRIM(I23)="",TRIM(K23)=""),"",IFERROR((VALUE(LEFT(TRIM(I23),4))-VALUE(LEFT(TRIM(K23),4)))*12+VALUE(MID(TRIM(I23),6,2))-VALUE(MID(TRIM(K23),6,2)),""))</f>
        <v>2</v>
      </c>
      <c r="M23" s="3" t="str">
        <f>IF(TRIM(H23)="","",IFERROR(LOOKUP(2,1/(ISNUMBER(SEARCH('منطق دسته‌بندی'!$A$2:$A$187,H23))),'منطق دسته‌بندی'!$B$2:$B$187),"سایر (نیازمند بررسی دستی)"))</f>
        <v>خرابی - شیربرقی (تعویض)</v>
      </c>
      <c r="N23" s="3" t="s">
        <v>158</v>
      </c>
      <c r="O23" s="3" t="s">
        <v>25</v>
      </c>
    </row>
    <row r="24" spans="1:15" ht="30" customHeight="1">
      <c r="A24" s="3" t="s">
        <v>159</v>
      </c>
      <c r="B24" s="3" t="s">
        <v>16</v>
      </c>
      <c r="C24" s="3" t="s">
        <v>17</v>
      </c>
      <c r="D24" s="3" t="s">
        <v>1402</v>
      </c>
      <c r="E24" s="3" t="s">
        <v>160</v>
      </c>
      <c r="F24" s="3" t="s">
        <v>161</v>
      </c>
      <c r="G24" s="3" t="s">
        <v>162</v>
      </c>
      <c r="H24" s="3" t="s">
        <v>146</v>
      </c>
      <c r="I24" s="3" t="s">
        <v>48</v>
      </c>
      <c r="J24" s="3" t="s">
        <v>163</v>
      </c>
      <c r="K24" s="3" t="s">
        <v>164</v>
      </c>
      <c r="L24" s="4">
        <f>IF(OR(TRIM(I24)="",TRIM(K24)=""),"",IFERROR((VALUE(LEFT(TRIM(I24),4))-VALUE(LEFT(TRIM(K24),4)))*12+VALUE(MID(TRIM(I24),6,2))-VALUE(MID(TRIM(K24),6,2)),""))</f>
        <v>9</v>
      </c>
      <c r="M24" s="3" t="str">
        <f>IF(TRIM(H24)="","",IFERROR(LOOKUP(2,1/(ISNUMBER(SEARCH('منطق دسته‌بندی'!$A$2:$A$187,H24))),'منطق دسته‌بندی'!$B$2:$B$187),"سایر (نیازمند بررسی دستی)"))</f>
        <v>تراز/لرزش - نصب (رگلاژ پایه)</v>
      </c>
      <c r="N24" s="3" t="s">
        <v>165</v>
      </c>
      <c r="O24" s="3" t="s">
        <v>78</v>
      </c>
    </row>
    <row r="25" spans="1:15" ht="30" customHeight="1">
      <c r="A25" s="3" t="s">
        <v>166</v>
      </c>
      <c r="B25" s="3" t="s">
        <v>16</v>
      </c>
      <c r="C25" s="3" t="s">
        <v>17</v>
      </c>
      <c r="D25" s="3" t="s">
        <v>1402</v>
      </c>
      <c r="E25" s="3" t="s">
        <v>160</v>
      </c>
      <c r="F25" s="3" t="s">
        <v>161</v>
      </c>
      <c r="G25" s="3" t="s">
        <v>162</v>
      </c>
      <c r="H25" s="3" t="s">
        <v>146</v>
      </c>
      <c r="I25" s="3" t="s">
        <v>48</v>
      </c>
      <c r="J25" s="3" t="s">
        <v>163</v>
      </c>
      <c r="K25" s="3" t="s">
        <v>167</v>
      </c>
      <c r="L25" s="4">
        <f>IF(OR(TRIM(I25)="",TRIM(K25)=""),"",IFERROR((VALUE(LEFT(TRIM(I25),4))-VALUE(LEFT(TRIM(K25),4)))*12+VALUE(MID(TRIM(I25),6,2))-VALUE(MID(TRIM(K25),6,2)),""))</f>
        <v>0</v>
      </c>
      <c r="M25" s="3" t="str">
        <f>IF(TRIM(H25)="","",IFERROR(LOOKUP(2,1/(ISNUMBER(SEARCH('منطق دسته‌بندی'!$A$2:$A$187,H25))),'منطق دسته‌بندی'!$B$2:$B$187),"سایر (نیازمند بررسی دستی)"))</f>
        <v>تراز/لرزش - نصب (رگلاژ پایه)</v>
      </c>
      <c r="N25" s="3" t="s">
        <v>165</v>
      </c>
      <c r="O25" s="3" t="s">
        <v>25</v>
      </c>
    </row>
    <row r="26" spans="1:15">
      <c r="A26" s="3" t="s">
        <v>168</v>
      </c>
      <c r="B26" s="3" t="s">
        <v>16</v>
      </c>
      <c r="C26" s="3" t="s">
        <v>17</v>
      </c>
      <c r="D26" s="3" t="s">
        <v>43</v>
      </c>
      <c r="E26" s="3" t="s">
        <v>44</v>
      </c>
      <c r="F26" s="3" t="s">
        <v>169</v>
      </c>
      <c r="G26" s="3" t="s">
        <v>46</v>
      </c>
      <c r="H26" s="3" t="s">
        <v>170</v>
      </c>
      <c r="I26" s="3" t="s">
        <v>48</v>
      </c>
      <c r="J26" s="3" t="s">
        <v>171</v>
      </c>
      <c r="K26" s="3" t="s">
        <v>171</v>
      </c>
      <c r="L26" s="4">
        <f>IF(OR(TRIM(I26)="",TRIM(K26)=""),"",IFERROR((VALUE(LEFT(TRIM(I26),4))-VALUE(LEFT(TRIM(K26),4)))*12+VALUE(MID(TRIM(I26),6,2))-VALUE(MID(TRIM(K26),6,2)),""))</f>
        <v>14</v>
      </c>
      <c r="M26" s="3" t="str">
        <f>IF(TRIM(H26)="","",IFERROR(LOOKUP(2,1/(ISNUMBER(SEARCH('منطق دسته‌بندی'!$A$2:$A$187,H26))),'منطق دسته‌بندی'!$B$2:$B$187),"سایر (نیازمند بررسی دستی)"))</f>
        <v>خرابی - پمپ تخلیه (تعویض)</v>
      </c>
      <c r="N26" s="3" t="s">
        <v>172</v>
      </c>
      <c r="O26" s="3" t="s">
        <v>25</v>
      </c>
    </row>
    <row r="27" spans="1:15" ht="30" customHeight="1">
      <c r="A27" s="3" t="s">
        <v>173</v>
      </c>
      <c r="B27" s="3" t="s">
        <v>16</v>
      </c>
      <c r="C27" s="3" t="s">
        <v>17</v>
      </c>
      <c r="D27" s="3" t="s">
        <v>43</v>
      </c>
      <c r="E27" s="3" t="s">
        <v>44</v>
      </c>
      <c r="F27" s="3" t="s">
        <v>174</v>
      </c>
      <c r="G27" s="3" t="s">
        <v>75</v>
      </c>
      <c r="H27" s="3" t="s">
        <v>69</v>
      </c>
      <c r="I27" s="3" t="s">
        <v>48</v>
      </c>
      <c r="J27" s="3" t="s">
        <v>175</v>
      </c>
      <c r="K27" s="3" t="s">
        <v>176</v>
      </c>
      <c r="L27" s="4">
        <f>IF(OR(TRIM(I27)="",TRIM(K27)=""),"",IFERROR((VALUE(LEFT(TRIM(I27),4))-VALUE(LEFT(TRIM(K27),4)))*12+VALUE(MID(TRIM(I27),6,2))-VALUE(MID(TRIM(K27),6,2)),""))</f>
        <v>1</v>
      </c>
      <c r="M27" s="3" t="str">
        <f>IF(TRIM(H27)="","",IFERROR(LOOKUP(2,1/(ISNUMBER(SEARCH('منطق دسته‌بندی'!$A$2:$A$187,H27))),'منطق دسته‌بندی'!$B$2:$B$187),"سایر (نیازمند بررسی دستی)"))</f>
        <v>مکانیزم درب - میکروسوئیچ/قلاب (تعویض/تنظیم)</v>
      </c>
      <c r="N27" s="3" t="s">
        <v>77</v>
      </c>
      <c r="O27" s="3" t="s">
        <v>25</v>
      </c>
    </row>
    <row r="28" spans="1:15">
      <c r="A28" s="3" t="s">
        <v>177</v>
      </c>
      <c r="B28" s="3" t="s">
        <v>16</v>
      </c>
      <c r="C28" s="3" t="s">
        <v>17</v>
      </c>
      <c r="D28" s="3" t="s">
        <v>127</v>
      </c>
      <c r="E28" s="3" t="s">
        <v>128</v>
      </c>
      <c r="F28" s="3" t="s">
        <v>178</v>
      </c>
      <c r="G28" s="3" t="s">
        <v>179</v>
      </c>
      <c r="H28" s="3" t="s">
        <v>180</v>
      </c>
      <c r="I28" s="3" t="s">
        <v>48</v>
      </c>
      <c r="J28" s="3" t="s">
        <v>181</v>
      </c>
      <c r="K28" s="3" t="s">
        <v>182</v>
      </c>
      <c r="L28" s="4">
        <f>IF(OR(TRIM(I28)="",TRIM(K28)=""),"",IFERROR((VALUE(LEFT(TRIM(I28),4))-VALUE(LEFT(TRIM(K28),4)))*12+VALUE(MID(TRIM(I28),6,2))-VALUE(MID(TRIM(K28),6,2)),""))</f>
        <v>1</v>
      </c>
      <c r="M28" s="3" t="str">
        <f>IF(TRIM(H28)="","",IFERROR(LOOKUP(2,1/(ISNUMBER(SEARCH('منطق دسته‌بندی'!$A$2:$A$187,H28))),'منطق دسته‌بندی'!$B$2:$B$187),"سایر (نیازمند بررسی دستی)"))</f>
        <v>مکانیزم درب - مگنت (تعویض)</v>
      </c>
      <c r="N28" s="3" t="s">
        <v>183</v>
      </c>
      <c r="O28" s="3" t="s">
        <v>25</v>
      </c>
    </row>
    <row r="29" spans="1:15" ht="30">
      <c r="A29" s="3" t="s">
        <v>184</v>
      </c>
      <c r="B29" s="3" t="s">
        <v>16</v>
      </c>
      <c r="C29" s="3" t="s">
        <v>17</v>
      </c>
      <c r="D29" s="3" t="s">
        <v>43</v>
      </c>
      <c r="E29" s="3" t="s">
        <v>96</v>
      </c>
      <c r="F29" s="3" t="s">
        <v>185</v>
      </c>
      <c r="G29" s="3" t="s">
        <v>186</v>
      </c>
      <c r="H29" s="3" t="s">
        <v>187</v>
      </c>
      <c r="I29" s="3" t="s">
        <v>48</v>
      </c>
      <c r="J29" s="3" t="s">
        <v>188</v>
      </c>
      <c r="K29" s="3" t="s">
        <v>189</v>
      </c>
      <c r="L29" s="4">
        <f>IF(OR(TRIM(I29)="",TRIM(K29)=""),"",IFERROR((VALUE(LEFT(TRIM(I29),4))-VALUE(LEFT(TRIM(K29),4)))*12+VALUE(MID(TRIM(I29),6,2))-VALUE(MID(TRIM(K29),6,2)),""))</f>
        <v>23</v>
      </c>
      <c r="M29" s="3" t="str">
        <f>IF(TRIM(H29)="","",IFERROR(LOOKUP(2,1/(ISNUMBER(SEARCH('منطق دسته‌بندی'!$A$2:$A$187,H29))),'منطق دسته‌بندی'!$B$2:$B$187),"سایر (نیازمند بررسی دستی)"))</f>
        <v>نشتی - جاپودری/جا قرصی (تعمیر/آب‌بندی)</v>
      </c>
      <c r="N29" s="3" t="s">
        <v>24</v>
      </c>
      <c r="O29" s="3" t="s">
        <v>25</v>
      </c>
    </row>
    <row r="30" spans="1:15">
      <c r="A30" s="3" t="s">
        <v>190</v>
      </c>
      <c r="B30" s="3" t="s">
        <v>16</v>
      </c>
      <c r="C30" s="3" t="s">
        <v>17</v>
      </c>
      <c r="D30" s="3" t="s">
        <v>59</v>
      </c>
      <c r="E30" s="3" t="s">
        <v>60</v>
      </c>
      <c r="F30" s="3" t="s">
        <v>191</v>
      </c>
      <c r="G30" s="3" t="s">
        <v>192</v>
      </c>
      <c r="H30" s="3" t="s">
        <v>193</v>
      </c>
      <c r="I30" s="3" t="s">
        <v>48</v>
      </c>
      <c r="J30" s="3" t="s">
        <v>194</v>
      </c>
      <c r="K30" s="3" t="s">
        <v>195</v>
      </c>
      <c r="L30" s="4">
        <f>IF(OR(TRIM(I30)="",TRIM(K30)=""),"",IFERROR((VALUE(LEFT(TRIM(I30),4))-VALUE(LEFT(TRIM(K30),4)))*12+VALUE(MID(TRIM(I30),6,2))-VALUE(MID(TRIM(K30),6,2)),""))</f>
        <v>11</v>
      </c>
      <c r="M30" s="3" t="str">
        <f>IF(TRIM(H30)="","",IFERROR(LOOKUP(2,1/(ISNUMBER(SEARCH('منطق دسته‌بندی'!$A$2:$A$187,H30))),'منطق دسته‌بندی'!$B$2:$B$187),"سایر (نیازمند بررسی دستی)"))</f>
        <v>برد نمایش تلویزیون (تعویض)</v>
      </c>
      <c r="N30" s="3" t="s">
        <v>196</v>
      </c>
      <c r="O30" s="3" t="s">
        <v>25</v>
      </c>
    </row>
    <row r="31" spans="1:15">
      <c r="A31" s="3" t="s">
        <v>197</v>
      </c>
      <c r="B31" s="3" t="s">
        <v>16</v>
      </c>
      <c r="C31" s="3" t="s">
        <v>17</v>
      </c>
      <c r="D31" s="3" t="s">
        <v>43</v>
      </c>
      <c r="E31" s="3" t="s">
        <v>96</v>
      </c>
      <c r="F31" s="3" t="s">
        <v>185</v>
      </c>
      <c r="G31" s="3" t="s">
        <v>186</v>
      </c>
      <c r="H31" s="3" t="s">
        <v>198</v>
      </c>
      <c r="I31" s="3" t="s">
        <v>48</v>
      </c>
      <c r="J31" s="3" t="s">
        <v>188</v>
      </c>
      <c r="K31" s="3" t="s">
        <v>199</v>
      </c>
      <c r="L31" s="4">
        <f>IF(OR(TRIM(I31)="",TRIM(K31)=""),"",IFERROR((VALUE(LEFT(TRIM(I31),4))-VALUE(LEFT(TRIM(K31),4)))*12+VALUE(MID(TRIM(I31),6,2))-VALUE(MID(TRIM(K31),6,2)),""))</f>
        <v>25</v>
      </c>
      <c r="M31" s="3" t="str">
        <f>IF(TRIM(H31)="","",IFERROR(LOOKUP(2,1/(ISNUMBER(SEARCH('منطق دسته‌بندی'!$A$2:$A$187,H31))),'منطق دسته‌بندی'!$B$2:$B$187),"سایر (نیازمند بررسی دستی)"))</f>
        <v>نشتی - مقسم آب (تعمیر/آب‌بندی)</v>
      </c>
      <c r="N31" s="3" t="s">
        <v>24</v>
      </c>
      <c r="O31" s="3" t="s">
        <v>78</v>
      </c>
    </row>
    <row r="32" spans="1:15">
      <c r="A32" s="3" t="s">
        <v>200</v>
      </c>
      <c r="B32" s="3" t="s">
        <v>16</v>
      </c>
      <c r="C32" s="3" t="s">
        <v>17</v>
      </c>
      <c r="D32" s="3" t="s">
        <v>43</v>
      </c>
      <c r="E32" s="3" t="s">
        <v>44</v>
      </c>
      <c r="F32" s="3" t="s">
        <v>201</v>
      </c>
      <c r="G32" s="3" t="s">
        <v>202</v>
      </c>
      <c r="H32" s="3" t="s">
        <v>170</v>
      </c>
      <c r="I32" s="3" t="s">
        <v>48</v>
      </c>
      <c r="J32" s="3" t="s">
        <v>203</v>
      </c>
      <c r="K32" s="3" t="s">
        <v>204</v>
      </c>
      <c r="L32" s="4">
        <f>IF(OR(TRIM(I32)="",TRIM(K32)=""),"",IFERROR((VALUE(LEFT(TRIM(I32),4))-VALUE(LEFT(TRIM(K32),4)))*12+VALUE(MID(TRIM(I32),6,2))-VALUE(MID(TRIM(K32),6,2)),""))</f>
        <v>4</v>
      </c>
      <c r="M32" s="3" t="str">
        <f>IF(TRIM(H32)="","",IFERROR(LOOKUP(2,1/(ISNUMBER(SEARCH('منطق دسته‌بندی'!$A$2:$A$187,H32))),'منطق دسته‌بندی'!$B$2:$B$187),"سایر (نیازمند بررسی دستی)"))</f>
        <v>خرابی - پمپ تخلیه (تعویض)</v>
      </c>
      <c r="N32" s="3" t="s">
        <v>172</v>
      </c>
      <c r="O32" s="3" t="s">
        <v>78</v>
      </c>
    </row>
    <row r="33" spans="1:15">
      <c r="A33" s="3" t="s">
        <v>205</v>
      </c>
      <c r="B33" s="3" t="s">
        <v>16</v>
      </c>
      <c r="C33" s="3" t="s">
        <v>17</v>
      </c>
      <c r="D33" s="3" t="s">
        <v>43</v>
      </c>
      <c r="E33" s="3" t="s">
        <v>52</v>
      </c>
      <c r="F33" s="3" t="s">
        <v>80</v>
      </c>
      <c r="G33" s="3" t="s">
        <v>81</v>
      </c>
      <c r="H33" s="3" t="s">
        <v>206</v>
      </c>
      <c r="I33" s="3" t="s">
        <v>48</v>
      </c>
      <c r="J33" s="3" t="s">
        <v>83</v>
      </c>
      <c r="K33" s="3" t="s">
        <v>207</v>
      </c>
      <c r="L33" s="4">
        <f>IF(OR(TRIM(I33)="",TRIM(K33)=""),"",IFERROR((VALUE(LEFT(TRIM(I33),4))-VALUE(LEFT(TRIM(K33),4)))*12+VALUE(MID(TRIM(I33),6,2))-VALUE(MID(TRIM(K33),6,2)),""))</f>
        <v>1</v>
      </c>
      <c r="M33" s="3" t="str">
        <f>IF(TRIM(H33)="","",IFERROR(LOOKUP(2,1/(ISNUMBER(SEARCH('منطق دسته‌بندی'!$A$2:$A$187,H33))),'منطق دسته‌بندی'!$B$2:$B$187),"سایر (نیازمند بررسی دستی)"))</f>
        <v>نشتی آب - محل نامشخص (نیازمند بازدید)</v>
      </c>
      <c r="N33" s="3" t="s">
        <v>24</v>
      </c>
      <c r="O33" s="3" t="s">
        <v>25</v>
      </c>
    </row>
    <row r="34" spans="1:15" ht="30" customHeight="1">
      <c r="A34" s="3" t="s">
        <v>208</v>
      </c>
      <c r="B34" s="3" t="s">
        <v>16</v>
      </c>
      <c r="C34" s="3" t="s">
        <v>17</v>
      </c>
      <c r="D34" s="3" t="s">
        <v>1402</v>
      </c>
      <c r="E34" s="3" t="s">
        <v>143</v>
      </c>
      <c r="F34" s="3" t="s">
        <v>209</v>
      </c>
      <c r="G34" s="3" t="s">
        <v>87</v>
      </c>
      <c r="H34" s="3" t="s">
        <v>210</v>
      </c>
      <c r="I34" s="3" t="s">
        <v>48</v>
      </c>
      <c r="J34" s="3" t="s">
        <v>211</v>
      </c>
      <c r="K34" s="3" t="s">
        <v>211</v>
      </c>
      <c r="L34" s="4">
        <f>IF(OR(TRIM(I34)="",TRIM(K34)=""),"",IFERROR((VALUE(LEFT(TRIM(I34),4))-VALUE(LEFT(TRIM(K34),4)))*12+VALUE(MID(TRIM(I34),6,2))-VALUE(MID(TRIM(K34),6,2)),""))</f>
        <v>25</v>
      </c>
      <c r="M34" s="3" t="str">
        <f>IF(TRIM(H34)="","",IFERROR(LOOKUP(2,1/(ISNUMBER(SEARCH('منطق دسته‌بندی'!$A$2:$A$187,H34))),'منطق دسته‌بندی'!$B$2:$B$187),"سایر (نیازمند بررسی دستی)"))</f>
        <v>نشتی - جاپودری (تعمیر/آب‌بندی)</v>
      </c>
      <c r="N34" s="3" t="s">
        <v>24</v>
      </c>
      <c r="O34" s="3" t="s">
        <v>25</v>
      </c>
    </row>
    <row r="35" spans="1:15" ht="30" customHeight="1">
      <c r="A35" s="3" t="s">
        <v>212</v>
      </c>
      <c r="B35" s="3" t="s">
        <v>16</v>
      </c>
      <c r="C35" s="3" t="s">
        <v>17</v>
      </c>
      <c r="D35" s="3" t="s">
        <v>127</v>
      </c>
      <c r="E35" s="3" t="s">
        <v>128</v>
      </c>
      <c r="F35" s="3" t="s">
        <v>213</v>
      </c>
      <c r="G35" s="3" t="s">
        <v>214</v>
      </c>
      <c r="H35" s="3" t="s">
        <v>215</v>
      </c>
      <c r="I35" s="3" t="s">
        <v>48</v>
      </c>
      <c r="J35" s="3" t="s">
        <v>216</v>
      </c>
      <c r="K35" s="3" t="s">
        <v>217</v>
      </c>
      <c r="L35" s="4">
        <f>IF(OR(TRIM(I35)="",TRIM(K35)=""),"",IFERROR((VALUE(LEFT(TRIM(I35),4))-VALUE(LEFT(TRIM(K35),4)))*12+VALUE(MID(TRIM(I35),6,2))-VALUE(MID(TRIM(K35),6,2)),""))</f>
        <v>9</v>
      </c>
      <c r="M35" s="3" t="str">
        <f>IF(TRIM(H35)="","",IFERROR(LOOKUP(2,1/(ISNUMBER(SEARCH('منطق دسته‌بندی'!$A$2:$A$187,H35))),'منطق دسته‌بندی'!$B$2:$B$187),"سایر (نیازمند بررسی دستی)"))</f>
        <v>یخساز - تنظیم/عایق (تعمیر)</v>
      </c>
      <c r="N35" s="3" t="s">
        <v>24</v>
      </c>
      <c r="O35" s="3" t="s">
        <v>25</v>
      </c>
    </row>
    <row r="36" spans="1:15" ht="30" customHeight="1">
      <c r="A36" s="3" t="s">
        <v>218</v>
      </c>
      <c r="B36" s="3" t="s">
        <v>16</v>
      </c>
      <c r="C36" s="3" t="s">
        <v>17</v>
      </c>
      <c r="D36" s="3" t="s">
        <v>1402</v>
      </c>
      <c r="E36" s="3" t="s">
        <v>160</v>
      </c>
      <c r="F36" s="3" t="s">
        <v>219</v>
      </c>
      <c r="G36" s="3" t="s">
        <v>103</v>
      </c>
      <c r="H36" s="3" t="s">
        <v>220</v>
      </c>
      <c r="I36" s="3" t="s">
        <v>48</v>
      </c>
      <c r="J36" s="3" t="s">
        <v>221</v>
      </c>
      <c r="K36" s="3" t="s">
        <v>222</v>
      </c>
      <c r="L36" s="4">
        <f>IF(OR(TRIM(I36)="",TRIM(K36)=""),"",IFERROR((VALUE(LEFT(TRIM(I36),4))-VALUE(LEFT(TRIM(K36),4)))*12+VALUE(MID(TRIM(I36),6,2))-VALUE(MID(TRIM(K36),6,2)),""))</f>
        <v>5</v>
      </c>
      <c r="M36" s="3" t="str">
        <f>IF(TRIM(H36)="","",IFERROR(LOOKUP(2,1/(ISNUMBER(SEARCH('منطق دسته‌بندی'!$A$2:$A$187,H36))),'منطق دسته‌بندی'!$B$2:$B$187),"سایر (نیازمند بررسی دستی)"))</f>
        <v>سیم‌کشی/اتصالات (تعمیر/تنظیم)</v>
      </c>
      <c r="N36" s="3" t="s">
        <v>24</v>
      </c>
      <c r="O36" s="3" t="s">
        <v>25</v>
      </c>
    </row>
    <row r="37" spans="1:15" ht="30" customHeight="1">
      <c r="A37" s="3" t="s">
        <v>223</v>
      </c>
      <c r="B37" s="3" t="s">
        <v>16</v>
      </c>
      <c r="C37" s="3" t="s">
        <v>17</v>
      </c>
      <c r="D37" s="3" t="s">
        <v>1402</v>
      </c>
      <c r="E37" s="3" t="s">
        <v>143</v>
      </c>
      <c r="F37" s="3" t="s">
        <v>144</v>
      </c>
      <c r="G37" s="3" t="s">
        <v>224</v>
      </c>
      <c r="H37" s="3" t="s">
        <v>146</v>
      </c>
      <c r="I37" s="3" t="s">
        <v>48</v>
      </c>
      <c r="J37" s="3" t="s">
        <v>147</v>
      </c>
      <c r="K37" s="3" t="s">
        <v>148</v>
      </c>
      <c r="L37" s="4">
        <f>IF(OR(TRIM(I37)="",TRIM(K37)=""),"",IFERROR((VALUE(LEFT(TRIM(I37),4))-VALUE(LEFT(TRIM(K37),4)))*12+VALUE(MID(TRIM(I37),6,2))-VALUE(MID(TRIM(K37),6,2)),""))</f>
        <v>5</v>
      </c>
      <c r="M37" s="3" t="str">
        <f>IF(TRIM(H37)="","",IFERROR(LOOKUP(2,1/(ISNUMBER(SEARCH('منطق دسته‌بندی'!$A$2:$A$187,H37))),'منطق دسته‌بندی'!$B$2:$B$187),"سایر (نیازمند بررسی دستی)"))</f>
        <v>تراز/لرزش - نصب (رگلاژ پایه)</v>
      </c>
      <c r="N37" s="3" t="s">
        <v>165</v>
      </c>
      <c r="O37" s="3" t="s">
        <v>25</v>
      </c>
    </row>
    <row r="38" spans="1:15" ht="30" customHeight="1">
      <c r="A38" s="3" t="s">
        <v>225</v>
      </c>
      <c r="B38" s="3" t="s">
        <v>16</v>
      </c>
      <c r="C38" s="3" t="s">
        <v>17</v>
      </c>
      <c r="D38" s="3" t="s">
        <v>43</v>
      </c>
      <c r="E38" s="3" t="s">
        <v>44</v>
      </c>
      <c r="F38" s="3" t="s">
        <v>74</v>
      </c>
      <c r="G38" s="3" t="s">
        <v>75</v>
      </c>
      <c r="H38" s="3" t="s">
        <v>47</v>
      </c>
      <c r="I38" s="3" t="s">
        <v>48</v>
      </c>
      <c r="J38" s="3" t="s">
        <v>76</v>
      </c>
      <c r="K38" s="3" t="s">
        <v>226</v>
      </c>
      <c r="L38" s="4">
        <f>IF(OR(TRIM(I38)="",TRIM(K38)=""),"",IFERROR((VALUE(LEFT(TRIM(I38),4))-VALUE(LEFT(TRIM(K38),4)))*12+VALUE(MID(TRIM(I38),6,2))-VALUE(MID(TRIM(K38),6,2)),""))</f>
        <v>12</v>
      </c>
      <c r="M38" s="3" t="str">
        <f>IF(TRIM(H38)="","",IFERROR(LOOKUP(2,1/(ISNUMBER(SEARCH('منطق دسته‌بندی'!$A$2:$A$187,H38))),'منطق دسته‌بندی'!$B$2:$B$187),"سایر (نیازمند بررسی دستی)"))</f>
        <v>غیرگارانتی/بدون قطعه</v>
      </c>
      <c r="N38" s="3" t="s">
        <v>24</v>
      </c>
      <c r="O38" s="3" t="s">
        <v>25</v>
      </c>
    </row>
    <row r="39" spans="1:15" ht="30" customHeight="1">
      <c r="A39" s="3" t="s">
        <v>227</v>
      </c>
      <c r="B39" s="3" t="s">
        <v>16</v>
      </c>
      <c r="C39" s="3" t="s">
        <v>17</v>
      </c>
      <c r="D39" s="3" t="s">
        <v>1402</v>
      </c>
      <c r="E39" s="3" t="s">
        <v>143</v>
      </c>
      <c r="F39" s="3" t="s">
        <v>228</v>
      </c>
      <c r="G39" s="3" t="s">
        <v>28</v>
      </c>
      <c r="H39" s="3" t="s">
        <v>146</v>
      </c>
      <c r="I39" s="3" t="s">
        <v>48</v>
      </c>
      <c r="J39" s="3" t="s">
        <v>229</v>
      </c>
      <c r="K39" s="3" t="s">
        <v>217</v>
      </c>
      <c r="L39" s="4">
        <f>IF(OR(TRIM(I39)="",TRIM(K39)=""),"",IFERROR((VALUE(LEFT(TRIM(I39),4))-VALUE(LEFT(TRIM(K39),4)))*12+VALUE(MID(TRIM(I39),6,2))-VALUE(MID(TRIM(K39),6,2)),""))</f>
        <v>9</v>
      </c>
      <c r="M39" s="3" t="str">
        <f>IF(TRIM(H39)="","",IFERROR(LOOKUP(2,1/(ISNUMBER(SEARCH('منطق دسته‌بندی'!$A$2:$A$187,H39))),'منطق دسته‌بندی'!$B$2:$B$187),"سایر (نیازمند بررسی دستی)"))</f>
        <v>تراز/لرزش - نصب (رگلاژ پایه)</v>
      </c>
      <c r="N39" s="3" t="s">
        <v>165</v>
      </c>
      <c r="O39" s="3" t="s">
        <v>25</v>
      </c>
    </row>
    <row r="40" spans="1:15">
      <c r="A40" s="3" t="s">
        <v>230</v>
      </c>
      <c r="B40" s="3" t="s">
        <v>16</v>
      </c>
      <c r="C40" s="3" t="s">
        <v>17</v>
      </c>
      <c r="D40" s="3" t="s">
        <v>43</v>
      </c>
      <c r="E40" s="3" t="s">
        <v>44</v>
      </c>
      <c r="F40" s="3" t="s">
        <v>122</v>
      </c>
      <c r="G40" s="3" t="s">
        <v>123</v>
      </c>
      <c r="H40" s="3" t="s">
        <v>231</v>
      </c>
      <c r="I40" s="3" t="s">
        <v>48</v>
      </c>
      <c r="J40" s="3" t="s">
        <v>125</v>
      </c>
      <c r="K40" s="3" t="s">
        <v>232</v>
      </c>
      <c r="L40" s="4">
        <f>IF(OR(TRIM(I40)="",TRIM(K40)=""),"",IFERROR((VALUE(LEFT(TRIM(I40),4))-VALUE(LEFT(TRIM(K40),4)))*12+VALUE(MID(TRIM(I40),6,2))-VALUE(MID(TRIM(K40),6,2)),""))</f>
        <v>13</v>
      </c>
      <c r="M40" s="3" t="str">
        <f>IF(TRIM(H40)="","",IFERROR(LOOKUP(2,1/(ISNUMBER(SEARCH('منطق دسته‌بندی'!$A$2:$A$187,H40))),'منطق دسته‌بندی'!$B$2:$B$187),"سایر (نیازمند بررسی دستی)"))</f>
        <v>نشتی - پمپ تخلیه (تعمیر/آب‌بندی)</v>
      </c>
      <c r="N40" s="3" t="s">
        <v>233</v>
      </c>
      <c r="O40" s="3" t="s">
        <v>78</v>
      </c>
    </row>
    <row r="41" spans="1:15" ht="30" customHeight="1">
      <c r="A41" s="3" t="s">
        <v>234</v>
      </c>
      <c r="B41" s="3" t="s">
        <v>16</v>
      </c>
      <c r="C41" s="3" t="s">
        <v>17</v>
      </c>
      <c r="D41" s="3" t="s">
        <v>1402</v>
      </c>
      <c r="E41" s="3" t="s">
        <v>18</v>
      </c>
      <c r="F41" s="3" t="s">
        <v>116</v>
      </c>
      <c r="G41" s="3" t="s">
        <v>117</v>
      </c>
      <c r="H41" s="3" t="s">
        <v>235</v>
      </c>
      <c r="I41" s="3" t="s">
        <v>48</v>
      </c>
      <c r="J41" s="3" t="s">
        <v>119</v>
      </c>
      <c r="K41" s="3" t="s">
        <v>236</v>
      </c>
      <c r="L41" s="4">
        <f>IF(OR(TRIM(I41)="",TRIM(K41)=""),"",IFERROR((VALUE(LEFT(TRIM(I41),4))-VALUE(LEFT(TRIM(K41),4)))*12+VALUE(MID(TRIM(I41),6,2))-VALUE(MID(TRIM(K41),6,2)),""))</f>
        <v>22</v>
      </c>
      <c r="M41" s="3" t="str">
        <f>IF(TRIM(H41)="","",IFERROR(LOOKUP(2,1/(ISNUMBER(SEARCH('منطق دسته‌بندی'!$A$2:$A$187,H41))),'منطق دسته‌بندی'!$B$2:$B$187),"سایر (نیازمند بررسی دستی)"))</f>
        <v>مکانیزم درب - زبانه (تعویض)</v>
      </c>
      <c r="N41" s="3" t="s">
        <v>237</v>
      </c>
      <c r="O41" s="3" t="s">
        <v>78</v>
      </c>
    </row>
    <row r="42" spans="1:15" ht="30" customHeight="1">
      <c r="A42" s="3" t="s">
        <v>238</v>
      </c>
      <c r="B42" s="3" t="s">
        <v>16</v>
      </c>
      <c r="C42" s="3" t="s">
        <v>17</v>
      </c>
      <c r="D42" s="3" t="s">
        <v>43</v>
      </c>
      <c r="E42" s="3" t="s">
        <v>44</v>
      </c>
      <c r="F42" s="3" t="s">
        <v>239</v>
      </c>
      <c r="G42" s="3" t="s">
        <v>155</v>
      </c>
      <c r="H42" s="3" t="s">
        <v>240</v>
      </c>
      <c r="I42" s="3" t="s">
        <v>48</v>
      </c>
      <c r="J42" s="3" t="s">
        <v>241</v>
      </c>
      <c r="K42" s="3" t="s">
        <v>57</v>
      </c>
      <c r="L42" s="4">
        <f>IF(OR(TRIM(I42)="",TRIM(K42)=""),"",IFERROR((VALUE(LEFT(TRIM(I42),4))-VALUE(LEFT(TRIM(K42),4)))*12+VALUE(MID(TRIM(I42),6,2))-VALUE(MID(TRIM(K42),6,2)),""))</f>
        <v>0</v>
      </c>
      <c r="M42" s="3" t="str">
        <f>IF(TRIM(H42)="","",IFERROR(LOOKUP(2,1/(ISNUMBER(SEARCH('منطق دسته‌بندی'!$A$2:$A$187,H42))),'منطق دسته‌بندی'!$B$2:$B$187),"سایر (نیازمند بررسی دستی)"))</f>
        <v>خرابی - هیدروستات (تعویض)</v>
      </c>
      <c r="N42" s="3" t="s">
        <v>242</v>
      </c>
      <c r="O42" s="3" t="s">
        <v>25</v>
      </c>
    </row>
    <row r="43" spans="1:15" ht="30" customHeight="1">
      <c r="A43" s="3" t="s">
        <v>243</v>
      </c>
      <c r="B43" s="3" t="s">
        <v>16</v>
      </c>
      <c r="C43" s="3" t="s">
        <v>17</v>
      </c>
      <c r="D43" s="3" t="s">
        <v>1402</v>
      </c>
      <c r="E43" s="3" t="s">
        <v>143</v>
      </c>
      <c r="F43" s="3" t="s">
        <v>209</v>
      </c>
      <c r="G43" s="3" t="s">
        <v>87</v>
      </c>
      <c r="H43" s="3" t="s">
        <v>210</v>
      </c>
      <c r="I43" s="3" t="s">
        <v>48</v>
      </c>
      <c r="J43" s="3" t="s">
        <v>211</v>
      </c>
      <c r="K43" s="3" t="s">
        <v>244</v>
      </c>
      <c r="L43" s="4">
        <f>IF(OR(TRIM(I43)="",TRIM(K43)=""),"",IFERROR((VALUE(LEFT(TRIM(I43),4))-VALUE(LEFT(TRIM(K43),4)))*12+VALUE(MID(TRIM(I43),6,2))-VALUE(MID(TRIM(K43),6,2)),""))</f>
        <v>0</v>
      </c>
      <c r="M43" s="3" t="str">
        <f>IF(TRIM(H43)="","",IFERROR(LOOKUP(2,1/(ISNUMBER(SEARCH('منطق دسته‌بندی'!$A$2:$A$187,H43))),'منطق دسته‌بندی'!$B$2:$B$187),"سایر (نیازمند بررسی دستی)"))</f>
        <v>نشتی - جاپودری (تعمیر/آب‌بندی)</v>
      </c>
      <c r="N43" s="3" t="s">
        <v>24</v>
      </c>
      <c r="O43" s="3" t="s">
        <v>78</v>
      </c>
    </row>
    <row r="44" spans="1:15" ht="30" customHeight="1">
      <c r="A44" s="3" t="s">
        <v>245</v>
      </c>
      <c r="B44" s="3" t="s">
        <v>16</v>
      </c>
      <c r="C44" s="3" t="s">
        <v>17</v>
      </c>
      <c r="D44" s="3" t="s">
        <v>1402</v>
      </c>
      <c r="E44" s="3" t="s">
        <v>143</v>
      </c>
      <c r="F44" s="3" t="s">
        <v>228</v>
      </c>
      <c r="G44" s="3" t="s">
        <v>28</v>
      </c>
      <c r="H44" s="3" t="s">
        <v>146</v>
      </c>
      <c r="I44" s="3" t="s">
        <v>48</v>
      </c>
      <c r="J44" s="3" t="s">
        <v>229</v>
      </c>
      <c r="K44" s="3" t="s">
        <v>217</v>
      </c>
      <c r="L44" s="4">
        <f>IF(OR(TRIM(I44)="",TRIM(K44)=""),"",IFERROR((VALUE(LEFT(TRIM(I44),4))-VALUE(LEFT(TRIM(K44),4)))*12+VALUE(MID(TRIM(I44),6,2))-VALUE(MID(TRIM(K44),6,2)),""))</f>
        <v>9</v>
      </c>
      <c r="M44" s="3" t="str">
        <f>IF(TRIM(H44)="","",IFERROR(LOOKUP(2,1/(ISNUMBER(SEARCH('منطق دسته‌بندی'!$A$2:$A$187,H44))),'منطق دسته‌بندی'!$B$2:$B$187),"سایر (نیازمند بررسی دستی)"))</f>
        <v>تراز/لرزش - نصب (رگلاژ پایه)</v>
      </c>
      <c r="N44" s="3" t="s">
        <v>165</v>
      </c>
      <c r="O44" s="3" t="s">
        <v>78</v>
      </c>
    </row>
    <row r="45" spans="1:15">
      <c r="A45" s="3" t="s">
        <v>246</v>
      </c>
      <c r="B45" s="3" t="s">
        <v>16</v>
      </c>
      <c r="C45" s="3" t="s">
        <v>17</v>
      </c>
      <c r="D45" s="3" t="s">
        <v>43</v>
      </c>
      <c r="E45" s="3" t="s">
        <v>44</v>
      </c>
      <c r="F45" s="3" t="s">
        <v>201</v>
      </c>
      <c r="G45" s="3" t="s">
        <v>123</v>
      </c>
      <c r="H45" s="3" t="s">
        <v>124</v>
      </c>
      <c r="I45" s="3" t="s">
        <v>48</v>
      </c>
      <c r="J45" s="3" t="s">
        <v>203</v>
      </c>
      <c r="K45" s="3" t="s">
        <v>247</v>
      </c>
      <c r="L45" s="4">
        <f>IF(OR(TRIM(I45)="",TRIM(K45)=""),"",IFERROR((VALUE(LEFT(TRIM(I45),4))-VALUE(LEFT(TRIM(K45),4)))*12+VALUE(MID(TRIM(I45),6,2))-VALUE(MID(TRIM(K45),6,2)),""))</f>
        <v>10</v>
      </c>
      <c r="M45" s="3" t="str">
        <f>IF(TRIM(H45)="","",IFERROR(LOOKUP(2,1/(ISNUMBER(SEARCH('منطق دسته‌بندی'!$A$2:$A$187,H45))),'منطق دسته‌بندی'!$B$2:$B$187),"سایر (نیازمند بررسی دستی)"))</f>
        <v>پمپ تخلیه - گرفتگی/بازبینی</v>
      </c>
      <c r="N45" s="3" t="s">
        <v>24</v>
      </c>
      <c r="O45" s="3" t="s">
        <v>25</v>
      </c>
    </row>
    <row r="46" spans="1:15" ht="30" customHeight="1">
      <c r="A46" s="3" t="s">
        <v>248</v>
      </c>
      <c r="B46" s="3" t="s">
        <v>16</v>
      </c>
      <c r="C46" s="3" t="s">
        <v>17</v>
      </c>
      <c r="D46" s="3" t="s">
        <v>59</v>
      </c>
      <c r="E46" s="3" t="s">
        <v>249</v>
      </c>
      <c r="F46" s="3" t="s">
        <v>250</v>
      </c>
      <c r="G46" s="3" t="s">
        <v>251</v>
      </c>
      <c r="H46" s="3" t="s">
        <v>63</v>
      </c>
      <c r="I46" s="3" t="s">
        <v>252</v>
      </c>
      <c r="J46" s="3" t="s">
        <v>253</v>
      </c>
      <c r="K46" s="3" t="s">
        <v>254</v>
      </c>
      <c r="L46" s="4">
        <f>IF(OR(TRIM(I46)="",TRIM(K46)=""),"",IFERROR((VALUE(LEFT(TRIM(I46),4))-VALUE(LEFT(TRIM(K46),4)))*12+VALUE(MID(TRIM(I46),6,2))-VALUE(MID(TRIM(K46),6,2)),""))</f>
        <v>11</v>
      </c>
      <c r="M46" s="3" t="str">
        <f>IF(TRIM(H46)="","",IFERROR(LOOKUP(2,1/(ISNUMBER(SEARCH('منطق دسته‌بندی'!$A$2:$A$187,H46))),'منطق دسته‌بندی'!$B$2:$B$187),"سایر (نیازمند بررسی دستی)"))</f>
        <v>ریموت کنترل (تعویض/تعمیر)</v>
      </c>
      <c r="N46" s="3" t="s">
        <v>24</v>
      </c>
      <c r="O46" s="3" t="s">
        <v>25</v>
      </c>
    </row>
    <row r="47" spans="1:15" ht="30" customHeight="1">
      <c r="A47" s="3" t="s">
        <v>255</v>
      </c>
      <c r="B47" s="3" t="s">
        <v>16</v>
      </c>
      <c r="C47" s="3" t="s">
        <v>17</v>
      </c>
      <c r="D47" s="3" t="s">
        <v>1402</v>
      </c>
      <c r="E47" s="3" t="s">
        <v>143</v>
      </c>
      <c r="F47" s="3" t="s">
        <v>256</v>
      </c>
      <c r="G47" s="3" t="s">
        <v>257</v>
      </c>
      <c r="H47" s="3" t="s">
        <v>146</v>
      </c>
      <c r="I47" s="3" t="s">
        <v>252</v>
      </c>
      <c r="J47" s="3" t="s">
        <v>258</v>
      </c>
      <c r="K47" s="3" t="s">
        <v>40</v>
      </c>
      <c r="L47" s="4">
        <f>IF(OR(TRIM(I47)="",TRIM(K47)=""),"",IFERROR((VALUE(LEFT(TRIM(I47),4))-VALUE(LEFT(TRIM(K47),4)))*12+VALUE(MID(TRIM(I47),6,2))-VALUE(MID(TRIM(K47),6,2)),""))</f>
        <v>6</v>
      </c>
      <c r="M47" s="3" t="str">
        <f>IF(TRIM(H47)="","",IFERROR(LOOKUP(2,1/(ISNUMBER(SEARCH('منطق دسته‌بندی'!$A$2:$A$187,H47))),'منطق دسته‌بندی'!$B$2:$B$187),"سایر (نیازمند بررسی دستی)"))</f>
        <v>تراز/لرزش - نصب (رگلاژ پایه)</v>
      </c>
      <c r="N47" s="3" t="s">
        <v>165</v>
      </c>
      <c r="O47" s="3" t="s">
        <v>78</v>
      </c>
    </row>
    <row r="48" spans="1:15" ht="30" customHeight="1">
      <c r="A48" s="3" t="s">
        <v>259</v>
      </c>
      <c r="B48" s="3" t="s">
        <v>16</v>
      </c>
      <c r="C48" s="3" t="s">
        <v>17</v>
      </c>
      <c r="D48" s="3" t="s">
        <v>127</v>
      </c>
      <c r="E48" s="3" t="s">
        <v>128</v>
      </c>
      <c r="F48" s="3" t="s">
        <v>260</v>
      </c>
      <c r="G48" s="3" t="s">
        <v>130</v>
      </c>
      <c r="H48" s="3" t="s">
        <v>131</v>
      </c>
      <c r="I48" s="3" t="s">
        <v>252</v>
      </c>
      <c r="J48" s="3" t="s">
        <v>261</v>
      </c>
      <c r="K48" s="3" t="s">
        <v>262</v>
      </c>
      <c r="L48" s="4">
        <f>IF(OR(TRIM(I48)="",TRIM(K48)=""),"",IFERROR((VALUE(LEFT(TRIM(I48),4))-VALUE(LEFT(TRIM(K48),4)))*12+VALUE(MID(TRIM(I48),6,2))-VALUE(MID(TRIM(K48),6,2)),""))</f>
        <v>8</v>
      </c>
      <c r="M48" s="3" t="str">
        <f>IF(TRIM(H48)="","",IFERROR(LOOKUP(2,1/(ISNUMBER(SEARCH('منطق دسته‌بندی'!$A$2:$A$187,H48))),'منطق دسته‌بندی'!$B$2:$B$187),"سایر (نیازمند بررسی دستی)"))</f>
        <v>غیرگارانتی/بدون قطعه</v>
      </c>
      <c r="N48" s="3" t="s">
        <v>24</v>
      </c>
      <c r="O48" s="3" t="s">
        <v>25</v>
      </c>
    </row>
    <row r="49" spans="1:15" ht="30" customHeight="1">
      <c r="A49" s="3" t="s">
        <v>263</v>
      </c>
      <c r="B49" s="3" t="s">
        <v>16</v>
      </c>
      <c r="C49" s="3" t="s">
        <v>17</v>
      </c>
      <c r="D49" s="3" t="s">
        <v>127</v>
      </c>
      <c r="E49" s="3" t="s">
        <v>128</v>
      </c>
      <c r="F49" s="3" t="s">
        <v>264</v>
      </c>
      <c r="G49" s="3" t="s">
        <v>265</v>
      </c>
      <c r="H49" s="3" t="s">
        <v>266</v>
      </c>
      <c r="I49" s="3" t="s">
        <v>252</v>
      </c>
      <c r="J49" s="3" t="s">
        <v>267</v>
      </c>
      <c r="K49" s="3" t="s">
        <v>268</v>
      </c>
      <c r="L49" s="4">
        <f>IF(OR(TRIM(I49)="",TRIM(K49)=""),"",IFERROR((VALUE(LEFT(TRIM(I49),4))-VALUE(LEFT(TRIM(K49),4)))*12+VALUE(MID(TRIM(I49),6,2))-VALUE(MID(TRIM(K49),6,2)),""))</f>
        <v>15</v>
      </c>
      <c r="M49" s="3" t="str">
        <f>IF(TRIM(H49)="","",IFERROR(LOOKUP(2,1/(ISNUMBER(SEARCH('منطق دسته‌بندی'!$A$2:$A$187,H49))),'منطق دسته‌بندی'!$B$2:$B$187),"سایر (نیازمند بررسی دستی)"))</f>
        <v>یخساز - کاور (تعویض)</v>
      </c>
      <c r="N49" s="3" t="s">
        <v>269</v>
      </c>
      <c r="O49" s="3" t="s">
        <v>25</v>
      </c>
    </row>
    <row r="50" spans="1:15" ht="30" customHeight="1">
      <c r="A50" s="3" t="s">
        <v>270</v>
      </c>
      <c r="B50" s="3" t="s">
        <v>16</v>
      </c>
      <c r="C50" s="3" t="s">
        <v>17</v>
      </c>
      <c r="D50" s="3" t="s">
        <v>1402</v>
      </c>
      <c r="E50" s="3" t="s">
        <v>18</v>
      </c>
      <c r="F50" s="3" t="s">
        <v>271</v>
      </c>
      <c r="G50" s="3" t="s">
        <v>272</v>
      </c>
      <c r="H50" s="3" t="s">
        <v>273</v>
      </c>
      <c r="I50" s="3" t="s">
        <v>252</v>
      </c>
      <c r="J50" s="3" t="s">
        <v>274</v>
      </c>
      <c r="K50" s="3" t="s">
        <v>275</v>
      </c>
      <c r="L50" s="4">
        <f>IF(OR(TRIM(I50)="",TRIM(K50)=""),"",IFERROR((VALUE(LEFT(TRIM(I50),4))-VALUE(LEFT(TRIM(K50),4)))*12+VALUE(MID(TRIM(I50),6,2))-VALUE(MID(TRIM(K50),6,2)),""))</f>
        <v>18</v>
      </c>
      <c r="M50" s="3" t="str">
        <f>IF(TRIM(H50)="","",IFERROR(LOOKUP(2,1/(ISNUMBER(SEARCH('منطق دسته‌بندی'!$A$2:$A$187,H50))),'منطق دسته‌بندی'!$B$2:$B$187),"سایر (نیازمند بررسی دستی)"))</f>
        <v>خرابی - برد الکترونیک (تعویض)</v>
      </c>
      <c r="N50" s="3" t="s">
        <v>41</v>
      </c>
      <c r="O50" s="3" t="s">
        <v>25</v>
      </c>
    </row>
    <row r="51" spans="1:15" ht="30" customHeight="1">
      <c r="A51" s="3" t="s">
        <v>276</v>
      </c>
      <c r="B51" s="3" t="s">
        <v>16</v>
      </c>
      <c r="C51" s="3" t="s">
        <v>17</v>
      </c>
      <c r="D51" s="3" t="s">
        <v>127</v>
      </c>
      <c r="E51" s="3" t="s">
        <v>128</v>
      </c>
      <c r="F51" s="3" t="s">
        <v>277</v>
      </c>
      <c r="G51" s="3" t="s">
        <v>214</v>
      </c>
      <c r="H51" s="3" t="s">
        <v>278</v>
      </c>
      <c r="I51" s="3" t="s">
        <v>252</v>
      </c>
      <c r="J51" s="3" t="s">
        <v>181</v>
      </c>
      <c r="K51" s="3" t="s">
        <v>176</v>
      </c>
      <c r="L51" s="4">
        <f>IF(OR(TRIM(I51)="",TRIM(K51)=""),"",IFERROR((VALUE(LEFT(TRIM(I51),4))-VALUE(LEFT(TRIM(K51),4)))*12+VALUE(MID(TRIM(I51),6,2))-VALUE(MID(TRIM(K51),6,2)),""))</f>
        <v>1</v>
      </c>
      <c r="M51" s="3" t="str">
        <f>IF(TRIM(H51)="","",IFERROR(LOOKUP(2,1/(ISNUMBER(SEARCH('منطق دسته‌بندی'!$A$2:$A$187,H51))),'منطق دسته‌بندی'!$B$2:$B$187),"سایر (نیازمند بررسی دستی)"))</f>
        <v>یخساز - تنظیم/عایق (تعمیر)</v>
      </c>
      <c r="N51" s="3" t="s">
        <v>24</v>
      </c>
      <c r="O51" s="3" t="s">
        <v>25</v>
      </c>
    </row>
    <row r="52" spans="1:15" ht="30" customHeight="1">
      <c r="A52" s="3" t="s">
        <v>279</v>
      </c>
      <c r="B52" s="3" t="s">
        <v>16</v>
      </c>
      <c r="C52" s="3" t="s">
        <v>17</v>
      </c>
      <c r="D52" s="3" t="s">
        <v>127</v>
      </c>
      <c r="E52" s="3" t="s">
        <v>128</v>
      </c>
      <c r="F52" s="3" t="s">
        <v>280</v>
      </c>
      <c r="G52" s="3" t="s">
        <v>214</v>
      </c>
      <c r="H52" s="3" t="s">
        <v>281</v>
      </c>
      <c r="I52" s="3" t="s">
        <v>252</v>
      </c>
      <c r="J52" s="3" t="s">
        <v>56</v>
      </c>
      <c r="K52" s="3" t="s">
        <v>282</v>
      </c>
      <c r="L52" s="4">
        <f>IF(OR(TRIM(I52)="",TRIM(K52)=""),"",IFERROR((VALUE(LEFT(TRIM(I52),4))-VALUE(LEFT(TRIM(K52),4)))*12+VALUE(MID(TRIM(I52),6,2))-VALUE(MID(TRIM(K52),6,2)),""))</f>
        <v>16</v>
      </c>
      <c r="M52" s="3" t="str">
        <f>IF(TRIM(H52)="","",IFERROR(LOOKUP(2,1/(ISNUMBER(SEARCH('منطق دسته‌بندی'!$A$2:$A$187,H52))),'منطق دسته‌بندی'!$B$2:$B$187),"سایر (نیازمند بررسی دستی)"))</f>
        <v>خرابی - برد الکترونیک (تعویض)</v>
      </c>
      <c r="N52" s="3" t="s">
        <v>283</v>
      </c>
      <c r="O52" s="3" t="s">
        <v>25</v>
      </c>
    </row>
    <row r="53" spans="1:15">
      <c r="A53" s="3" t="s">
        <v>284</v>
      </c>
      <c r="B53" s="3" t="s">
        <v>16</v>
      </c>
      <c r="C53" s="3" t="s">
        <v>17</v>
      </c>
      <c r="D53" s="3" t="s">
        <v>1402</v>
      </c>
      <c r="E53" s="3" t="s">
        <v>143</v>
      </c>
      <c r="F53" s="3" t="s">
        <v>256</v>
      </c>
      <c r="G53" s="3" t="s">
        <v>285</v>
      </c>
      <c r="H53" s="3" t="s">
        <v>146</v>
      </c>
      <c r="I53" s="3" t="s">
        <v>252</v>
      </c>
      <c r="J53" s="3" t="s">
        <v>258</v>
      </c>
      <c r="K53" s="3" t="s">
        <v>40</v>
      </c>
      <c r="L53" s="4">
        <f>IF(OR(TRIM(I53)="",TRIM(K53)=""),"",IFERROR((VALUE(LEFT(TRIM(I53),4))-VALUE(LEFT(TRIM(K53),4)))*12+VALUE(MID(TRIM(I53),6,2))-VALUE(MID(TRIM(K53),6,2)),""))</f>
        <v>6</v>
      </c>
      <c r="M53" s="3" t="str">
        <f>IF(TRIM(H53)="","",IFERROR(LOOKUP(2,1/(ISNUMBER(SEARCH('منطق دسته‌بندی'!$A$2:$A$187,H53))),'منطق دسته‌بندی'!$B$2:$B$187),"سایر (نیازمند بررسی دستی)"))</f>
        <v>تراز/لرزش - نصب (رگلاژ پایه)</v>
      </c>
      <c r="N53" s="3" t="s">
        <v>165</v>
      </c>
      <c r="O53" s="3" t="s">
        <v>25</v>
      </c>
    </row>
    <row r="54" spans="1:15" ht="30" customHeight="1">
      <c r="A54" s="3" t="s">
        <v>286</v>
      </c>
      <c r="B54" s="3" t="s">
        <v>16</v>
      </c>
      <c r="C54" s="3" t="s">
        <v>17</v>
      </c>
      <c r="D54" s="3" t="s">
        <v>127</v>
      </c>
      <c r="E54" s="3" t="s">
        <v>128</v>
      </c>
      <c r="F54" s="3" t="s">
        <v>277</v>
      </c>
      <c r="G54" s="3" t="s">
        <v>214</v>
      </c>
      <c r="H54" s="3" t="s">
        <v>287</v>
      </c>
      <c r="I54" s="3" t="s">
        <v>252</v>
      </c>
      <c r="J54" s="3" t="s">
        <v>181</v>
      </c>
      <c r="K54" s="3" t="s">
        <v>176</v>
      </c>
      <c r="L54" s="4">
        <f>IF(OR(TRIM(I54)="",TRIM(K54)=""),"",IFERROR((VALUE(LEFT(TRIM(I54),4))-VALUE(LEFT(TRIM(K54),4)))*12+VALUE(MID(TRIM(I54),6,2))-VALUE(MID(TRIM(K54),6,2)),""))</f>
        <v>1</v>
      </c>
      <c r="M54" s="3" t="str">
        <f>IF(TRIM(H54)="","",IFERROR(LOOKUP(2,1/(ISNUMBER(SEARCH('منطق دسته‌بندی'!$A$2:$A$187,H54))),'منطق دسته‌بندی'!$B$2:$B$187),"سایر (نیازمند بررسی دستی)"))</f>
        <v>یخساز - تنظیم/عایق (تعمیر)</v>
      </c>
      <c r="N54" s="3" t="s">
        <v>24</v>
      </c>
      <c r="O54" s="3" t="s">
        <v>78</v>
      </c>
    </row>
    <row r="55" spans="1:15">
      <c r="A55" s="3" t="s">
        <v>288</v>
      </c>
      <c r="B55" s="3" t="s">
        <v>16</v>
      </c>
      <c r="C55" s="3" t="s">
        <v>17</v>
      </c>
      <c r="D55" s="3" t="s">
        <v>43</v>
      </c>
      <c r="E55" s="3" t="s">
        <v>44</v>
      </c>
      <c r="F55" s="3" t="s">
        <v>289</v>
      </c>
      <c r="G55" s="3" t="s">
        <v>46</v>
      </c>
      <c r="H55" s="3" t="s">
        <v>290</v>
      </c>
      <c r="I55" s="3" t="s">
        <v>291</v>
      </c>
      <c r="J55" s="3" t="s">
        <v>292</v>
      </c>
      <c r="K55" s="3" t="s">
        <v>293</v>
      </c>
      <c r="L55" s="4">
        <f>IF(OR(TRIM(I55)="",TRIM(K55)=""),"",IFERROR((VALUE(LEFT(TRIM(I55),4))-VALUE(LEFT(TRIM(K55),4)))*12+VALUE(MID(TRIM(I55),6,2))-VALUE(MID(TRIM(K55),6,2)),""))</f>
        <v>7</v>
      </c>
      <c r="M55" s="3" t="str">
        <f>IF(TRIM(H55)="","",IFERROR(LOOKUP(2,1/(ISNUMBER(SEARCH('منطق دسته‌بندی'!$A$2:$A$187,H55))),'منطق دسته‌بندی'!$B$2:$B$187),"سایر (نیازمند بررسی دستی)"))</f>
        <v>خرابی - واترجت (تعویض)</v>
      </c>
      <c r="N55" s="3" t="s">
        <v>294</v>
      </c>
      <c r="O55" s="3" t="s">
        <v>25</v>
      </c>
    </row>
    <row r="56" spans="1:15" ht="30" customHeight="1">
      <c r="A56" s="3" t="s">
        <v>295</v>
      </c>
      <c r="B56" s="3" t="s">
        <v>16</v>
      </c>
      <c r="C56" s="3" t="s">
        <v>17</v>
      </c>
      <c r="D56" s="3" t="s">
        <v>1402</v>
      </c>
      <c r="E56" s="3" t="s">
        <v>143</v>
      </c>
      <c r="F56" s="3" t="s">
        <v>296</v>
      </c>
      <c r="G56" s="3" t="s">
        <v>87</v>
      </c>
      <c r="H56" s="3" t="s">
        <v>88</v>
      </c>
      <c r="I56" s="3" t="s">
        <v>291</v>
      </c>
      <c r="J56" s="3" t="s">
        <v>297</v>
      </c>
      <c r="K56" s="3" t="s">
        <v>298</v>
      </c>
      <c r="L56" s="4">
        <f>IF(OR(TRIM(I56)="",TRIM(K56)=""),"",IFERROR((VALUE(LEFT(TRIM(I56),4))-VALUE(LEFT(TRIM(K56),4)))*12+VALUE(MID(TRIM(I56),6,2))-VALUE(MID(TRIM(K56),6,2)),""))</f>
        <v>4</v>
      </c>
      <c r="M56" s="3" t="str">
        <f>IF(TRIM(H56)="","",IFERROR(LOOKUP(2,1/(ISNUMBER(SEARCH('منطق دسته‌بندی'!$A$2:$A$187,H56))),'منطق دسته‌بندی'!$B$2:$B$187),"سایر (نیازمند بررسی دستی)"))</f>
        <v>لاستیک درزگیر - دفرمگی/پارگی (تعویض)</v>
      </c>
      <c r="N56" s="3" t="s">
        <v>24</v>
      </c>
      <c r="O56" s="3" t="s">
        <v>25</v>
      </c>
    </row>
    <row r="57" spans="1:15">
      <c r="A57" s="3" t="s">
        <v>299</v>
      </c>
      <c r="B57" s="3" t="s">
        <v>16</v>
      </c>
      <c r="C57" s="3" t="s">
        <v>17</v>
      </c>
      <c r="D57" s="3" t="s">
        <v>1402</v>
      </c>
      <c r="E57" s="3" t="s">
        <v>18</v>
      </c>
      <c r="F57" s="3" t="s">
        <v>300</v>
      </c>
      <c r="G57" s="3" t="s">
        <v>301</v>
      </c>
      <c r="H57" s="3" t="s">
        <v>302</v>
      </c>
      <c r="I57" s="3" t="s">
        <v>291</v>
      </c>
      <c r="J57" s="3" t="s">
        <v>303</v>
      </c>
      <c r="K57" s="3" t="s">
        <v>304</v>
      </c>
      <c r="L57" s="4">
        <f>IF(OR(TRIM(I57)="",TRIM(K57)=""),"",IFERROR((VALUE(LEFT(TRIM(I57),4))-VALUE(LEFT(TRIM(K57),4)))*12+VALUE(MID(TRIM(I57),6,2))-VALUE(MID(TRIM(K57),6,2)),""))</f>
        <v>6</v>
      </c>
      <c r="M57" s="3" t="str">
        <f>IF(TRIM(H57)="","",IFERROR(LOOKUP(2,1/(ISNUMBER(SEARCH('منطق دسته‌بندی'!$A$2:$A$187,H57))),'منطق دسته‌بندی'!$B$2:$B$187),"سایر (نیازمند بررسی دستی)"))</f>
        <v>نشتی - شیلنگ (تعمیر/آب‌بندی)</v>
      </c>
      <c r="N57" s="3" t="s">
        <v>24</v>
      </c>
      <c r="O57" s="3" t="s">
        <v>25</v>
      </c>
    </row>
    <row r="58" spans="1:15">
      <c r="A58" s="3" t="s">
        <v>305</v>
      </c>
      <c r="B58" s="3" t="s">
        <v>16</v>
      </c>
      <c r="C58" s="3" t="s">
        <v>17</v>
      </c>
      <c r="D58" s="3" t="s">
        <v>1402</v>
      </c>
      <c r="E58" s="3" t="s">
        <v>35</v>
      </c>
      <c r="F58" s="3" t="s">
        <v>306</v>
      </c>
      <c r="G58" s="3" t="s">
        <v>307</v>
      </c>
      <c r="H58" s="3" t="s">
        <v>308</v>
      </c>
      <c r="I58" s="3" t="s">
        <v>291</v>
      </c>
      <c r="J58" s="3" t="s">
        <v>309</v>
      </c>
      <c r="K58" s="3" t="s">
        <v>309</v>
      </c>
      <c r="L58" s="4">
        <f>IF(OR(TRIM(I58)="",TRIM(K58)=""),"",IFERROR((VALUE(LEFT(TRIM(I58),4))-VALUE(LEFT(TRIM(K58),4)))*12+VALUE(MID(TRIM(I58),6,2))-VALUE(MID(TRIM(K58),6,2)),""))</f>
        <v>15</v>
      </c>
      <c r="M58" s="3" t="str">
        <f>IF(TRIM(H58)="","",IFERROR(LOOKUP(2,1/(ISNUMBER(SEARCH('منطق دسته‌بندی'!$A$2:$A$187,H58))),'منطق دسته‌بندی'!$B$2:$B$187),"سایر (نیازمند بررسی دستی)"))</f>
        <v>بدنه/کابین - ضربه (بازبینی/تعویض پنل)</v>
      </c>
      <c r="N58" s="3" t="s">
        <v>24</v>
      </c>
      <c r="O58" s="3" t="s">
        <v>25</v>
      </c>
    </row>
    <row r="59" spans="1:15" ht="30" customHeight="1">
      <c r="A59" s="3" t="s">
        <v>310</v>
      </c>
      <c r="B59" s="3" t="s">
        <v>16</v>
      </c>
      <c r="C59" s="3" t="s">
        <v>17</v>
      </c>
      <c r="D59" s="3" t="s">
        <v>43</v>
      </c>
      <c r="E59" s="3" t="s">
        <v>52</v>
      </c>
      <c r="F59" s="3" t="s">
        <v>311</v>
      </c>
      <c r="G59" s="3" t="s">
        <v>68</v>
      </c>
      <c r="H59" s="3" t="s">
        <v>69</v>
      </c>
      <c r="I59" s="3" t="s">
        <v>291</v>
      </c>
      <c r="J59" s="3" t="s">
        <v>312</v>
      </c>
      <c r="K59" s="3" t="s">
        <v>313</v>
      </c>
      <c r="L59" s="4">
        <f>IF(OR(TRIM(I59)="",TRIM(K59)=""),"",IFERROR((VALUE(LEFT(TRIM(I59),4))-VALUE(LEFT(TRIM(K59),4)))*12+VALUE(MID(TRIM(I59),6,2))-VALUE(MID(TRIM(K59),6,2)),""))</f>
        <v>1</v>
      </c>
      <c r="M59" s="3" t="str">
        <f>IF(TRIM(H59)="","",IFERROR(LOOKUP(2,1/(ISNUMBER(SEARCH('منطق دسته‌بندی'!$A$2:$A$187,H59))),'منطق دسته‌بندی'!$B$2:$B$187),"سایر (نیازمند بررسی دستی)"))</f>
        <v>مکانیزم درب - میکروسوئیچ/قلاب (تعویض/تنظیم)</v>
      </c>
      <c r="N59" s="3" t="s">
        <v>72</v>
      </c>
      <c r="O59" s="3" t="s">
        <v>25</v>
      </c>
    </row>
    <row r="60" spans="1:15">
      <c r="A60" s="3" t="s">
        <v>314</v>
      </c>
      <c r="B60" s="3" t="s">
        <v>16</v>
      </c>
      <c r="C60" s="3" t="s">
        <v>17</v>
      </c>
      <c r="D60" s="3" t="s">
        <v>43</v>
      </c>
      <c r="E60" s="3" t="s">
        <v>44</v>
      </c>
      <c r="F60" s="3" t="s">
        <v>315</v>
      </c>
      <c r="G60" s="3" t="s">
        <v>202</v>
      </c>
      <c r="H60" s="3" t="s">
        <v>170</v>
      </c>
      <c r="I60" s="3" t="s">
        <v>291</v>
      </c>
      <c r="J60" s="3" t="s">
        <v>316</v>
      </c>
      <c r="K60" s="3" t="s">
        <v>148</v>
      </c>
      <c r="L60" s="4">
        <f>IF(OR(TRIM(I60)="",TRIM(K60)=""),"",IFERROR((VALUE(LEFT(TRIM(I60),4))-VALUE(LEFT(TRIM(K60),4)))*12+VALUE(MID(TRIM(I60),6,2))-VALUE(MID(TRIM(K60),6,2)),""))</f>
        <v>5</v>
      </c>
      <c r="M60" s="3" t="str">
        <f>IF(TRIM(H60)="","",IFERROR(LOOKUP(2,1/(ISNUMBER(SEARCH('منطق دسته‌بندی'!$A$2:$A$187,H60))),'منطق دسته‌بندی'!$B$2:$B$187),"سایر (نیازمند بررسی دستی)"))</f>
        <v>خرابی - پمپ تخلیه (تعویض)</v>
      </c>
      <c r="N60" s="3" t="s">
        <v>172</v>
      </c>
      <c r="O60" s="3" t="s">
        <v>25</v>
      </c>
    </row>
    <row r="61" spans="1:15" ht="30" customHeight="1">
      <c r="A61" s="3" t="s">
        <v>317</v>
      </c>
      <c r="B61" s="3" t="s">
        <v>16</v>
      </c>
      <c r="C61" s="3" t="s">
        <v>17</v>
      </c>
      <c r="D61" s="3" t="s">
        <v>1402</v>
      </c>
      <c r="E61" s="3" t="s">
        <v>143</v>
      </c>
      <c r="F61" s="3" t="s">
        <v>318</v>
      </c>
      <c r="G61" s="3" t="s">
        <v>319</v>
      </c>
      <c r="H61" s="3" t="s">
        <v>38</v>
      </c>
      <c r="I61" s="3" t="s">
        <v>291</v>
      </c>
      <c r="J61" s="3" t="s">
        <v>320</v>
      </c>
      <c r="K61" s="3" t="s">
        <v>244</v>
      </c>
      <c r="L61" s="4">
        <f>IF(OR(TRIM(I61)="",TRIM(K61)=""),"",IFERROR((VALUE(LEFT(TRIM(I61),4))-VALUE(LEFT(TRIM(K61),4)))*12+VALUE(MID(TRIM(I61),6,2))-VALUE(MID(TRIM(K61),6,2)),""))</f>
        <v>0</v>
      </c>
      <c r="M61" s="3" t="str">
        <f>IF(TRIM(H61)="","",IFERROR(LOOKUP(2,1/(ISNUMBER(SEARCH('منطق دسته‌بندی'!$A$2:$A$187,H61))),'منطق دسته‌بندی'!$B$2:$B$187),"سایر (نیازمند بررسی دستی)"))</f>
        <v>خرابی - برد الکترونیک (تعویض)</v>
      </c>
      <c r="N61" s="3" t="s">
        <v>41</v>
      </c>
      <c r="O61" s="3" t="s">
        <v>25</v>
      </c>
    </row>
    <row r="62" spans="1:15" ht="30" customHeight="1">
      <c r="A62" s="3" t="s">
        <v>321</v>
      </c>
      <c r="B62" s="3" t="s">
        <v>16</v>
      </c>
      <c r="C62" s="3" t="s">
        <v>17</v>
      </c>
      <c r="D62" s="3" t="s">
        <v>1402</v>
      </c>
      <c r="E62" s="3" t="s">
        <v>143</v>
      </c>
      <c r="F62" s="3" t="s">
        <v>322</v>
      </c>
      <c r="G62" s="3" t="s">
        <v>87</v>
      </c>
      <c r="H62" s="3" t="s">
        <v>323</v>
      </c>
      <c r="I62" s="3" t="s">
        <v>324</v>
      </c>
      <c r="J62" s="3" t="s">
        <v>320</v>
      </c>
      <c r="K62" s="3" t="s">
        <v>325</v>
      </c>
      <c r="L62" s="4">
        <f>IF(OR(TRIM(I62)="",TRIM(K62)=""),"",IFERROR((VALUE(LEFT(TRIM(I62),4))-VALUE(LEFT(TRIM(K62),4)))*12+VALUE(MID(TRIM(I62),6,2))-VALUE(MID(TRIM(K62),6,2)),""))</f>
        <v>2</v>
      </c>
      <c r="M62" s="3" t="str">
        <f>IF(TRIM(H62)="","",IFERROR(LOOKUP(2,1/(ISNUMBER(SEARCH('منطق دسته‌بندی'!$A$2:$A$187,H62))),'منطق دسته‌بندی'!$B$2:$B$187),"سایر (نیازمند بررسی دستی)"))</f>
        <v>نشتی - شیلنگ (تعمیر/آب‌بندی)</v>
      </c>
      <c r="N62" s="3" t="s">
        <v>24</v>
      </c>
      <c r="O62" s="3" t="s">
        <v>25</v>
      </c>
    </row>
    <row r="63" spans="1:15" ht="30" customHeight="1">
      <c r="A63" s="3" t="s">
        <v>326</v>
      </c>
      <c r="B63" s="3" t="s">
        <v>16</v>
      </c>
      <c r="C63" s="3" t="s">
        <v>17</v>
      </c>
      <c r="D63" s="3" t="s">
        <v>127</v>
      </c>
      <c r="E63" s="3" t="s">
        <v>128</v>
      </c>
      <c r="F63" s="3" t="s">
        <v>327</v>
      </c>
      <c r="G63" s="3" t="s">
        <v>328</v>
      </c>
      <c r="H63" s="3" t="s">
        <v>215</v>
      </c>
      <c r="I63" s="3" t="s">
        <v>324</v>
      </c>
      <c r="J63" s="3" t="s">
        <v>329</v>
      </c>
      <c r="K63" s="3" t="s">
        <v>330</v>
      </c>
      <c r="L63" s="4">
        <f>IF(OR(TRIM(I63)="",TRIM(K63)=""),"",IFERROR((VALUE(LEFT(TRIM(I63),4))-VALUE(LEFT(TRIM(K63),4)))*12+VALUE(MID(TRIM(I63),6,2))-VALUE(MID(TRIM(K63),6,2)),""))</f>
        <v>9</v>
      </c>
      <c r="M63" s="3" t="str">
        <f>IF(TRIM(H63)="","",IFERROR(LOOKUP(2,1/(ISNUMBER(SEARCH('منطق دسته‌بندی'!$A$2:$A$187,H63))),'منطق دسته‌بندی'!$B$2:$B$187),"سایر (نیازمند بررسی دستی)"))</f>
        <v>یخساز - تنظیم/عایق (تعمیر)</v>
      </c>
      <c r="N63" s="3" t="s">
        <v>24</v>
      </c>
      <c r="O63" s="3" t="s">
        <v>25</v>
      </c>
    </row>
    <row r="64" spans="1:15" ht="30" customHeight="1">
      <c r="A64" s="3" t="s">
        <v>331</v>
      </c>
      <c r="B64" s="3" t="s">
        <v>16</v>
      </c>
      <c r="C64" s="3" t="s">
        <v>17</v>
      </c>
      <c r="D64" s="3" t="s">
        <v>127</v>
      </c>
      <c r="E64" s="3" t="s">
        <v>128</v>
      </c>
      <c r="F64" s="3" t="s">
        <v>332</v>
      </c>
      <c r="G64" s="3" t="s">
        <v>214</v>
      </c>
      <c r="H64" s="3" t="s">
        <v>266</v>
      </c>
      <c r="I64" s="3" t="s">
        <v>324</v>
      </c>
      <c r="J64" s="3" t="s">
        <v>333</v>
      </c>
      <c r="K64" s="3" t="s">
        <v>333</v>
      </c>
      <c r="L64" s="4">
        <f>IF(OR(TRIM(I64)="",TRIM(K64)=""),"",IFERROR((VALUE(LEFT(TRIM(I64),4))-VALUE(LEFT(TRIM(K64),4)))*12+VALUE(MID(TRIM(I64),6,2))-VALUE(MID(TRIM(K64),6,2)),""))</f>
        <v>20</v>
      </c>
      <c r="M64" s="3" t="str">
        <f>IF(TRIM(H64)="","",IFERROR(LOOKUP(2,1/(ISNUMBER(SEARCH('منطق دسته‌بندی'!$A$2:$A$187,H64))),'منطق دسته‌بندی'!$B$2:$B$187),"سایر (نیازمند بررسی دستی)"))</f>
        <v>یخساز - کاور (تعویض)</v>
      </c>
      <c r="N64" s="3" t="s">
        <v>269</v>
      </c>
      <c r="O64" s="3" t="s">
        <v>25</v>
      </c>
    </row>
    <row r="65" spans="1:15">
      <c r="A65" s="3" t="s">
        <v>334</v>
      </c>
      <c r="B65" s="3" t="s">
        <v>16</v>
      </c>
      <c r="C65" s="3" t="s">
        <v>17</v>
      </c>
      <c r="D65" s="3" t="s">
        <v>108</v>
      </c>
      <c r="E65" s="3" t="s">
        <v>335</v>
      </c>
      <c r="F65" s="3" t="s">
        <v>336</v>
      </c>
      <c r="G65" s="3" t="s">
        <v>337</v>
      </c>
      <c r="H65" s="3" t="s">
        <v>338</v>
      </c>
      <c r="I65" s="3" t="s">
        <v>324</v>
      </c>
      <c r="J65" s="3" t="s">
        <v>339</v>
      </c>
      <c r="K65" s="3" t="s">
        <v>339</v>
      </c>
      <c r="L65" s="4">
        <f>IF(OR(TRIM(I65)="",TRIM(K65)=""),"",IFERROR((VALUE(LEFT(TRIM(I65),4))-VALUE(LEFT(TRIM(K65),4)))*12+VALUE(MID(TRIM(I65),6,2))-VALUE(MID(TRIM(K65),6,2)),""))</f>
        <v>15</v>
      </c>
      <c r="M65" s="3" t="str">
        <f>IF(TRIM(H65)="","",IFERROR(LOOKUP(2,1/(ISNUMBER(SEARCH('منطق دسته‌بندی'!$A$2:$A$187,H65))),'منطق دسته‌بندی'!$B$2:$B$187),"سایر (نیازمند بررسی دستی)"))</f>
        <v>بدنه/درب - ایراد ظاهری (بازبینی)</v>
      </c>
      <c r="N65" s="3" t="s">
        <v>24</v>
      </c>
      <c r="O65" s="3" t="s">
        <v>25</v>
      </c>
    </row>
    <row r="66" spans="1:15" ht="30" customHeight="1">
      <c r="A66" s="3" t="s">
        <v>340</v>
      </c>
      <c r="B66" s="3" t="s">
        <v>16</v>
      </c>
      <c r="C66" s="3" t="s">
        <v>17</v>
      </c>
      <c r="D66" s="3" t="s">
        <v>1402</v>
      </c>
      <c r="E66" s="3" t="s">
        <v>18</v>
      </c>
      <c r="F66" s="3" t="s">
        <v>341</v>
      </c>
      <c r="G66" s="3" t="s">
        <v>342</v>
      </c>
      <c r="H66" s="3" t="s">
        <v>343</v>
      </c>
      <c r="I66" s="3" t="s">
        <v>324</v>
      </c>
      <c r="J66" s="3" t="s">
        <v>344</v>
      </c>
      <c r="K66" s="3" t="s">
        <v>30</v>
      </c>
      <c r="L66" s="4">
        <f>IF(OR(TRIM(I66)="",TRIM(K66)=""),"",IFERROR((VALUE(LEFT(TRIM(I66),4))-VALUE(LEFT(TRIM(K66),4)))*12+VALUE(MID(TRIM(I66),6,2))-VALUE(MID(TRIM(K66),6,2)),""))</f>
        <v>0</v>
      </c>
      <c r="M66" s="3" t="str">
        <f>IF(TRIM(H66)="","",IFERROR(LOOKUP(2,1/(ISNUMBER(SEARCH('منطق دسته‌بندی'!$A$2:$A$187,H66))),'منطق دسته‌بندی'!$B$2:$B$187),"سایر (نیازمند بررسی دستی)"))</f>
        <v>مکانیزم درب - میکروسوئیچ/قلاب (تعویض/تنظیم)</v>
      </c>
      <c r="N66" s="3" t="s">
        <v>345</v>
      </c>
      <c r="O66" s="3" t="s">
        <v>25</v>
      </c>
    </row>
    <row r="67" spans="1:15" ht="30" customHeight="1">
      <c r="A67" s="3" t="s">
        <v>346</v>
      </c>
      <c r="B67" s="3" t="s">
        <v>16</v>
      </c>
      <c r="C67" s="3" t="s">
        <v>17</v>
      </c>
      <c r="D67" s="3" t="s">
        <v>43</v>
      </c>
      <c r="E67" s="3" t="s">
        <v>44</v>
      </c>
      <c r="F67" s="3" t="s">
        <v>347</v>
      </c>
      <c r="G67" s="3" t="s">
        <v>75</v>
      </c>
      <c r="H67" s="3" t="s">
        <v>348</v>
      </c>
      <c r="I67" s="3" t="s">
        <v>324</v>
      </c>
      <c r="J67" s="3" t="s">
        <v>349</v>
      </c>
      <c r="K67" s="3" t="s">
        <v>350</v>
      </c>
      <c r="L67" s="4">
        <f>IF(OR(TRIM(I67)="",TRIM(K67)=""),"",IFERROR((VALUE(LEFT(TRIM(I67),4))-VALUE(LEFT(TRIM(K67),4)))*12+VALUE(MID(TRIM(I67),6,2))-VALUE(MID(TRIM(K67),6,2)),""))</f>
        <v>15</v>
      </c>
      <c r="M67" s="3" t="str">
        <f>IF(TRIM(H67)="","",IFERROR(LOOKUP(2,1/(ISNUMBER(SEARCH('منطق دسته‌بندی'!$A$2:$A$187,H67))),'منطق دسته‌بندی'!$B$2:$B$187),"سایر (نیازمند بررسی دستی)"))</f>
        <v>ریست نرم‌افزاری (بدون قطعه)</v>
      </c>
      <c r="N67" s="3" t="s">
        <v>24</v>
      </c>
      <c r="O67" s="3" t="s">
        <v>25</v>
      </c>
    </row>
    <row r="68" spans="1:15" ht="30" customHeight="1">
      <c r="A68" s="3" t="s">
        <v>351</v>
      </c>
      <c r="B68" s="3" t="s">
        <v>16</v>
      </c>
      <c r="C68" s="3" t="s">
        <v>17</v>
      </c>
      <c r="D68" s="3" t="s">
        <v>43</v>
      </c>
      <c r="E68" s="3" t="s">
        <v>44</v>
      </c>
      <c r="F68" s="3" t="s">
        <v>352</v>
      </c>
      <c r="G68" s="3" t="s">
        <v>103</v>
      </c>
      <c r="H68" s="3" t="s">
        <v>353</v>
      </c>
      <c r="I68" s="3" t="s">
        <v>324</v>
      </c>
      <c r="J68" s="3" t="s">
        <v>354</v>
      </c>
      <c r="K68" s="3" t="s">
        <v>355</v>
      </c>
      <c r="L68" s="4">
        <f>IF(OR(TRIM(I68)="",TRIM(K68)=""),"",IFERROR((VALUE(LEFT(TRIM(I68),4))-VALUE(LEFT(TRIM(K68),4)))*12+VALUE(MID(TRIM(I68),6,2))-VALUE(MID(TRIM(K68),6,2)),""))</f>
        <v>8</v>
      </c>
      <c r="M68" s="3" t="str">
        <f>IF(TRIM(H68)="","",IFERROR(LOOKUP(2,1/(ISNUMBER(SEARCH('منطق دسته‌بندی'!$A$2:$A$187,H68))),'منطق دسته‌بندی'!$B$2:$B$187),"سایر (نیازمند بررسی دستی)"))</f>
        <v>سیم‌کشی/اتصالات (تعویض/بازبینی)</v>
      </c>
      <c r="N68" s="3" t="s">
        <v>24</v>
      </c>
      <c r="O68" s="3" t="s">
        <v>25</v>
      </c>
    </row>
    <row r="69" spans="1:15" ht="30" customHeight="1">
      <c r="A69" s="3" t="s">
        <v>356</v>
      </c>
      <c r="B69" s="3" t="s">
        <v>16</v>
      </c>
      <c r="C69" s="3" t="s">
        <v>17</v>
      </c>
      <c r="D69" s="3" t="s">
        <v>43</v>
      </c>
      <c r="E69" s="3" t="s">
        <v>44</v>
      </c>
      <c r="F69" s="3" t="s">
        <v>357</v>
      </c>
      <c r="G69" s="3" t="s">
        <v>75</v>
      </c>
      <c r="H69" s="3" t="s">
        <v>348</v>
      </c>
      <c r="I69" s="3" t="s">
        <v>324</v>
      </c>
      <c r="J69" s="3" t="s">
        <v>203</v>
      </c>
      <c r="K69" s="3" t="s">
        <v>358</v>
      </c>
      <c r="L69" s="4">
        <f>IF(OR(TRIM(I69)="",TRIM(K69)=""),"",IFERROR((VALUE(LEFT(TRIM(I69),4))-VALUE(LEFT(TRIM(K69),4)))*12+VALUE(MID(TRIM(I69),6,2))-VALUE(MID(TRIM(K69),6,2)),""))</f>
        <v>3</v>
      </c>
      <c r="M69" s="3" t="str">
        <f>IF(TRIM(H69)="","",IFERROR(LOOKUP(2,1/(ISNUMBER(SEARCH('منطق دسته‌بندی'!$A$2:$A$187,H69))),'منطق دسته‌بندی'!$B$2:$B$187),"سایر (نیازمند بررسی دستی)"))</f>
        <v>ریست نرم‌افزاری (بدون قطعه)</v>
      </c>
      <c r="N69" s="3" t="s">
        <v>24</v>
      </c>
      <c r="O69" s="3" t="s">
        <v>78</v>
      </c>
    </row>
    <row r="70" spans="1:15" ht="30" customHeight="1">
      <c r="A70" s="3" t="s">
        <v>359</v>
      </c>
      <c r="B70" s="3" t="s">
        <v>16</v>
      </c>
      <c r="C70" s="3" t="s">
        <v>17</v>
      </c>
      <c r="D70" s="3" t="s">
        <v>43</v>
      </c>
      <c r="E70" s="3" t="s">
        <v>44</v>
      </c>
      <c r="F70" s="3" t="s">
        <v>357</v>
      </c>
      <c r="G70" s="3" t="s">
        <v>75</v>
      </c>
      <c r="H70" s="3" t="s">
        <v>47</v>
      </c>
      <c r="I70" s="3" t="s">
        <v>324</v>
      </c>
      <c r="J70" s="3" t="s">
        <v>203</v>
      </c>
      <c r="K70" s="3" t="s">
        <v>358</v>
      </c>
      <c r="L70" s="4">
        <f>IF(OR(TRIM(I70)="",TRIM(K70)=""),"",IFERROR((VALUE(LEFT(TRIM(I70),4))-VALUE(LEFT(TRIM(K70),4)))*12+VALUE(MID(TRIM(I70),6,2))-VALUE(MID(TRIM(K70),6,2)),""))</f>
        <v>3</v>
      </c>
      <c r="M70" s="3" t="str">
        <f>IF(TRIM(H70)="","",IFERROR(LOOKUP(2,1/(ISNUMBER(SEARCH('منطق دسته‌بندی'!$A$2:$A$187,H70))),'منطق دسته‌بندی'!$B$2:$B$187),"سایر (نیازمند بررسی دستی)"))</f>
        <v>غیرگارانتی/بدون قطعه</v>
      </c>
      <c r="N70" s="3" t="s">
        <v>24</v>
      </c>
      <c r="O70" s="3" t="s">
        <v>25</v>
      </c>
    </row>
    <row r="71" spans="1:15" ht="30" customHeight="1">
      <c r="A71" s="3" t="s">
        <v>360</v>
      </c>
      <c r="B71" s="3" t="s">
        <v>16</v>
      </c>
      <c r="C71" s="3" t="s">
        <v>17</v>
      </c>
      <c r="D71" s="3" t="s">
        <v>43</v>
      </c>
      <c r="E71" s="3" t="s">
        <v>44</v>
      </c>
      <c r="F71" s="3" t="s">
        <v>361</v>
      </c>
      <c r="G71" s="3" t="s">
        <v>155</v>
      </c>
      <c r="H71" s="3" t="s">
        <v>290</v>
      </c>
      <c r="I71" s="3" t="s">
        <v>167</v>
      </c>
      <c r="J71" s="3" t="s">
        <v>203</v>
      </c>
      <c r="K71" s="3" t="s">
        <v>100</v>
      </c>
      <c r="L71" s="4">
        <f>IF(OR(TRIM(I71)="",TRIM(K71)=""),"",IFERROR((VALUE(LEFT(TRIM(I71),4))-VALUE(LEFT(TRIM(K71),4)))*12+VALUE(MID(TRIM(I71),6,2))-VALUE(MID(TRIM(K71),6,2)),""))</f>
        <v>2</v>
      </c>
      <c r="M71" s="3" t="str">
        <f>IF(TRIM(H71)="","",IFERROR(LOOKUP(2,1/(ISNUMBER(SEARCH('منطق دسته‌بندی'!$A$2:$A$187,H71))),'منطق دسته‌بندی'!$B$2:$B$187),"سایر (نیازمند بررسی دستی)"))</f>
        <v>خرابی - واترجت (تعویض)</v>
      </c>
      <c r="N71" s="3" t="s">
        <v>294</v>
      </c>
      <c r="O71" s="3" t="s">
        <v>25</v>
      </c>
    </row>
    <row r="72" spans="1:15" ht="30" customHeight="1">
      <c r="A72" s="3" t="s">
        <v>362</v>
      </c>
      <c r="B72" s="3" t="s">
        <v>16</v>
      </c>
      <c r="C72" s="3" t="s">
        <v>17</v>
      </c>
      <c r="D72" s="3" t="s">
        <v>43</v>
      </c>
      <c r="E72" s="3" t="s">
        <v>44</v>
      </c>
      <c r="F72" s="3" t="s">
        <v>363</v>
      </c>
      <c r="G72" s="3" t="s">
        <v>364</v>
      </c>
      <c r="H72" s="3" t="s">
        <v>365</v>
      </c>
      <c r="I72" s="3" t="s">
        <v>167</v>
      </c>
      <c r="J72" s="3" t="s">
        <v>366</v>
      </c>
      <c r="K72" s="3" t="s">
        <v>324</v>
      </c>
      <c r="L72" s="4">
        <f>IF(OR(TRIM(I72)="",TRIM(K72)=""),"",IFERROR((VALUE(LEFT(TRIM(I72),4))-VALUE(LEFT(TRIM(K72),4)))*12+VALUE(MID(TRIM(I72),6,2))-VALUE(MID(TRIM(K72),6,2)),""))</f>
        <v>0</v>
      </c>
      <c r="M72" s="3" t="str">
        <f>IF(TRIM(H72)="","",IFERROR(LOOKUP(2,1/(ISNUMBER(SEARCH('منطق دسته‌بندی'!$A$2:$A$187,H72))),'منطق دسته‌بندی'!$B$2:$B$187),"سایر (نیازمند بررسی دستی)"))</f>
        <v>نشتی - شیلنگ (تعمیر/آب‌بندی)</v>
      </c>
      <c r="N72" s="3" t="s">
        <v>24</v>
      </c>
      <c r="O72" s="3" t="s">
        <v>78</v>
      </c>
    </row>
    <row r="73" spans="1:15" ht="30" customHeight="1">
      <c r="A73" s="3" t="s">
        <v>367</v>
      </c>
      <c r="B73" s="3" t="s">
        <v>16</v>
      </c>
      <c r="C73" s="3" t="s">
        <v>17</v>
      </c>
      <c r="D73" s="3" t="s">
        <v>1402</v>
      </c>
      <c r="E73" s="3" t="s">
        <v>143</v>
      </c>
      <c r="F73" s="3" t="s">
        <v>368</v>
      </c>
      <c r="G73" s="3" t="s">
        <v>87</v>
      </c>
      <c r="H73" s="3" t="s">
        <v>369</v>
      </c>
      <c r="I73" s="3" t="s">
        <v>167</v>
      </c>
      <c r="J73" s="3" t="s">
        <v>370</v>
      </c>
      <c r="K73" s="3" t="s">
        <v>90</v>
      </c>
      <c r="L73" s="4">
        <f>IF(OR(TRIM(I73)="",TRIM(K73)=""),"",IFERROR((VALUE(LEFT(TRIM(I73),4))-VALUE(LEFT(TRIM(K73),4)))*12+VALUE(MID(TRIM(I73),6,2))-VALUE(MID(TRIM(K73),6,2)),""))</f>
        <v>0</v>
      </c>
      <c r="M73" s="3" t="str">
        <f>IF(TRIM(H73)="","",IFERROR(LOOKUP(2,1/(ISNUMBER(SEARCH('منطق دسته‌بندی'!$A$2:$A$187,H73))),'منطق دسته‌بندی'!$B$2:$B$187),"سایر (نیازمند بررسی دستی)"))</f>
        <v>لاستیک درزگیر - دفرمگی/پارگی (تعویض)</v>
      </c>
      <c r="N73" s="3" t="s">
        <v>371</v>
      </c>
      <c r="O73" s="3" t="s">
        <v>25</v>
      </c>
    </row>
    <row r="74" spans="1:15" ht="30" customHeight="1">
      <c r="A74" s="3" t="s">
        <v>372</v>
      </c>
      <c r="B74" s="3" t="s">
        <v>16</v>
      </c>
      <c r="C74" s="3" t="s">
        <v>17</v>
      </c>
      <c r="D74" s="3" t="s">
        <v>43</v>
      </c>
      <c r="E74" s="3" t="s">
        <v>44</v>
      </c>
      <c r="F74" s="3" t="s">
        <v>363</v>
      </c>
      <c r="G74" s="3" t="s">
        <v>364</v>
      </c>
      <c r="H74" s="3" t="s">
        <v>373</v>
      </c>
      <c r="I74" s="3" t="s">
        <v>167</v>
      </c>
      <c r="J74" s="3" t="s">
        <v>366</v>
      </c>
      <c r="K74" s="3" t="s">
        <v>324</v>
      </c>
      <c r="L74" s="4">
        <f>IF(OR(TRIM(I74)="",TRIM(K74)=""),"",IFERROR((VALUE(LEFT(TRIM(I74),4))-VALUE(LEFT(TRIM(K74),4)))*12+VALUE(MID(TRIM(I74),6,2))-VALUE(MID(TRIM(K74),6,2)),""))</f>
        <v>0</v>
      </c>
      <c r="M74" s="3" t="str">
        <f>IF(TRIM(H74)="","",IFERROR(LOOKUP(2,1/(ISNUMBER(SEARCH('منطق دسته‌بندی'!$A$2:$A$187,H74))),'منطق دسته‌بندی'!$B$2:$B$187),"سایر (نیازمند بررسی دستی)"))</f>
        <v>نشتی - شیلنگ (تعمیر/آب‌بندی)</v>
      </c>
      <c r="N74" s="3" t="s">
        <v>24</v>
      </c>
      <c r="O74" s="3" t="s">
        <v>25</v>
      </c>
    </row>
    <row r="75" spans="1:15">
      <c r="A75" s="3" t="s">
        <v>374</v>
      </c>
      <c r="B75" s="3" t="s">
        <v>16</v>
      </c>
      <c r="C75" s="3" t="s">
        <v>17</v>
      </c>
      <c r="D75" s="3" t="s">
        <v>43</v>
      </c>
      <c r="E75" s="3" t="s">
        <v>44</v>
      </c>
      <c r="F75" s="3" t="s">
        <v>375</v>
      </c>
      <c r="G75" s="3" t="s">
        <v>46</v>
      </c>
      <c r="H75" s="3" t="s">
        <v>206</v>
      </c>
      <c r="I75" s="3" t="s">
        <v>376</v>
      </c>
      <c r="J75" s="3" t="s">
        <v>203</v>
      </c>
      <c r="K75" s="3" t="s">
        <v>377</v>
      </c>
      <c r="L75" s="4">
        <f>IF(OR(TRIM(I75)="",TRIM(K75)=""),"",IFERROR((VALUE(LEFT(TRIM(I75),4))-VALUE(LEFT(TRIM(K75),4)))*12+VALUE(MID(TRIM(I75),6,2))-VALUE(MID(TRIM(K75),6,2)),""))</f>
        <v>3</v>
      </c>
      <c r="M75" s="3" t="str">
        <f>IF(TRIM(H75)="","",IFERROR(LOOKUP(2,1/(ISNUMBER(SEARCH('منطق دسته‌بندی'!$A$2:$A$187,H75))),'منطق دسته‌بندی'!$B$2:$B$187),"سایر (نیازمند بررسی دستی)"))</f>
        <v>نشتی آب - محل نامشخص (نیازمند بازدید)</v>
      </c>
      <c r="N75" s="3" t="s">
        <v>24</v>
      </c>
      <c r="O75" s="3" t="s">
        <v>25</v>
      </c>
    </row>
    <row r="76" spans="1:15" ht="45" customHeight="1">
      <c r="A76" s="3" t="s">
        <v>378</v>
      </c>
      <c r="B76" s="3" t="s">
        <v>16</v>
      </c>
      <c r="C76" s="3" t="s">
        <v>17</v>
      </c>
      <c r="D76" s="3" t="s">
        <v>43</v>
      </c>
      <c r="E76" s="3" t="s">
        <v>379</v>
      </c>
      <c r="F76" s="3" t="s">
        <v>375</v>
      </c>
      <c r="G76" s="3" t="s">
        <v>81</v>
      </c>
      <c r="H76" s="3" t="s">
        <v>82</v>
      </c>
      <c r="I76" s="3" t="s">
        <v>376</v>
      </c>
      <c r="J76" s="3" t="s">
        <v>203</v>
      </c>
      <c r="K76" s="3" t="s">
        <v>377</v>
      </c>
      <c r="L76" s="4">
        <f>IF(OR(TRIM(I76)="",TRIM(K76)=""),"",IFERROR((VALUE(LEFT(TRIM(I76),4))-VALUE(LEFT(TRIM(K76),4)))*12+VALUE(MID(TRIM(I76),6,2))-VALUE(MID(TRIM(K76),6,2)),""))</f>
        <v>3</v>
      </c>
      <c r="M76" s="3" t="str">
        <f>IF(TRIM(H76)="","",IFERROR(LOOKUP(2,1/(ISNUMBER(SEARCH('منطق دسته‌بندی'!$A$2:$A$187,H76))),'منطق دسته‌بندی'!$B$2:$B$187),"سایر (نیازمند بررسی دستی)"))</f>
        <v>نشتی - درب مخزن نمک (تعمیر/آب‌بندی)</v>
      </c>
      <c r="N76" s="3" t="s">
        <v>24</v>
      </c>
      <c r="O76" s="3" t="s">
        <v>78</v>
      </c>
    </row>
    <row r="77" spans="1:15" ht="30" customHeight="1">
      <c r="A77" s="3" t="s">
        <v>380</v>
      </c>
      <c r="B77" s="3" t="s">
        <v>16</v>
      </c>
      <c r="C77" s="3" t="s">
        <v>17</v>
      </c>
      <c r="D77" s="3" t="s">
        <v>43</v>
      </c>
      <c r="E77" s="3" t="s">
        <v>44</v>
      </c>
      <c r="F77" s="3" t="s">
        <v>381</v>
      </c>
      <c r="G77" s="3" t="s">
        <v>75</v>
      </c>
      <c r="H77" s="3" t="s">
        <v>348</v>
      </c>
      <c r="I77" s="3" t="s">
        <v>382</v>
      </c>
      <c r="J77" s="3" t="s">
        <v>383</v>
      </c>
      <c r="K77" s="3" t="s">
        <v>384</v>
      </c>
      <c r="L77" s="4">
        <f>IF(OR(TRIM(I77)="",TRIM(K77)=""),"",IFERROR((VALUE(LEFT(TRIM(I77),4))-VALUE(LEFT(TRIM(K77),4)))*12+VALUE(MID(TRIM(I77),6,2))-VALUE(MID(TRIM(K77),6,2)),""))</f>
        <v>5</v>
      </c>
      <c r="M77" s="3" t="str">
        <f>IF(TRIM(H77)="","",IFERROR(LOOKUP(2,1/(ISNUMBER(SEARCH('منطق دسته‌بندی'!$A$2:$A$187,H77))),'منطق دسته‌بندی'!$B$2:$B$187),"سایر (نیازمند بررسی دستی)"))</f>
        <v>ریست نرم‌افزاری (بدون قطعه)</v>
      </c>
      <c r="N77" s="3" t="s">
        <v>24</v>
      </c>
      <c r="O77" s="3" t="s">
        <v>25</v>
      </c>
    </row>
    <row r="78" spans="1:15" ht="30" customHeight="1">
      <c r="A78" s="3" t="s">
        <v>385</v>
      </c>
      <c r="B78" s="3" t="s">
        <v>16</v>
      </c>
      <c r="C78" s="3" t="s">
        <v>17</v>
      </c>
      <c r="D78" s="3" t="s">
        <v>127</v>
      </c>
      <c r="E78" s="3" t="s">
        <v>128</v>
      </c>
      <c r="F78" s="3" t="s">
        <v>386</v>
      </c>
      <c r="G78" s="3" t="s">
        <v>387</v>
      </c>
      <c r="H78" s="3" t="s">
        <v>278</v>
      </c>
      <c r="I78" s="3" t="s">
        <v>382</v>
      </c>
      <c r="J78" s="3" t="s">
        <v>388</v>
      </c>
      <c r="K78" s="3" t="s">
        <v>389</v>
      </c>
      <c r="L78" s="4">
        <f>IF(OR(TRIM(I78)="",TRIM(K78)=""),"",IFERROR((VALUE(LEFT(TRIM(I78),4))-VALUE(LEFT(TRIM(K78),4)))*12+VALUE(MID(TRIM(I78),6,2))-VALUE(MID(TRIM(K78),6,2)),""))</f>
        <v>9</v>
      </c>
      <c r="M78" s="3" t="str">
        <f>IF(TRIM(H78)="","",IFERROR(LOOKUP(2,1/(ISNUMBER(SEARCH('منطق دسته‌بندی'!$A$2:$A$187,H78))),'منطق دسته‌بندی'!$B$2:$B$187),"سایر (نیازمند بررسی دستی)"))</f>
        <v>یخساز - تنظیم/عایق (تعمیر)</v>
      </c>
      <c r="N78" s="3" t="s">
        <v>24</v>
      </c>
      <c r="O78" s="3" t="s">
        <v>25</v>
      </c>
    </row>
    <row r="79" spans="1:15" ht="30" customHeight="1">
      <c r="A79" s="3" t="s">
        <v>390</v>
      </c>
      <c r="B79" s="3" t="s">
        <v>16</v>
      </c>
      <c r="C79" s="3" t="s">
        <v>17</v>
      </c>
      <c r="D79" s="3" t="s">
        <v>108</v>
      </c>
      <c r="E79" s="3" t="s">
        <v>391</v>
      </c>
      <c r="F79" s="3" t="s">
        <v>392</v>
      </c>
      <c r="G79" s="3" t="s">
        <v>393</v>
      </c>
      <c r="H79" s="3" t="s">
        <v>394</v>
      </c>
      <c r="I79" s="3" t="s">
        <v>382</v>
      </c>
      <c r="J79" s="3" t="s">
        <v>395</v>
      </c>
      <c r="K79" s="3" t="s">
        <v>396</v>
      </c>
      <c r="L79" s="4">
        <f>IF(OR(TRIM(I79)="",TRIM(K79)=""),"",IFERROR((VALUE(LEFT(TRIM(I79),4))-VALUE(LEFT(TRIM(K79),4)))*12+VALUE(MID(TRIM(I79),6,2))-VALUE(MID(TRIM(K79),6,2)),""))</f>
        <v>8</v>
      </c>
      <c r="M79" s="3" t="str">
        <f>IF(TRIM(H79)="","",IFERROR(LOOKUP(2,1/(ISNUMBER(SEARCH('منطق دسته‌بندی'!$A$2:$A$187,H79))),'منطق دسته‌بندی'!$B$2:$B$187),"سایر (نیازمند بررسی دستی)"))</f>
        <v>خرابی - ترموستات/سنسور دما (تعویض)</v>
      </c>
      <c r="N79" s="3" t="s">
        <v>397</v>
      </c>
      <c r="O79" s="3" t="s">
        <v>78</v>
      </c>
    </row>
    <row r="80" spans="1:15" ht="30" customHeight="1">
      <c r="A80" s="3" t="s">
        <v>398</v>
      </c>
      <c r="B80" s="3" t="s">
        <v>16</v>
      </c>
      <c r="C80" s="3" t="s">
        <v>17</v>
      </c>
      <c r="D80" s="3" t="s">
        <v>43</v>
      </c>
      <c r="E80" s="3" t="s">
        <v>44</v>
      </c>
      <c r="F80" s="3" t="s">
        <v>399</v>
      </c>
      <c r="G80" s="3" t="s">
        <v>75</v>
      </c>
      <c r="H80" s="3" t="s">
        <v>348</v>
      </c>
      <c r="I80" s="3" t="s">
        <v>382</v>
      </c>
      <c r="J80" s="3" t="s">
        <v>171</v>
      </c>
      <c r="K80" s="3" t="s">
        <v>400</v>
      </c>
      <c r="L80" s="4">
        <f>IF(OR(TRIM(I80)="",TRIM(K80)=""),"",IFERROR((VALUE(LEFT(TRIM(I80),4))-VALUE(LEFT(TRIM(K80),4)))*12+VALUE(MID(TRIM(I80),6,2))-VALUE(MID(TRIM(K80),6,2)),""))</f>
        <v>9</v>
      </c>
      <c r="M80" s="3" t="str">
        <f>IF(TRIM(H80)="","",IFERROR(LOOKUP(2,1/(ISNUMBER(SEARCH('منطق دسته‌بندی'!$A$2:$A$187,H80))),'منطق دسته‌بندی'!$B$2:$B$187),"سایر (نیازمند بررسی دستی)"))</f>
        <v>ریست نرم‌افزاری (بدون قطعه)</v>
      </c>
      <c r="N80" s="3" t="s">
        <v>24</v>
      </c>
      <c r="O80" s="3" t="s">
        <v>78</v>
      </c>
    </row>
    <row r="81" spans="1:15" ht="30" customHeight="1">
      <c r="A81" s="3" t="s">
        <v>401</v>
      </c>
      <c r="B81" s="3" t="s">
        <v>16</v>
      </c>
      <c r="C81" s="3" t="s">
        <v>17</v>
      </c>
      <c r="D81" s="3" t="s">
        <v>127</v>
      </c>
      <c r="E81" s="3" t="s">
        <v>128</v>
      </c>
      <c r="F81" s="3" t="s">
        <v>402</v>
      </c>
      <c r="G81" s="3" t="s">
        <v>130</v>
      </c>
      <c r="H81" s="3" t="s">
        <v>131</v>
      </c>
      <c r="I81" s="3" t="s">
        <v>382</v>
      </c>
      <c r="J81" s="3" t="s">
        <v>403</v>
      </c>
      <c r="K81" s="3" t="s">
        <v>133</v>
      </c>
      <c r="L81" s="4">
        <f>IF(OR(TRIM(I81)="",TRIM(K81)=""),"",IFERROR((VALUE(LEFT(TRIM(I81),4))-VALUE(LEFT(TRIM(K81),4)))*12+VALUE(MID(TRIM(I81),6,2))-VALUE(MID(TRIM(K81),6,2)),""))</f>
        <v>8</v>
      </c>
      <c r="M81" s="3" t="str">
        <f>IF(TRIM(H81)="","",IFERROR(LOOKUP(2,1/(ISNUMBER(SEARCH('منطق دسته‌بندی'!$A$2:$A$187,H81))),'منطق دسته‌بندی'!$B$2:$B$187),"سایر (نیازمند بررسی دستی)"))</f>
        <v>غیرگارانتی/بدون قطعه</v>
      </c>
      <c r="N81" s="3" t="s">
        <v>24</v>
      </c>
      <c r="O81" s="3" t="s">
        <v>25</v>
      </c>
    </row>
    <row r="82" spans="1:15" ht="30" customHeight="1">
      <c r="A82" s="3" t="s">
        <v>404</v>
      </c>
      <c r="B82" s="3" t="s">
        <v>16</v>
      </c>
      <c r="C82" s="3" t="s">
        <v>17</v>
      </c>
      <c r="D82" s="3" t="s">
        <v>1402</v>
      </c>
      <c r="E82" s="3" t="s">
        <v>18</v>
      </c>
      <c r="F82" s="3" t="s">
        <v>405</v>
      </c>
      <c r="G82" s="3" t="s">
        <v>406</v>
      </c>
      <c r="H82" s="3" t="s">
        <v>407</v>
      </c>
      <c r="I82" s="3" t="s">
        <v>382</v>
      </c>
      <c r="J82" s="3" t="s">
        <v>408</v>
      </c>
      <c r="K82" s="3" t="s">
        <v>409</v>
      </c>
      <c r="L82" s="4">
        <f>IF(OR(TRIM(I82)="",TRIM(K82)=""),"",IFERROR((VALUE(LEFT(TRIM(I82),4))-VALUE(LEFT(TRIM(K82),4)))*12+VALUE(MID(TRIM(I82),6,2))-VALUE(MID(TRIM(K82),6,2)),""))</f>
        <v>9</v>
      </c>
      <c r="M82" s="3" t="str">
        <f>IF(TRIM(H82)="","",IFERROR(LOOKUP(2,1/(ISNUMBER(SEARCH('منطق دسته‌بندی'!$A$2:$A$187,H82))),'منطق دسته‌بندی'!$B$2:$B$187),"سایر (نیازمند بررسی دستی)"))</f>
        <v>خرابی - تاب برداشتن درام (تعویض)</v>
      </c>
      <c r="N82" s="3" t="s">
        <v>410</v>
      </c>
      <c r="O82" s="3" t="s">
        <v>25</v>
      </c>
    </row>
    <row r="83" spans="1:15" ht="30" customHeight="1">
      <c r="A83" s="3" t="s">
        <v>411</v>
      </c>
      <c r="B83" s="3" t="s">
        <v>16</v>
      </c>
      <c r="C83" s="3" t="s">
        <v>17</v>
      </c>
      <c r="D83" s="3" t="s">
        <v>43</v>
      </c>
      <c r="E83" s="3" t="s">
        <v>44</v>
      </c>
      <c r="F83" s="3" t="s">
        <v>399</v>
      </c>
      <c r="G83" s="3" t="s">
        <v>75</v>
      </c>
      <c r="H83" s="3" t="s">
        <v>47</v>
      </c>
      <c r="I83" s="3" t="s">
        <v>382</v>
      </c>
      <c r="J83" s="3" t="s">
        <v>171</v>
      </c>
      <c r="K83" s="3" t="s">
        <v>400</v>
      </c>
      <c r="L83" s="4">
        <f>IF(OR(TRIM(I83)="",TRIM(K83)=""),"",IFERROR((VALUE(LEFT(TRIM(I83),4))-VALUE(LEFT(TRIM(K83),4)))*12+VALUE(MID(TRIM(I83),6,2))-VALUE(MID(TRIM(K83),6,2)),""))</f>
        <v>9</v>
      </c>
      <c r="M83" s="3" t="str">
        <f>IF(TRIM(H83)="","",IFERROR(LOOKUP(2,1/(ISNUMBER(SEARCH('منطق دسته‌بندی'!$A$2:$A$187,H83))),'منطق دسته‌بندی'!$B$2:$B$187),"سایر (نیازمند بررسی دستی)"))</f>
        <v>غیرگارانتی/بدون قطعه</v>
      </c>
      <c r="N83" s="3" t="s">
        <v>24</v>
      </c>
      <c r="O83" s="3" t="s">
        <v>25</v>
      </c>
    </row>
    <row r="84" spans="1:15" ht="30" customHeight="1">
      <c r="A84" s="3" t="s">
        <v>412</v>
      </c>
      <c r="B84" s="3" t="s">
        <v>16</v>
      </c>
      <c r="C84" s="3" t="s">
        <v>17</v>
      </c>
      <c r="D84" s="3" t="s">
        <v>127</v>
      </c>
      <c r="E84" s="3" t="s">
        <v>128</v>
      </c>
      <c r="F84" s="3" t="s">
        <v>413</v>
      </c>
      <c r="G84" s="3" t="s">
        <v>214</v>
      </c>
      <c r="H84" s="3" t="s">
        <v>414</v>
      </c>
      <c r="I84" s="3" t="s">
        <v>382</v>
      </c>
      <c r="J84" s="3" t="s">
        <v>415</v>
      </c>
      <c r="K84" s="3" t="s">
        <v>416</v>
      </c>
      <c r="L84" s="4">
        <f>IF(OR(TRIM(I84)="",TRIM(K84)=""),"",IFERROR((VALUE(LEFT(TRIM(I84),4))-VALUE(LEFT(TRIM(K84),4)))*12+VALUE(MID(TRIM(I84),6,2))-VALUE(MID(TRIM(K84),6,2)),""))</f>
        <v>8</v>
      </c>
      <c r="M84" s="3" t="str">
        <f>IF(TRIM(H84)="","",IFERROR(LOOKUP(2,1/(ISNUMBER(SEARCH('منطق دسته‌بندی'!$A$2:$A$187,H84))),'منطق دسته‌بندی'!$B$2:$B$187),"سایر (نیازمند بررسی دستی)"))</f>
        <v>سایر اجزای درب (بازبینی)</v>
      </c>
      <c r="N84" s="3" t="s">
        <v>24</v>
      </c>
      <c r="O84" s="3" t="s">
        <v>25</v>
      </c>
    </row>
    <row r="85" spans="1:15">
      <c r="A85" s="3" t="s">
        <v>417</v>
      </c>
      <c r="B85" s="3" t="s">
        <v>16</v>
      </c>
      <c r="C85" s="3" t="s">
        <v>17</v>
      </c>
      <c r="D85" s="3" t="s">
        <v>43</v>
      </c>
      <c r="E85" s="3" t="s">
        <v>44</v>
      </c>
      <c r="F85" s="3" t="s">
        <v>418</v>
      </c>
      <c r="G85" s="3" t="s">
        <v>202</v>
      </c>
      <c r="H85" s="3" t="s">
        <v>231</v>
      </c>
      <c r="I85" s="3" t="s">
        <v>382</v>
      </c>
      <c r="J85" s="3" t="s">
        <v>419</v>
      </c>
      <c r="K85" s="3" t="s">
        <v>420</v>
      </c>
      <c r="L85" s="4">
        <f>IF(OR(TRIM(I85)="",TRIM(K85)=""),"",IFERROR((VALUE(LEFT(TRIM(I85),4))-VALUE(LEFT(TRIM(K85),4)))*12+VALUE(MID(TRIM(I85),6,2))-VALUE(MID(TRIM(K85),6,2)),""))</f>
        <v>5</v>
      </c>
      <c r="M85" s="3" t="str">
        <f>IF(TRIM(H85)="","",IFERROR(LOOKUP(2,1/(ISNUMBER(SEARCH('منطق دسته‌بندی'!$A$2:$A$187,H85))),'منطق دسته‌بندی'!$B$2:$B$187),"سایر (نیازمند بررسی دستی)"))</f>
        <v>نشتی - پمپ تخلیه (تعمیر/آب‌بندی)</v>
      </c>
      <c r="N85" s="3" t="s">
        <v>233</v>
      </c>
      <c r="O85" s="3" t="s">
        <v>25</v>
      </c>
    </row>
    <row r="86" spans="1:15" ht="30" customHeight="1">
      <c r="A86" s="3" t="s">
        <v>421</v>
      </c>
      <c r="B86" s="3" t="s">
        <v>16</v>
      </c>
      <c r="C86" s="3" t="s">
        <v>17</v>
      </c>
      <c r="D86" s="3" t="s">
        <v>43</v>
      </c>
      <c r="E86" s="3" t="s">
        <v>44</v>
      </c>
      <c r="F86" s="3" t="s">
        <v>381</v>
      </c>
      <c r="G86" s="3" t="s">
        <v>75</v>
      </c>
      <c r="H86" s="3" t="s">
        <v>348</v>
      </c>
      <c r="I86" s="3" t="s">
        <v>382</v>
      </c>
      <c r="J86" s="3" t="s">
        <v>383</v>
      </c>
      <c r="K86" s="3" t="s">
        <v>384</v>
      </c>
      <c r="L86" s="4">
        <f>IF(OR(TRIM(I86)="",TRIM(K86)=""),"",IFERROR((VALUE(LEFT(TRIM(I86),4))-VALUE(LEFT(TRIM(K86),4)))*12+VALUE(MID(TRIM(I86),6,2))-VALUE(MID(TRIM(K86),6,2)),""))</f>
        <v>5</v>
      </c>
      <c r="M86" s="3" t="str">
        <f>IF(TRIM(H86)="","",IFERROR(LOOKUP(2,1/(ISNUMBER(SEARCH('منطق دسته‌بندی'!$A$2:$A$187,H86))),'منطق دسته‌بندی'!$B$2:$B$187),"سایر (نیازمند بررسی دستی)"))</f>
        <v>ریست نرم‌افزاری (بدون قطعه)</v>
      </c>
      <c r="N86" s="3" t="s">
        <v>24</v>
      </c>
      <c r="O86" s="3" t="s">
        <v>78</v>
      </c>
    </row>
    <row r="87" spans="1:15" ht="30" customHeight="1">
      <c r="A87" s="3" t="s">
        <v>422</v>
      </c>
      <c r="B87" s="3" t="s">
        <v>16</v>
      </c>
      <c r="C87" s="3" t="s">
        <v>17</v>
      </c>
      <c r="D87" s="3" t="s">
        <v>43</v>
      </c>
      <c r="E87" s="3" t="s">
        <v>52</v>
      </c>
      <c r="F87" s="3" t="s">
        <v>423</v>
      </c>
      <c r="G87" s="3" t="s">
        <v>424</v>
      </c>
      <c r="H87" s="3" t="s">
        <v>348</v>
      </c>
      <c r="I87" s="3" t="s">
        <v>382</v>
      </c>
      <c r="J87" s="3" t="s">
        <v>425</v>
      </c>
      <c r="K87" s="3" t="s">
        <v>204</v>
      </c>
      <c r="L87" s="4">
        <f>IF(OR(TRIM(I87)="",TRIM(K87)=""),"",IFERROR((VALUE(LEFT(TRIM(I87),4))-VALUE(LEFT(TRIM(K87),4)))*12+VALUE(MID(TRIM(I87),6,2))-VALUE(MID(TRIM(K87),6,2)),""))</f>
        <v>4</v>
      </c>
      <c r="M87" s="3" t="str">
        <f>IF(TRIM(H87)="","",IFERROR(LOOKUP(2,1/(ISNUMBER(SEARCH('منطق دسته‌بندی'!$A$2:$A$187,H87))),'منطق دسته‌بندی'!$B$2:$B$187),"سایر (نیازمند بررسی دستی)"))</f>
        <v>ریست نرم‌افزاری (بدون قطعه)</v>
      </c>
      <c r="N87" s="3" t="s">
        <v>24</v>
      </c>
      <c r="O87" s="3" t="s">
        <v>78</v>
      </c>
    </row>
    <row r="88" spans="1:15" ht="30" customHeight="1">
      <c r="A88" s="3" t="s">
        <v>426</v>
      </c>
      <c r="B88" s="3" t="s">
        <v>16</v>
      </c>
      <c r="C88" s="3" t="s">
        <v>17</v>
      </c>
      <c r="D88" s="3" t="s">
        <v>108</v>
      </c>
      <c r="E88" s="3" t="s">
        <v>391</v>
      </c>
      <c r="F88" s="3" t="s">
        <v>392</v>
      </c>
      <c r="G88" s="3" t="s">
        <v>393</v>
      </c>
      <c r="H88" s="3" t="s">
        <v>427</v>
      </c>
      <c r="I88" s="3" t="s">
        <v>382</v>
      </c>
      <c r="J88" s="3" t="s">
        <v>395</v>
      </c>
      <c r="K88" s="3" t="s">
        <v>428</v>
      </c>
      <c r="L88" s="4">
        <f>IF(OR(TRIM(I88)="",TRIM(K88)=""),"",IFERROR((VALUE(LEFT(TRIM(I88),4))-VALUE(LEFT(TRIM(K88),4)))*12+VALUE(MID(TRIM(I88),6,2))-VALUE(MID(TRIM(K88),6,2)),""))</f>
        <v>8</v>
      </c>
      <c r="M88" s="3" t="str">
        <f>IF(TRIM(H88)="","",IFERROR(LOOKUP(2,1/(ISNUMBER(SEARCH('منطق دسته‌بندی'!$A$2:$A$187,H88))),'منطق دسته‌بندی'!$B$2:$B$187),"سایر (نیازمند بررسی دستی)"))</f>
        <v>خرابی - ترموستات/سنسور دما (تعویض)</v>
      </c>
      <c r="N88" s="3" t="s">
        <v>397</v>
      </c>
      <c r="O88" s="3" t="s">
        <v>25</v>
      </c>
    </row>
    <row r="89" spans="1:15" ht="30" customHeight="1">
      <c r="A89" s="3" t="s">
        <v>429</v>
      </c>
      <c r="B89" s="3" t="s">
        <v>16</v>
      </c>
      <c r="C89" s="3" t="s">
        <v>17</v>
      </c>
      <c r="D89" s="3" t="s">
        <v>43</v>
      </c>
      <c r="E89" s="3" t="s">
        <v>52</v>
      </c>
      <c r="F89" s="3" t="s">
        <v>423</v>
      </c>
      <c r="G89" s="3" t="s">
        <v>424</v>
      </c>
      <c r="H89" s="3" t="s">
        <v>348</v>
      </c>
      <c r="I89" s="3" t="s">
        <v>382</v>
      </c>
      <c r="J89" s="3" t="s">
        <v>425</v>
      </c>
      <c r="K89" s="3" t="s">
        <v>204</v>
      </c>
      <c r="L89" s="4">
        <f>IF(OR(TRIM(I89)="",TRIM(K89)=""),"",IFERROR((VALUE(LEFT(TRIM(I89),4))-VALUE(LEFT(TRIM(K89),4)))*12+VALUE(MID(TRIM(I89),6,2))-VALUE(MID(TRIM(K89),6,2)),""))</f>
        <v>4</v>
      </c>
      <c r="M89" s="3" t="str">
        <f>IF(TRIM(H89)="","",IFERROR(LOOKUP(2,1/(ISNUMBER(SEARCH('منطق دسته‌بندی'!$A$2:$A$187,H89))),'منطق دسته‌بندی'!$B$2:$B$187),"سایر (نیازمند بررسی دستی)"))</f>
        <v>ریست نرم‌افزاری (بدون قطعه)</v>
      </c>
      <c r="N89" s="3" t="s">
        <v>24</v>
      </c>
      <c r="O89" s="3" t="s">
        <v>25</v>
      </c>
    </row>
    <row r="90" spans="1:15" ht="30" customHeight="1">
      <c r="A90" s="3" t="s">
        <v>430</v>
      </c>
      <c r="B90" s="3" t="s">
        <v>16</v>
      </c>
      <c r="C90" s="3" t="s">
        <v>17</v>
      </c>
      <c r="D90" s="3" t="s">
        <v>59</v>
      </c>
      <c r="E90" s="3" t="s">
        <v>249</v>
      </c>
      <c r="F90" s="3" t="s">
        <v>431</v>
      </c>
      <c r="G90" s="3" t="s">
        <v>432</v>
      </c>
      <c r="H90" s="3" t="s">
        <v>433</v>
      </c>
      <c r="I90" s="3" t="s">
        <v>382</v>
      </c>
      <c r="J90" s="3" t="s">
        <v>434</v>
      </c>
      <c r="K90" s="3" t="s">
        <v>435</v>
      </c>
      <c r="L90" s="4">
        <f>IF(OR(TRIM(I90)="",TRIM(K90)=""),"",IFERROR((VALUE(LEFT(TRIM(I90),4))-VALUE(LEFT(TRIM(K90),4)))*12+VALUE(MID(TRIM(I90),6,2))-VALUE(MID(TRIM(K90),6,2)),""))</f>
        <v>10</v>
      </c>
      <c r="M90" s="3" t="str">
        <f>IF(TRIM(H90)="","",IFERROR(LOOKUP(2,1/(ISNUMBER(SEARCH('منطق دسته‌بندی'!$A$2:$A$187,H90))),'منطق دسته‌بندی'!$B$2:$B$187),"سایر (نیازمند بررسی دستی)"))</f>
        <v>غیرگارانتی/بدون قطعه</v>
      </c>
      <c r="N90" s="3" t="s">
        <v>24</v>
      </c>
      <c r="O90" s="3" t="s">
        <v>25</v>
      </c>
    </row>
    <row r="91" spans="1:15" ht="30" customHeight="1">
      <c r="A91" s="3" t="s">
        <v>436</v>
      </c>
      <c r="B91" s="3" t="s">
        <v>16</v>
      </c>
      <c r="C91" s="3" t="s">
        <v>17</v>
      </c>
      <c r="D91" s="3" t="s">
        <v>43</v>
      </c>
      <c r="E91" s="3" t="s">
        <v>44</v>
      </c>
      <c r="F91" s="3" t="s">
        <v>437</v>
      </c>
      <c r="G91" s="3" t="s">
        <v>155</v>
      </c>
      <c r="H91" s="3" t="s">
        <v>438</v>
      </c>
      <c r="I91" s="3" t="s">
        <v>439</v>
      </c>
      <c r="J91" s="3" t="s">
        <v>151</v>
      </c>
      <c r="K91" s="3" t="s">
        <v>416</v>
      </c>
      <c r="L91" s="4">
        <f>IF(OR(TRIM(I91)="",TRIM(K91)=""),"",IFERROR((VALUE(LEFT(TRIM(I91),4))-VALUE(LEFT(TRIM(K91),4)))*12+VALUE(MID(TRIM(I91),6,2))-VALUE(MID(TRIM(K91),6,2)),""))</f>
        <v>8</v>
      </c>
      <c r="M91" s="3" t="str">
        <f>IF(TRIM(H91)="","",IFERROR(LOOKUP(2,1/(ISNUMBER(SEARCH('منطق دسته‌بندی'!$A$2:$A$187,H91))),'منطق دسته‌بندی'!$B$2:$B$187),"سایر (نیازمند بررسی دستی)"))</f>
        <v>تنظیم - تنظیمات دستگاه/دیسپلی (تعمیر)</v>
      </c>
      <c r="N91" s="3" t="s">
        <v>24</v>
      </c>
      <c r="O91" s="3" t="s">
        <v>25</v>
      </c>
    </row>
    <row r="92" spans="1:15" ht="30" customHeight="1">
      <c r="A92" s="3" t="s">
        <v>440</v>
      </c>
      <c r="B92" s="3" t="s">
        <v>16</v>
      </c>
      <c r="C92" s="3" t="s">
        <v>17</v>
      </c>
      <c r="D92" s="3" t="s">
        <v>43</v>
      </c>
      <c r="E92" s="3" t="s">
        <v>52</v>
      </c>
      <c r="F92" s="3" t="s">
        <v>441</v>
      </c>
      <c r="G92" s="3" t="s">
        <v>87</v>
      </c>
      <c r="H92" s="3" t="s">
        <v>206</v>
      </c>
      <c r="I92" s="3" t="s">
        <v>439</v>
      </c>
      <c r="J92" s="3" t="s">
        <v>83</v>
      </c>
      <c r="K92" s="3" t="s">
        <v>442</v>
      </c>
      <c r="L92" s="4">
        <f>IF(OR(TRIM(I92)="",TRIM(K92)=""),"",IFERROR((VALUE(LEFT(TRIM(I92),4))-VALUE(LEFT(TRIM(K92),4)))*12+VALUE(MID(TRIM(I92),6,2))-VALUE(MID(TRIM(K92),6,2)),""))</f>
        <v>15</v>
      </c>
      <c r="M92" s="3" t="str">
        <f>IF(TRIM(H92)="","",IFERROR(LOOKUP(2,1/(ISNUMBER(SEARCH('منطق دسته‌بندی'!$A$2:$A$187,H92))),'منطق دسته‌بندی'!$B$2:$B$187),"سایر (نیازمند بررسی دستی)"))</f>
        <v>نشتی آب - محل نامشخص (نیازمند بازدید)</v>
      </c>
      <c r="N92" s="3" t="s">
        <v>24</v>
      </c>
      <c r="O92" s="3" t="s">
        <v>25</v>
      </c>
    </row>
    <row r="93" spans="1:15" ht="30" customHeight="1">
      <c r="A93" s="3" t="s">
        <v>443</v>
      </c>
      <c r="B93" s="3" t="s">
        <v>16</v>
      </c>
      <c r="C93" s="3" t="s">
        <v>17</v>
      </c>
      <c r="D93" s="3" t="s">
        <v>127</v>
      </c>
      <c r="E93" s="3" t="s">
        <v>128</v>
      </c>
      <c r="F93" s="3" t="s">
        <v>444</v>
      </c>
      <c r="G93" s="3" t="s">
        <v>445</v>
      </c>
      <c r="H93" s="3" t="s">
        <v>446</v>
      </c>
      <c r="I93" s="3" t="s">
        <v>439</v>
      </c>
      <c r="J93" s="3" t="s">
        <v>447</v>
      </c>
      <c r="K93" s="3" t="s">
        <v>448</v>
      </c>
      <c r="L93" s="4">
        <f>IF(OR(TRIM(I93)="",TRIM(K93)=""),"",IFERROR((VALUE(LEFT(TRIM(I93),4))-VALUE(LEFT(TRIM(K93),4)))*12+VALUE(MID(TRIM(I93),6,2))-VALUE(MID(TRIM(K93),6,2)),""))</f>
        <v>10</v>
      </c>
      <c r="M93" s="3" t="str">
        <f>IF(TRIM(H93)="","",IFERROR(LOOKUP(2,1/(ISNUMBER(SEARCH('منطق دسته‌بندی'!$A$2:$A$187,H93))),'منطق دسته‌بندی'!$B$2:$B$187),"سایر (نیازمند بررسی دستی)"))</f>
        <v>یخساز - خرابی موتور (تعویض)</v>
      </c>
      <c r="N93" s="3" t="s">
        <v>449</v>
      </c>
      <c r="O93" s="3" t="s">
        <v>25</v>
      </c>
    </row>
    <row r="94" spans="1:15">
      <c r="A94" s="3" t="s">
        <v>450</v>
      </c>
      <c r="B94" s="3" t="s">
        <v>16</v>
      </c>
      <c r="C94" s="3" t="s">
        <v>17</v>
      </c>
      <c r="D94" s="3" t="s">
        <v>43</v>
      </c>
      <c r="E94" s="3" t="s">
        <v>44</v>
      </c>
      <c r="F94" s="3" t="s">
        <v>451</v>
      </c>
      <c r="G94" s="3" t="s">
        <v>202</v>
      </c>
      <c r="H94" s="3" t="s">
        <v>170</v>
      </c>
      <c r="I94" s="3" t="s">
        <v>439</v>
      </c>
      <c r="J94" s="3" t="s">
        <v>261</v>
      </c>
      <c r="K94" s="3" t="s">
        <v>452</v>
      </c>
      <c r="L94" s="4">
        <f>IF(OR(TRIM(I94)="",TRIM(K94)=""),"",IFERROR((VALUE(LEFT(TRIM(I94),4))-VALUE(LEFT(TRIM(K94),4)))*12+VALUE(MID(TRIM(I94),6,2))-VALUE(MID(TRIM(K94),6,2)),""))</f>
        <v>7</v>
      </c>
      <c r="M94" s="3" t="str">
        <f>IF(TRIM(H94)="","",IFERROR(LOOKUP(2,1/(ISNUMBER(SEARCH('منطق دسته‌بندی'!$A$2:$A$187,H94))),'منطق دسته‌بندی'!$B$2:$B$187),"سایر (نیازمند بررسی دستی)"))</f>
        <v>خرابی - پمپ تخلیه (تعویض)</v>
      </c>
      <c r="N94" s="3" t="s">
        <v>172</v>
      </c>
      <c r="O94" s="3" t="s">
        <v>78</v>
      </c>
    </row>
    <row r="95" spans="1:15" ht="30" customHeight="1">
      <c r="A95" s="3" t="s">
        <v>453</v>
      </c>
      <c r="B95" s="3" t="s">
        <v>16</v>
      </c>
      <c r="C95" s="3" t="s">
        <v>17</v>
      </c>
      <c r="D95" s="3" t="s">
        <v>43</v>
      </c>
      <c r="E95" s="3" t="s">
        <v>52</v>
      </c>
      <c r="F95" s="3" t="s">
        <v>454</v>
      </c>
      <c r="G95" s="3" t="s">
        <v>68</v>
      </c>
      <c r="H95" s="3" t="s">
        <v>69</v>
      </c>
      <c r="I95" s="3" t="s">
        <v>439</v>
      </c>
      <c r="J95" s="3" t="s">
        <v>70</v>
      </c>
      <c r="K95" s="3" t="s">
        <v>382</v>
      </c>
      <c r="L95" s="4">
        <f>IF(OR(TRIM(I95)="",TRIM(K95)=""),"",IFERROR((VALUE(LEFT(TRIM(I95),4))-VALUE(LEFT(TRIM(K95),4)))*12+VALUE(MID(TRIM(I95),6,2))-VALUE(MID(TRIM(K95),6,2)),""))</f>
        <v>0</v>
      </c>
      <c r="M95" s="3" t="str">
        <f>IF(TRIM(H95)="","",IFERROR(LOOKUP(2,1/(ISNUMBER(SEARCH('منطق دسته‌بندی'!$A$2:$A$187,H95))),'منطق دسته‌بندی'!$B$2:$B$187),"سایر (نیازمند بررسی دستی)"))</f>
        <v>مکانیزم درب - میکروسوئیچ/قلاب (تعویض/تنظیم)</v>
      </c>
      <c r="N95" s="3" t="s">
        <v>72</v>
      </c>
      <c r="O95" s="3" t="s">
        <v>25</v>
      </c>
    </row>
    <row r="96" spans="1:15" ht="30" customHeight="1">
      <c r="A96" s="3" t="s">
        <v>455</v>
      </c>
      <c r="B96" s="3" t="s">
        <v>16</v>
      </c>
      <c r="C96" s="3" t="s">
        <v>17</v>
      </c>
      <c r="D96" s="3" t="s">
        <v>1402</v>
      </c>
      <c r="E96" s="3" t="s">
        <v>143</v>
      </c>
      <c r="F96" s="3" t="s">
        <v>456</v>
      </c>
      <c r="G96" s="3" t="s">
        <v>28</v>
      </c>
      <c r="H96" s="3" t="s">
        <v>146</v>
      </c>
      <c r="I96" s="3" t="s">
        <v>439</v>
      </c>
      <c r="J96" s="3" t="s">
        <v>262</v>
      </c>
      <c r="K96" s="3" t="s">
        <v>207</v>
      </c>
      <c r="L96" s="4">
        <f>IF(OR(TRIM(I96)="",TRIM(K96)=""),"",IFERROR((VALUE(LEFT(TRIM(I96),4))-VALUE(LEFT(TRIM(K96),4)))*12+VALUE(MID(TRIM(I96),6,2))-VALUE(MID(TRIM(K96),6,2)),""))</f>
        <v>1</v>
      </c>
      <c r="M96" s="3" t="str">
        <f>IF(TRIM(H96)="","",IFERROR(LOOKUP(2,1/(ISNUMBER(SEARCH('منطق دسته‌بندی'!$A$2:$A$187,H96))),'منطق دسته‌بندی'!$B$2:$B$187),"سایر (نیازمند بررسی دستی)"))</f>
        <v>تراز/لرزش - نصب (رگلاژ پایه)</v>
      </c>
      <c r="N96" s="3" t="s">
        <v>165</v>
      </c>
      <c r="O96" s="3" t="s">
        <v>25</v>
      </c>
    </row>
    <row r="97" spans="1:15">
      <c r="A97" s="3" t="s">
        <v>457</v>
      </c>
      <c r="B97" s="3" t="s">
        <v>16</v>
      </c>
      <c r="C97" s="3" t="s">
        <v>17</v>
      </c>
      <c r="D97" s="3" t="s">
        <v>43</v>
      </c>
      <c r="E97" s="3" t="s">
        <v>44</v>
      </c>
      <c r="F97" s="3" t="s">
        <v>451</v>
      </c>
      <c r="G97" s="3" t="s">
        <v>202</v>
      </c>
      <c r="H97" s="3" t="s">
        <v>231</v>
      </c>
      <c r="I97" s="3" t="s">
        <v>439</v>
      </c>
      <c r="J97" s="3" t="s">
        <v>261</v>
      </c>
      <c r="K97" s="3" t="s">
        <v>452</v>
      </c>
      <c r="L97" s="4">
        <f>IF(OR(TRIM(I97)="",TRIM(K97)=""),"",IFERROR((VALUE(LEFT(TRIM(I97),4))-VALUE(LEFT(TRIM(K97),4)))*12+VALUE(MID(TRIM(I97),6,2))-VALUE(MID(TRIM(K97),6,2)),""))</f>
        <v>7</v>
      </c>
      <c r="M97" s="3" t="str">
        <f>IF(TRIM(H97)="","",IFERROR(LOOKUP(2,1/(ISNUMBER(SEARCH('منطق دسته‌بندی'!$A$2:$A$187,H97))),'منطق دسته‌بندی'!$B$2:$B$187),"سایر (نیازمند بررسی دستی)"))</f>
        <v>نشتی - پمپ تخلیه (تعمیر/آب‌بندی)</v>
      </c>
      <c r="N97" s="3" t="s">
        <v>24</v>
      </c>
      <c r="O97" s="3" t="s">
        <v>25</v>
      </c>
    </row>
    <row r="98" spans="1:15" ht="30" customHeight="1">
      <c r="A98" s="3" t="s">
        <v>458</v>
      </c>
      <c r="B98" s="3" t="s">
        <v>16</v>
      </c>
      <c r="C98" s="3" t="s">
        <v>17</v>
      </c>
      <c r="D98" s="3" t="s">
        <v>43</v>
      </c>
      <c r="E98" s="3" t="s">
        <v>44</v>
      </c>
      <c r="F98" s="3" t="s">
        <v>459</v>
      </c>
      <c r="G98" s="3" t="s">
        <v>75</v>
      </c>
      <c r="H98" s="3" t="s">
        <v>348</v>
      </c>
      <c r="I98" s="3" t="s">
        <v>460</v>
      </c>
      <c r="J98" s="3" t="s">
        <v>461</v>
      </c>
      <c r="K98" s="3" t="s">
        <v>462</v>
      </c>
      <c r="L98" s="4">
        <f>IF(OR(TRIM(I98)="",TRIM(K98)=""),"",IFERROR((VALUE(LEFT(TRIM(I98),4))-VALUE(LEFT(TRIM(K98),4)))*12+VALUE(MID(TRIM(I98),6,2))-VALUE(MID(TRIM(K98),6,2)),""))</f>
        <v>10</v>
      </c>
      <c r="M98" s="3" t="str">
        <f>IF(TRIM(H98)="","",IFERROR(LOOKUP(2,1/(ISNUMBER(SEARCH('منطق دسته‌بندی'!$A$2:$A$187,H98))),'منطق دسته‌بندی'!$B$2:$B$187),"سایر (نیازمند بررسی دستی)"))</f>
        <v>ریست نرم‌افزاری (بدون قطعه)</v>
      </c>
      <c r="N98" s="3" t="s">
        <v>24</v>
      </c>
      <c r="O98" s="3" t="s">
        <v>25</v>
      </c>
    </row>
    <row r="99" spans="1:15" ht="30" customHeight="1">
      <c r="A99" s="3" t="s">
        <v>463</v>
      </c>
      <c r="B99" s="3" t="s">
        <v>16</v>
      </c>
      <c r="C99" s="3" t="s">
        <v>17</v>
      </c>
      <c r="D99" s="3" t="s">
        <v>127</v>
      </c>
      <c r="E99" s="3" t="s">
        <v>128</v>
      </c>
      <c r="F99" s="3" t="s">
        <v>464</v>
      </c>
      <c r="G99" s="3" t="s">
        <v>214</v>
      </c>
      <c r="H99" s="3" t="s">
        <v>281</v>
      </c>
      <c r="I99" s="3" t="s">
        <v>460</v>
      </c>
      <c r="J99" s="3" t="s">
        <v>465</v>
      </c>
      <c r="K99" s="3" t="s">
        <v>313</v>
      </c>
      <c r="L99" s="4">
        <f>IF(OR(TRIM(I99)="",TRIM(K99)=""),"",IFERROR((VALUE(LEFT(TRIM(I99),4))-VALUE(LEFT(TRIM(K99),4)))*12+VALUE(MID(TRIM(I99),6,2))-VALUE(MID(TRIM(K99),6,2)),""))</f>
        <v>1</v>
      </c>
      <c r="M99" s="3" t="str">
        <f>IF(TRIM(H99)="","",IFERROR(LOOKUP(2,1/(ISNUMBER(SEARCH('منطق دسته‌بندی'!$A$2:$A$187,H99))),'منطق دسته‌بندی'!$B$2:$B$187),"سایر (نیازمند بررسی دستی)"))</f>
        <v>خرابی - برد الکترونیک (تعویض)</v>
      </c>
      <c r="N99" s="3" t="s">
        <v>283</v>
      </c>
      <c r="O99" s="3" t="s">
        <v>25</v>
      </c>
    </row>
    <row r="100" spans="1:15">
      <c r="A100" s="3" t="s">
        <v>466</v>
      </c>
      <c r="B100" s="3" t="s">
        <v>16</v>
      </c>
      <c r="C100" s="3" t="s">
        <v>17</v>
      </c>
      <c r="D100" s="3" t="s">
        <v>43</v>
      </c>
      <c r="E100" s="3" t="s">
        <v>44</v>
      </c>
      <c r="F100" s="3" t="s">
        <v>467</v>
      </c>
      <c r="G100" s="3" t="s">
        <v>202</v>
      </c>
      <c r="H100" s="3" t="s">
        <v>231</v>
      </c>
      <c r="I100" s="3" t="s">
        <v>460</v>
      </c>
      <c r="J100" s="3" t="s">
        <v>468</v>
      </c>
      <c r="K100" s="3" t="s">
        <v>469</v>
      </c>
      <c r="L100" s="4">
        <f>IF(OR(TRIM(I100)="",TRIM(K100)=""),"",IFERROR((VALUE(LEFT(TRIM(I100),4))-VALUE(LEFT(TRIM(K100),4)))*12+VALUE(MID(TRIM(I100),6,2))-VALUE(MID(TRIM(K100),6,2)),""))</f>
        <v>4</v>
      </c>
      <c r="M100" s="3" t="str">
        <f>IF(TRIM(H100)="","",IFERROR(LOOKUP(2,1/(ISNUMBER(SEARCH('منطق دسته‌بندی'!$A$2:$A$187,H100))),'منطق دسته‌بندی'!$B$2:$B$187),"سایر (نیازمند بررسی دستی)"))</f>
        <v>نشتی - پمپ تخلیه (تعمیر/آب‌بندی)</v>
      </c>
      <c r="N100" s="3" t="s">
        <v>24</v>
      </c>
      <c r="O100" s="3" t="s">
        <v>78</v>
      </c>
    </row>
    <row r="101" spans="1:15" ht="45" customHeight="1">
      <c r="A101" s="3" t="s">
        <v>470</v>
      </c>
      <c r="B101" s="3" t="s">
        <v>16</v>
      </c>
      <c r="C101" s="3" t="s">
        <v>17</v>
      </c>
      <c r="D101" s="3" t="s">
        <v>43</v>
      </c>
      <c r="E101" s="3" t="s">
        <v>52</v>
      </c>
      <c r="F101" s="3" t="s">
        <v>471</v>
      </c>
      <c r="G101" s="3" t="s">
        <v>472</v>
      </c>
      <c r="H101" s="3" t="s">
        <v>473</v>
      </c>
      <c r="I101" s="3" t="s">
        <v>460</v>
      </c>
      <c r="J101" s="3" t="s">
        <v>474</v>
      </c>
      <c r="K101" s="3" t="s">
        <v>475</v>
      </c>
      <c r="L101" s="4">
        <f>IF(OR(TRIM(I101)="",TRIM(K101)=""),"",IFERROR((VALUE(LEFT(TRIM(I101),4))-VALUE(LEFT(TRIM(K101),4)))*12+VALUE(MID(TRIM(I101),6,2))-VALUE(MID(TRIM(K101),6,2)),""))</f>
        <v>1</v>
      </c>
      <c r="M101" s="3" t="str">
        <f>IF(TRIM(H101)="","",IFERROR(LOOKUP(2,1/(ISNUMBER(SEARCH('منطق دسته‌بندی'!$A$2:$A$187,H101))),'منطق دسته‌بندی'!$B$2:$B$187),"سایر (نیازمند بررسی دستی)"))</f>
        <v>سبد ظرفشویی - شکستگی (تعویض)</v>
      </c>
      <c r="N101" s="3" t="s">
        <v>476</v>
      </c>
      <c r="O101" s="3" t="s">
        <v>25</v>
      </c>
    </row>
    <row r="102" spans="1:15" ht="45" customHeight="1">
      <c r="A102" s="3" t="s">
        <v>470</v>
      </c>
      <c r="B102" s="3" t="s">
        <v>16</v>
      </c>
      <c r="C102" s="3" t="s">
        <v>17</v>
      </c>
      <c r="D102" s="3" t="s">
        <v>43</v>
      </c>
      <c r="E102" s="3" t="s">
        <v>52</v>
      </c>
      <c r="F102" s="3" t="s">
        <v>471</v>
      </c>
      <c r="G102" s="3" t="s">
        <v>472</v>
      </c>
      <c r="H102" s="3" t="s">
        <v>477</v>
      </c>
      <c r="I102" s="3" t="s">
        <v>460</v>
      </c>
      <c r="J102" s="3" t="s">
        <v>474</v>
      </c>
      <c r="K102" s="3" t="s">
        <v>475</v>
      </c>
      <c r="L102" s="4">
        <f>IF(OR(TRIM(I102)="",TRIM(K102)=""),"",IFERROR((VALUE(LEFT(TRIM(I102),4))-VALUE(LEFT(TRIM(K102),4)))*12+VALUE(MID(TRIM(I102),6,2))-VALUE(MID(TRIM(K102),6,2)),""))</f>
        <v>1</v>
      </c>
      <c r="M102" s="3" t="str">
        <f>IF(TRIM(H102)="","",IFERROR(LOOKUP(2,1/(ISNUMBER(SEARCH('منطق دسته‌بندی'!$A$2:$A$187,H102))),'منطق دسته‌بندی'!$B$2:$B$187),"سایر (نیازمند بررسی دستی)"))</f>
        <v>سبد ظرفشویی - شکستگی (تعویض)</v>
      </c>
      <c r="N102" s="3" t="s">
        <v>476</v>
      </c>
      <c r="O102" s="3" t="s">
        <v>78</v>
      </c>
    </row>
    <row r="103" spans="1:15" ht="30" customHeight="1">
      <c r="A103" s="3" t="s">
        <v>478</v>
      </c>
      <c r="B103" s="3" t="s">
        <v>16</v>
      </c>
      <c r="C103" s="3" t="s">
        <v>17</v>
      </c>
      <c r="D103" s="3" t="s">
        <v>1402</v>
      </c>
      <c r="E103" s="3" t="s">
        <v>35</v>
      </c>
      <c r="F103" s="3" t="s">
        <v>479</v>
      </c>
      <c r="G103" s="3" t="s">
        <v>480</v>
      </c>
      <c r="H103" s="3" t="s">
        <v>156</v>
      </c>
      <c r="I103" s="3" t="s">
        <v>460</v>
      </c>
      <c r="J103" s="3" t="s">
        <v>389</v>
      </c>
      <c r="K103" s="3" t="s">
        <v>383</v>
      </c>
      <c r="L103" s="4">
        <f>IF(OR(TRIM(I103)="",TRIM(K103)=""),"",IFERROR((VALUE(LEFT(TRIM(I103),4))-VALUE(LEFT(TRIM(K103),4)))*12+VALUE(MID(TRIM(I103),6,2))-VALUE(MID(TRIM(K103),6,2)),""))</f>
        <v>6</v>
      </c>
      <c r="M103" s="3" t="str">
        <f>IF(TRIM(H103)="","",IFERROR(LOOKUP(2,1/(ISNUMBER(SEARCH('منطق دسته‌بندی'!$A$2:$A$187,H103))),'منطق دسته‌بندی'!$B$2:$B$187),"سایر (نیازمند بررسی دستی)"))</f>
        <v>خرابی - شیربرقی (تعویض)</v>
      </c>
      <c r="N103" s="3" t="s">
        <v>481</v>
      </c>
      <c r="O103" s="3" t="s">
        <v>25</v>
      </c>
    </row>
    <row r="104" spans="1:15" ht="30" customHeight="1">
      <c r="A104" s="3" t="s">
        <v>482</v>
      </c>
      <c r="B104" s="3" t="s">
        <v>16</v>
      </c>
      <c r="C104" s="3" t="s">
        <v>17</v>
      </c>
      <c r="D104" s="3" t="s">
        <v>1402</v>
      </c>
      <c r="E104" s="3" t="s">
        <v>18</v>
      </c>
      <c r="F104" s="3" t="s">
        <v>483</v>
      </c>
      <c r="G104" s="3" t="s">
        <v>480</v>
      </c>
      <c r="H104" s="3" t="s">
        <v>156</v>
      </c>
      <c r="I104" s="3" t="s">
        <v>460</v>
      </c>
      <c r="J104" s="3" t="s">
        <v>484</v>
      </c>
      <c r="K104" s="3" t="s">
        <v>485</v>
      </c>
      <c r="L104" s="4">
        <f>IF(OR(TRIM(I104)="",TRIM(K104)=""),"",IFERROR((VALUE(LEFT(TRIM(I104),4))-VALUE(LEFT(TRIM(K104),4)))*12+VALUE(MID(TRIM(I104),6,2))-VALUE(MID(TRIM(K104),6,2)),""))</f>
        <v>3</v>
      </c>
      <c r="M104" s="3" t="str">
        <f>IF(TRIM(H104)="","",IFERROR(LOOKUP(2,1/(ISNUMBER(SEARCH('منطق دسته‌بندی'!$A$2:$A$187,H104))),'منطق دسته‌بندی'!$B$2:$B$187),"سایر (نیازمند بررسی دستی)"))</f>
        <v>خرابی - شیربرقی (تعویض)</v>
      </c>
      <c r="N104" s="3" t="s">
        <v>481</v>
      </c>
      <c r="O104" s="3" t="s">
        <v>25</v>
      </c>
    </row>
    <row r="105" spans="1:15" ht="45" customHeight="1">
      <c r="A105" s="3" t="s">
        <v>486</v>
      </c>
      <c r="B105" s="3" t="s">
        <v>16</v>
      </c>
      <c r="C105" s="3" t="s">
        <v>17</v>
      </c>
      <c r="D105" s="3" t="s">
        <v>108</v>
      </c>
      <c r="E105" s="3" t="s">
        <v>487</v>
      </c>
      <c r="F105" s="3" t="s">
        <v>488</v>
      </c>
      <c r="G105" s="3" t="s">
        <v>472</v>
      </c>
      <c r="H105" s="3" t="s">
        <v>489</v>
      </c>
      <c r="I105" s="3" t="s">
        <v>460</v>
      </c>
      <c r="J105" s="3" t="s">
        <v>490</v>
      </c>
      <c r="K105" s="3" t="s">
        <v>491</v>
      </c>
      <c r="L105" s="4">
        <f>IF(OR(TRIM(I105)="",TRIM(K105)=""),"",IFERROR((VALUE(LEFT(TRIM(I105),4))-VALUE(LEFT(TRIM(K105),4)))*12+VALUE(MID(TRIM(I105),6,2))-VALUE(MID(TRIM(K105),6,2)),""))</f>
        <v>3</v>
      </c>
      <c r="M105" s="3" t="str">
        <f>IF(TRIM(H105)="","",IFERROR(LOOKUP(2,1/(ISNUMBER(SEARCH('منطق دسته‌بندی'!$A$2:$A$187,H105))),'منطق دسته‌بندی'!$B$2:$B$187),"سایر (نیازمند بررسی دستی)"))</f>
        <v>قطعات تزئینی - شکستگی/کسری (تعویض)</v>
      </c>
      <c r="N105" s="3" t="s">
        <v>492</v>
      </c>
      <c r="O105" s="3" t="s">
        <v>25</v>
      </c>
    </row>
    <row r="106" spans="1:15">
      <c r="A106" s="3" t="s">
        <v>493</v>
      </c>
      <c r="B106" s="3" t="s">
        <v>16</v>
      </c>
      <c r="C106" s="3" t="s">
        <v>17</v>
      </c>
      <c r="D106" s="3" t="s">
        <v>43</v>
      </c>
      <c r="E106" s="3" t="s">
        <v>52</v>
      </c>
      <c r="F106" s="3" t="s">
        <v>494</v>
      </c>
      <c r="G106" s="3" t="s">
        <v>495</v>
      </c>
      <c r="H106" s="3" t="s">
        <v>496</v>
      </c>
      <c r="I106" s="3" t="s">
        <v>460</v>
      </c>
      <c r="J106" s="3" t="s">
        <v>497</v>
      </c>
      <c r="K106" s="3" t="s">
        <v>30</v>
      </c>
      <c r="L106" s="4">
        <f>IF(OR(TRIM(I106)="",TRIM(K106)=""),"",IFERROR((VALUE(LEFT(TRIM(I106),4))-VALUE(LEFT(TRIM(K106),4)))*12+VALUE(MID(TRIM(I106),6,2))-VALUE(MID(TRIM(K106),6,2)),""))</f>
        <v>0</v>
      </c>
      <c r="M106" s="3" t="str">
        <f>IF(TRIM(H106)="","",IFERROR(LOOKUP(2,1/(ISNUMBER(SEARCH('منطق دسته‌بندی'!$A$2:$A$187,H106))),'منطق دسته‌بندی'!$B$2:$B$187),"سایر (نیازمند بررسی دستی)"))</f>
        <v>زنگ‌زدگی بدنه/قطعه (تعویض)</v>
      </c>
      <c r="N106" s="3" t="s">
        <v>496</v>
      </c>
      <c r="O106" s="3" t="s">
        <v>25</v>
      </c>
    </row>
    <row r="107" spans="1:15" ht="30" customHeight="1">
      <c r="A107" s="3" t="s">
        <v>498</v>
      </c>
      <c r="B107" s="3" t="s">
        <v>16</v>
      </c>
      <c r="C107" s="3" t="s">
        <v>17</v>
      </c>
      <c r="D107" s="3" t="s">
        <v>43</v>
      </c>
      <c r="E107" s="3" t="s">
        <v>52</v>
      </c>
      <c r="F107" s="3" t="s">
        <v>499</v>
      </c>
      <c r="G107" s="3" t="s">
        <v>424</v>
      </c>
      <c r="H107" s="3" t="s">
        <v>69</v>
      </c>
      <c r="I107" s="3" t="s">
        <v>460</v>
      </c>
      <c r="J107" s="3" t="s">
        <v>500</v>
      </c>
      <c r="K107" s="3" t="s">
        <v>501</v>
      </c>
      <c r="L107" s="4">
        <f>IF(OR(TRIM(I107)="",TRIM(K107)=""),"",IFERROR((VALUE(LEFT(TRIM(I107),4))-VALUE(LEFT(TRIM(K107),4)))*12+VALUE(MID(TRIM(I107),6,2))-VALUE(MID(TRIM(K107),6,2)),""))</f>
        <v>8</v>
      </c>
      <c r="M107" s="3" t="str">
        <f>IF(TRIM(H107)="","",IFERROR(LOOKUP(2,1/(ISNUMBER(SEARCH('منطق دسته‌بندی'!$A$2:$A$187,H107))),'منطق دسته‌بندی'!$B$2:$B$187),"سایر (نیازمند بررسی دستی)"))</f>
        <v>مکانیزم درب - میکروسوئیچ/قلاب (تعویض/تنظیم)</v>
      </c>
      <c r="N107" s="3" t="s">
        <v>72</v>
      </c>
      <c r="O107" s="3" t="s">
        <v>25</v>
      </c>
    </row>
    <row r="108" spans="1:15" ht="30" customHeight="1">
      <c r="A108" s="3" t="s">
        <v>502</v>
      </c>
      <c r="B108" s="3" t="s">
        <v>16</v>
      </c>
      <c r="C108" s="3" t="s">
        <v>17</v>
      </c>
      <c r="D108" s="3" t="s">
        <v>127</v>
      </c>
      <c r="E108" s="3" t="s">
        <v>128</v>
      </c>
      <c r="F108" s="3" t="s">
        <v>503</v>
      </c>
      <c r="G108" s="3" t="s">
        <v>130</v>
      </c>
      <c r="H108" s="3" t="s">
        <v>131</v>
      </c>
      <c r="I108" s="3" t="s">
        <v>460</v>
      </c>
      <c r="J108" s="3" t="s">
        <v>504</v>
      </c>
      <c r="K108" s="3" t="s">
        <v>505</v>
      </c>
      <c r="L108" s="4">
        <f>IF(OR(TRIM(I108)="",TRIM(K108)=""),"",IFERROR((VALUE(LEFT(TRIM(I108),4))-VALUE(LEFT(TRIM(K108),4)))*12+VALUE(MID(TRIM(I108),6,2))-VALUE(MID(TRIM(K108),6,2)),""))</f>
        <v>16</v>
      </c>
      <c r="M108" s="3" t="str">
        <f>IF(TRIM(H108)="","",IFERROR(LOOKUP(2,1/(ISNUMBER(SEARCH('منطق دسته‌بندی'!$A$2:$A$187,H108))),'منطق دسته‌بندی'!$B$2:$B$187),"سایر (نیازمند بررسی دستی)"))</f>
        <v>غیرگارانتی/بدون قطعه</v>
      </c>
      <c r="N108" s="3" t="s">
        <v>24</v>
      </c>
      <c r="O108" s="3" t="s">
        <v>25</v>
      </c>
    </row>
    <row r="109" spans="1:15" ht="30" customHeight="1">
      <c r="A109" s="3" t="s">
        <v>506</v>
      </c>
      <c r="B109" s="3" t="s">
        <v>16</v>
      </c>
      <c r="C109" s="3" t="s">
        <v>17</v>
      </c>
      <c r="D109" s="3" t="s">
        <v>1402</v>
      </c>
      <c r="E109" s="3" t="s">
        <v>143</v>
      </c>
      <c r="F109" s="3" t="s">
        <v>507</v>
      </c>
      <c r="G109" s="3" t="s">
        <v>28</v>
      </c>
      <c r="H109" s="3" t="s">
        <v>508</v>
      </c>
      <c r="I109" s="3" t="s">
        <v>460</v>
      </c>
      <c r="J109" s="3" t="s">
        <v>509</v>
      </c>
      <c r="K109" s="3" t="s">
        <v>510</v>
      </c>
      <c r="L109" s="4">
        <f>IF(OR(TRIM(I109)="",TRIM(K109)=""),"",IFERROR((VALUE(LEFT(TRIM(I109),4))-VALUE(LEFT(TRIM(K109),4)))*12+VALUE(MID(TRIM(I109),6,2))-VALUE(MID(TRIM(K109),6,2)),""))</f>
        <v>5</v>
      </c>
      <c r="M109" s="3" t="str">
        <f>IF(TRIM(H109)="","",IFERROR(LOOKUP(2,1/(ISNUMBER(SEARCH('منطق دسته‌بندی'!$A$2:$A$187,H109))),'منطق دسته‌بندی'!$B$2:$B$187),"سایر (نیازمند بررسی دستی)"))</f>
        <v>شیلنگ - برخورد/لهیدگی (بازبینی)</v>
      </c>
      <c r="N109" s="3" t="s">
        <v>24</v>
      </c>
      <c r="O109" s="3" t="s">
        <v>78</v>
      </c>
    </row>
    <row r="110" spans="1:15">
      <c r="A110" s="3" t="s">
        <v>511</v>
      </c>
      <c r="B110" s="3" t="s">
        <v>16</v>
      </c>
      <c r="C110" s="3" t="s">
        <v>17</v>
      </c>
      <c r="D110" s="3" t="s">
        <v>43</v>
      </c>
      <c r="E110" s="3" t="s">
        <v>44</v>
      </c>
      <c r="F110" s="3" t="s">
        <v>467</v>
      </c>
      <c r="G110" s="3" t="s">
        <v>202</v>
      </c>
      <c r="H110" s="3" t="s">
        <v>231</v>
      </c>
      <c r="I110" s="3" t="s">
        <v>460</v>
      </c>
      <c r="J110" s="3" t="s">
        <v>468</v>
      </c>
      <c r="K110" s="3" t="s">
        <v>469</v>
      </c>
      <c r="L110" s="4">
        <f>IF(OR(TRIM(I110)="",TRIM(K110)=""),"",IFERROR((VALUE(LEFT(TRIM(I110),4))-VALUE(LEFT(TRIM(K110),4)))*12+VALUE(MID(TRIM(I110),6,2))-VALUE(MID(TRIM(K110),6,2)),""))</f>
        <v>4</v>
      </c>
      <c r="M110" s="3" t="str">
        <f>IF(TRIM(H110)="","",IFERROR(LOOKUP(2,1/(ISNUMBER(SEARCH('منطق دسته‌بندی'!$A$2:$A$187,H110))),'منطق دسته‌بندی'!$B$2:$B$187),"سایر (نیازمند بررسی دستی)"))</f>
        <v>نشتی - پمپ تخلیه (تعمیر/آب‌بندی)</v>
      </c>
      <c r="N110" s="3" t="s">
        <v>233</v>
      </c>
      <c r="O110" s="3" t="s">
        <v>25</v>
      </c>
    </row>
    <row r="111" spans="1:15" ht="30" customHeight="1">
      <c r="A111" s="3" t="s">
        <v>512</v>
      </c>
      <c r="B111" s="3" t="s">
        <v>16</v>
      </c>
      <c r="C111" s="3" t="s">
        <v>17</v>
      </c>
      <c r="D111" s="3" t="s">
        <v>1402</v>
      </c>
      <c r="E111" s="3" t="s">
        <v>143</v>
      </c>
      <c r="F111" s="3" t="s">
        <v>507</v>
      </c>
      <c r="G111" s="3" t="s">
        <v>257</v>
      </c>
      <c r="H111" s="3" t="s">
        <v>508</v>
      </c>
      <c r="I111" s="3" t="s">
        <v>460</v>
      </c>
      <c r="J111" s="3" t="s">
        <v>509</v>
      </c>
      <c r="K111" s="3" t="s">
        <v>510</v>
      </c>
      <c r="L111" s="4">
        <f>IF(OR(TRIM(I111)="",TRIM(K111)=""),"",IFERROR((VALUE(LEFT(TRIM(I111),4))-VALUE(LEFT(TRIM(K111),4)))*12+VALUE(MID(TRIM(I111),6,2))-VALUE(MID(TRIM(K111),6,2)),""))</f>
        <v>5</v>
      </c>
      <c r="M111" s="3" t="str">
        <f>IF(TRIM(H111)="","",IFERROR(LOOKUP(2,1/(ISNUMBER(SEARCH('منطق دسته‌بندی'!$A$2:$A$187,H111))),'منطق دسته‌بندی'!$B$2:$B$187),"سایر (نیازمند بررسی دستی)"))</f>
        <v>شیلنگ - برخورد/لهیدگی (بازبینی)</v>
      </c>
      <c r="N111" s="3" t="s">
        <v>24</v>
      </c>
      <c r="O111" s="3" t="s">
        <v>25</v>
      </c>
    </row>
    <row r="112" spans="1:15">
      <c r="A112" s="3" t="s">
        <v>513</v>
      </c>
      <c r="B112" s="3" t="s">
        <v>16</v>
      </c>
      <c r="C112" s="3" t="s">
        <v>17</v>
      </c>
      <c r="D112" s="3" t="s">
        <v>43</v>
      </c>
      <c r="E112" s="3" t="s">
        <v>52</v>
      </c>
      <c r="F112" s="3" t="s">
        <v>514</v>
      </c>
      <c r="G112" s="3" t="s">
        <v>81</v>
      </c>
      <c r="H112" s="3" t="s">
        <v>515</v>
      </c>
      <c r="I112" s="3" t="s">
        <v>460</v>
      </c>
      <c r="J112" s="3" t="s">
        <v>516</v>
      </c>
      <c r="K112" s="3" t="s">
        <v>517</v>
      </c>
      <c r="L112" s="4">
        <f>IF(OR(TRIM(I112)="",TRIM(K112)=""),"",IFERROR((VALUE(LEFT(TRIM(I112),4))-VALUE(LEFT(TRIM(K112),4)))*12+VALUE(MID(TRIM(I112),6,2))-VALUE(MID(TRIM(K112),6,2)),""))</f>
        <v>11</v>
      </c>
      <c r="M112" s="3" t="str">
        <f>IF(TRIM(H112)="","",IFERROR(LOOKUP(2,1/(ISNUMBER(SEARCH('منطق دسته‌بندی'!$A$2:$A$187,H112))),'منطق دسته‌بندی'!$B$2:$B$187),"سایر (نیازمند بررسی دستی)"))</f>
        <v>نشتی - شیلنگ (تعمیر/آب‌بندی)</v>
      </c>
      <c r="N112" s="3" t="s">
        <v>24</v>
      </c>
      <c r="O112" s="3" t="s">
        <v>25</v>
      </c>
    </row>
    <row r="113" spans="1:15" ht="30" customHeight="1">
      <c r="A113" s="3" t="s">
        <v>518</v>
      </c>
      <c r="B113" s="3" t="s">
        <v>16</v>
      </c>
      <c r="C113" s="3" t="s">
        <v>17</v>
      </c>
      <c r="D113" s="3" t="s">
        <v>1402</v>
      </c>
      <c r="E113" s="3" t="s">
        <v>519</v>
      </c>
      <c r="F113" s="3" t="s">
        <v>520</v>
      </c>
      <c r="G113" s="3" t="s">
        <v>521</v>
      </c>
      <c r="H113" s="3" t="s">
        <v>522</v>
      </c>
      <c r="I113" s="3" t="s">
        <v>523</v>
      </c>
      <c r="J113" s="3" t="s">
        <v>416</v>
      </c>
      <c r="K113" s="3" t="s">
        <v>100</v>
      </c>
      <c r="L113" s="4">
        <f>IF(OR(TRIM(I113)="",TRIM(K113)=""),"",IFERROR((VALUE(LEFT(TRIM(I113),4))-VALUE(LEFT(TRIM(K113),4)))*12+VALUE(MID(TRIM(I113),6,2))-VALUE(MID(TRIM(K113),6,2)),""))</f>
        <v>2</v>
      </c>
      <c r="M113" s="3" t="str">
        <f>IF(TRIM(H113)="","",IFERROR(LOOKUP(2,1/(ISNUMBER(SEARCH('منطق دسته‌بندی'!$A$2:$A$187,H113))),'منطق دسته‌بندی'!$B$2:$B$187),"سایر (نیازمند بررسی دستی)"))</f>
        <v>زنگ‌زدگی بدنه/قطعه (تعویض)</v>
      </c>
      <c r="N113" s="3" t="s">
        <v>522</v>
      </c>
      <c r="O113" s="3" t="s">
        <v>25</v>
      </c>
    </row>
    <row r="114" spans="1:15">
      <c r="A114" s="3" t="s">
        <v>524</v>
      </c>
      <c r="B114" s="3" t="s">
        <v>16</v>
      </c>
      <c r="C114" s="3" t="s">
        <v>17</v>
      </c>
      <c r="D114" s="3" t="s">
        <v>43</v>
      </c>
      <c r="E114" s="3" t="s">
        <v>44</v>
      </c>
      <c r="F114" s="3" t="s">
        <v>525</v>
      </c>
      <c r="G114" s="3" t="s">
        <v>46</v>
      </c>
      <c r="H114" s="3" t="s">
        <v>526</v>
      </c>
      <c r="I114" s="3" t="s">
        <v>523</v>
      </c>
      <c r="J114" s="3" t="s">
        <v>349</v>
      </c>
      <c r="K114" s="3" t="s">
        <v>137</v>
      </c>
      <c r="L114" s="4">
        <f>IF(OR(TRIM(I114)="",TRIM(K114)=""),"",IFERROR((VALUE(LEFT(TRIM(I114),4))-VALUE(LEFT(TRIM(K114),4)))*12+VALUE(MID(TRIM(I114),6,2))-VALUE(MID(TRIM(K114),6,2)),""))</f>
        <v>7</v>
      </c>
      <c r="M114" s="3" t="str">
        <f>IF(TRIM(H114)="","",IFERROR(LOOKUP(2,1/(ISNUMBER(SEARCH('منطق دسته‌بندی'!$A$2:$A$187,H114))),'منطق دسته‌بندی'!$B$2:$B$187),"سایر (نیازمند بررسی دستی)"))</f>
        <v>پمپ تخلیه - گرفتگی/بازبینی</v>
      </c>
      <c r="N114" s="3" t="s">
        <v>172</v>
      </c>
      <c r="O114" s="3" t="s">
        <v>78</v>
      </c>
    </row>
    <row r="115" spans="1:15" ht="30" customHeight="1">
      <c r="A115" s="3" t="s">
        <v>527</v>
      </c>
      <c r="B115" s="3" t="s">
        <v>16</v>
      </c>
      <c r="C115" s="3" t="s">
        <v>17</v>
      </c>
      <c r="D115" s="3" t="s">
        <v>43</v>
      </c>
      <c r="E115" s="3" t="s">
        <v>44</v>
      </c>
      <c r="F115" s="3" t="s">
        <v>528</v>
      </c>
      <c r="G115" s="3" t="s">
        <v>103</v>
      </c>
      <c r="H115" s="3" t="s">
        <v>231</v>
      </c>
      <c r="I115" s="3" t="s">
        <v>523</v>
      </c>
      <c r="J115" s="3" t="s">
        <v>316</v>
      </c>
      <c r="K115" s="3" t="s">
        <v>529</v>
      </c>
      <c r="L115" s="4">
        <f>IF(OR(TRIM(I115)="",TRIM(K115)=""),"",IFERROR((VALUE(LEFT(TRIM(I115),4))-VALUE(LEFT(TRIM(K115),4)))*12+VALUE(MID(TRIM(I115),6,2))-VALUE(MID(TRIM(K115),6,2)),""))</f>
        <v>5</v>
      </c>
      <c r="M115" s="3" t="str">
        <f>IF(TRIM(H115)="","",IFERROR(LOOKUP(2,1/(ISNUMBER(SEARCH('منطق دسته‌بندی'!$A$2:$A$187,H115))),'منطق دسته‌بندی'!$B$2:$B$187),"سایر (نیازمند بررسی دستی)"))</f>
        <v>نشتی - پمپ تخلیه (تعمیر/آب‌بندی)</v>
      </c>
      <c r="N115" s="3" t="s">
        <v>24</v>
      </c>
      <c r="O115" s="3" t="s">
        <v>25</v>
      </c>
    </row>
    <row r="116" spans="1:15">
      <c r="A116" s="3" t="s">
        <v>530</v>
      </c>
      <c r="B116" s="3" t="s">
        <v>16</v>
      </c>
      <c r="C116" s="3" t="s">
        <v>17</v>
      </c>
      <c r="D116" s="3" t="s">
        <v>43</v>
      </c>
      <c r="E116" s="3" t="s">
        <v>44</v>
      </c>
      <c r="F116" s="3" t="s">
        <v>525</v>
      </c>
      <c r="G116" s="3" t="s">
        <v>46</v>
      </c>
      <c r="H116" s="3" t="s">
        <v>531</v>
      </c>
      <c r="I116" s="3" t="s">
        <v>523</v>
      </c>
      <c r="J116" s="3" t="s">
        <v>349</v>
      </c>
      <c r="K116" s="3" t="s">
        <v>137</v>
      </c>
      <c r="L116" s="4">
        <f>IF(OR(TRIM(I116)="",TRIM(K116)=""),"",IFERROR((VALUE(LEFT(TRIM(I116),4))-VALUE(LEFT(TRIM(K116),4)))*12+VALUE(MID(TRIM(I116),6,2))-VALUE(MID(TRIM(K116),6,2)),""))</f>
        <v>7</v>
      </c>
      <c r="M116" s="3" t="str">
        <f>IF(TRIM(H116)="","",IFERROR(LOOKUP(2,1/(ISNUMBER(SEARCH('منطق دسته‌بندی'!$A$2:$A$187,H116))),'منطق دسته‌بندی'!$B$2:$B$187),"سایر (نیازمند بررسی دستی)"))</f>
        <v>نشتی - شیلنگ (تعمیر/آب‌بندی)</v>
      </c>
      <c r="N116" s="3" t="s">
        <v>24</v>
      </c>
      <c r="O116" s="3" t="s">
        <v>25</v>
      </c>
    </row>
    <row r="117" spans="1:15">
      <c r="A117" s="3" t="s">
        <v>532</v>
      </c>
      <c r="B117" s="3" t="s">
        <v>16</v>
      </c>
      <c r="C117" s="3" t="s">
        <v>17</v>
      </c>
      <c r="D117" s="3" t="s">
        <v>43</v>
      </c>
      <c r="E117" s="3" t="s">
        <v>96</v>
      </c>
      <c r="F117" s="3" t="s">
        <v>533</v>
      </c>
      <c r="G117" s="3" t="s">
        <v>98</v>
      </c>
      <c r="H117" s="3" t="s">
        <v>534</v>
      </c>
      <c r="I117" s="3" t="s">
        <v>535</v>
      </c>
      <c r="J117" s="3" t="s">
        <v>434</v>
      </c>
      <c r="K117" s="3" t="s">
        <v>536</v>
      </c>
      <c r="L117" s="4">
        <f>IF(OR(TRIM(I117)="",TRIM(K117)=""),"",IFERROR((VALUE(LEFT(TRIM(I117),4))-VALUE(LEFT(TRIM(K117),4)))*12+VALUE(MID(TRIM(I117),6,2))-VALUE(MID(TRIM(K117),6,2)),""))</f>
        <v>4</v>
      </c>
      <c r="M117" s="3" t="str">
        <f>IF(TRIM(H117)="","",IFERROR(LOOKUP(2,1/(ISNUMBER(SEARCH('منطق دسته‌بندی'!$A$2:$A$187,H117))),'منطق دسته‌بندی'!$B$2:$B$187),"سایر (نیازمند بررسی دستی)"))</f>
        <v>نشتی آب - محل نامشخص (نیازمند بازدید)</v>
      </c>
      <c r="N117" s="3" t="s">
        <v>24</v>
      </c>
      <c r="O117" s="3" t="s">
        <v>25</v>
      </c>
    </row>
    <row r="118" spans="1:15" ht="30" customHeight="1">
      <c r="A118" s="3" t="s">
        <v>537</v>
      </c>
      <c r="B118" s="3" t="s">
        <v>16</v>
      </c>
      <c r="C118" s="3" t="s">
        <v>17</v>
      </c>
      <c r="D118" s="3" t="s">
        <v>43</v>
      </c>
      <c r="E118" s="3" t="s">
        <v>44</v>
      </c>
      <c r="F118" s="3" t="s">
        <v>538</v>
      </c>
      <c r="G118" s="3" t="s">
        <v>75</v>
      </c>
      <c r="H118" s="3" t="s">
        <v>69</v>
      </c>
      <c r="I118" s="3" t="s">
        <v>535</v>
      </c>
      <c r="J118" s="3" t="s">
        <v>539</v>
      </c>
      <c r="K118" s="3" t="s">
        <v>540</v>
      </c>
      <c r="L118" s="4">
        <f>IF(OR(TRIM(I118)="",TRIM(K118)=""),"",IFERROR((VALUE(LEFT(TRIM(I118),4))-VALUE(LEFT(TRIM(K118),4)))*12+VALUE(MID(TRIM(I118),6,2))-VALUE(MID(TRIM(K118),6,2)),""))</f>
        <v>3</v>
      </c>
      <c r="M118" s="3" t="str">
        <f>IF(TRIM(H118)="","",IFERROR(LOOKUP(2,1/(ISNUMBER(SEARCH('منطق دسته‌بندی'!$A$2:$A$187,H118))),'منطق دسته‌بندی'!$B$2:$B$187),"سایر (نیازمند بررسی دستی)"))</f>
        <v>مکانیزم درب - میکروسوئیچ/قلاب (تعویض/تنظیم)</v>
      </c>
      <c r="N118" s="3" t="s">
        <v>77</v>
      </c>
      <c r="O118" s="3" t="s">
        <v>25</v>
      </c>
    </row>
    <row r="119" spans="1:15" ht="30" customHeight="1">
      <c r="A119" s="3" t="s">
        <v>541</v>
      </c>
      <c r="B119" s="3" t="s">
        <v>16</v>
      </c>
      <c r="C119" s="3" t="s">
        <v>17</v>
      </c>
      <c r="D119" s="3" t="s">
        <v>1402</v>
      </c>
      <c r="E119" s="3" t="s">
        <v>143</v>
      </c>
      <c r="F119" s="3" t="s">
        <v>542</v>
      </c>
      <c r="G119" s="3" t="s">
        <v>28</v>
      </c>
      <c r="H119" s="3" t="s">
        <v>170</v>
      </c>
      <c r="I119" s="3" t="s">
        <v>535</v>
      </c>
      <c r="J119" s="3" t="s">
        <v>543</v>
      </c>
      <c r="K119" s="3" t="s">
        <v>544</v>
      </c>
      <c r="L119" s="4">
        <f>IF(OR(TRIM(I119)="",TRIM(K119)=""),"",IFERROR((VALUE(LEFT(TRIM(I119),4))-VALUE(LEFT(TRIM(K119),4)))*12+VALUE(MID(TRIM(I119),6,2))-VALUE(MID(TRIM(K119),6,2)),""))</f>
        <v>8</v>
      </c>
      <c r="M119" s="3" t="str">
        <f>IF(TRIM(H119)="","",IFERROR(LOOKUP(2,1/(ISNUMBER(SEARCH('منطق دسته‌بندی'!$A$2:$A$187,H119))),'منطق دسته‌بندی'!$B$2:$B$187),"سایر (نیازمند بررسی دستی)"))</f>
        <v>خرابی - پمپ تخلیه (تعویض)</v>
      </c>
      <c r="N119" s="3" t="s">
        <v>545</v>
      </c>
      <c r="O119" s="3" t="s">
        <v>25</v>
      </c>
    </row>
    <row r="120" spans="1:15" ht="30" customHeight="1">
      <c r="A120" s="3" t="s">
        <v>546</v>
      </c>
      <c r="B120" s="3" t="s">
        <v>16</v>
      </c>
      <c r="C120" s="3" t="s">
        <v>17</v>
      </c>
      <c r="D120" s="3" t="s">
        <v>127</v>
      </c>
      <c r="E120" s="3" t="s">
        <v>128</v>
      </c>
      <c r="F120" s="3" t="s">
        <v>547</v>
      </c>
      <c r="G120" s="3" t="s">
        <v>214</v>
      </c>
      <c r="H120" s="3" t="s">
        <v>278</v>
      </c>
      <c r="I120" s="3" t="s">
        <v>535</v>
      </c>
      <c r="J120" s="3" t="s">
        <v>548</v>
      </c>
      <c r="K120" s="3" t="s">
        <v>89</v>
      </c>
      <c r="L120" s="4">
        <f>IF(OR(TRIM(I120)="",TRIM(K120)=""),"",IFERROR((VALUE(LEFT(TRIM(I120),4))-VALUE(LEFT(TRIM(K120),4)))*12+VALUE(MID(TRIM(I120),6,2))-VALUE(MID(TRIM(K120),6,2)),""))</f>
        <v>1</v>
      </c>
      <c r="M120" s="3" t="str">
        <f>IF(TRIM(H120)="","",IFERROR(LOOKUP(2,1/(ISNUMBER(SEARCH('منطق دسته‌بندی'!$A$2:$A$187,H120))),'منطق دسته‌بندی'!$B$2:$B$187),"سایر (نیازمند بررسی دستی)"))</f>
        <v>یخساز - تنظیم/عایق (تعمیر)</v>
      </c>
      <c r="N120" s="3" t="s">
        <v>24</v>
      </c>
      <c r="O120" s="3" t="s">
        <v>78</v>
      </c>
    </row>
    <row r="121" spans="1:15">
      <c r="A121" s="3" t="s">
        <v>549</v>
      </c>
      <c r="B121" s="3" t="s">
        <v>16</v>
      </c>
      <c r="C121" s="3" t="s">
        <v>17</v>
      </c>
      <c r="D121" s="3" t="s">
        <v>43</v>
      </c>
      <c r="E121" s="3" t="s">
        <v>96</v>
      </c>
      <c r="F121" s="3" t="s">
        <v>550</v>
      </c>
      <c r="G121" s="3" t="s">
        <v>98</v>
      </c>
      <c r="H121" s="3" t="s">
        <v>515</v>
      </c>
      <c r="I121" s="3" t="s">
        <v>535</v>
      </c>
      <c r="J121" s="3" t="s">
        <v>551</v>
      </c>
      <c r="K121" s="3" t="s">
        <v>409</v>
      </c>
      <c r="L121" s="4">
        <f>IF(OR(TRIM(I121)="",TRIM(K121)=""),"",IFERROR((VALUE(LEFT(TRIM(I121),4))-VALUE(LEFT(TRIM(K121),4)))*12+VALUE(MID(TRIM(I121),6,2))-VALUE(MID(TRIM(K121),6,2)),""))</f>
        <v>9</v>
      </c>
      <c r="M121" s="3" t="str">
        <f>IF(TRIM(H121)="","",IFERROR(LOOKUP(2,1/(ISNUMBER(SEARCH('منطق دسته‌بندی'!$A$2:$A$187,H121))),'منطق دسته‌بندی'!$B$2:$B$187),"سایر (نیازمند بررسی دستی)"))</f>
        <v>نشتی - شیلنگ (تعمیر/آب‌بندی)</v>
      </c>
      <c r="N121" s="3" t="s">
        <v>24</v>
      </c>
      <c r="O121" s="3" t="s">
        <v>25</v>
      </c>
    </row>
    <row r="122" spans="1:15" ht="30" customHeight="1">
      <c r="A122" s="3" t="s">
        <v>552</v>
      </c>
      <c r="B122" s="3" t="s">
        <v>16</v>
      </c>
      <c r="C122" s="3" t="s">
        <v>17</v>
      </c>
      <c r="D122" s="3" t="s">
        <v>1402</v>
      </c>
      <c r="E122" s="3" t="s">
        <v>160</v>
      </c>
      <c r="F122" s="3" t="s">
        <v>553</v>
      </c>
      <c r="G122" s="3" t="s">
        <v>554</v>
      </c>
      <c r="H122" s="3" t="s">
        <v>21</v>
      </c>
      <c r="I122" s="3" t="s">
        <v>535</v>
      </c>
      <c r="J122" s="3" t="s">
        <v>544</v>
      </c>
      <c r="K122" s="3" t="s">
        <v>544</v>
      </c>
      <c r="L122" s="4">
        <f>IF(OR(TRIM(I122)="",TRIM(K122)=""),"",IFERROR((VALUE(LEFT(TRIM(I122),4))-VALUE(LEFT(TRIM(K122),4)))*12+VALUE(MID(TRIM(I122),6,2))-VALUE(MID(TRIM(K122),6,2)),""))</f>
        <v>8</v>
      </c>
      <c r="M122" s="3" t="str">
        <f>IF(TRIM(H122)="","",IFERROR(LOOKUP(2,1/(ISNUMBER(SEARCH('منطق دسته‌بندی'!$A$2:$A$187,H122))),'منطق دسته‌بندی'!$B$2:$B$187),"سایر (نیازمند بررسی دستی)"))</f>
        <v>لاستیک درزگیر - دفرمگی/پارگی (تعویض)</v>
      </c>
      <c r="N122" s="3" t="s">
        <v>24</v>
      </c>
      <c r="O122" s="3" t="s">
        <v>78</v>
      </c>
    </row>
    <row r="123" spans="1:15" ht="30" customHeight="1">
      <c r="A123" s="3" t="s">
        <v>555</v>
      </c>
      <c r="B123" s="3" t="s">
        <v>16</v>
      </c>
      <c r="C123" s="3" t="s">
        <v>17</v>
      </c>
      <c r="D123" s="3" t="s">
        <v>127</v>
      </c>
      <c r="E123" s="3" t="s">
        <v>128</v>
      </c>
      <c r="F123" s="3" t="s">
        <v>556</v>
      </c>
      <c r="G123" s="3" t="s">
        <v>557</v>
      </c>
      <c r="H123" s="3" t="s">
        <v>558</v>
      </c>
      <c r="I123" s="3" t="s">
        <v>535</v>
      </c>
      <c r="J123" s="3" t="s">
        <v>559</v>
      </c>
      <c r="K123" s="3" t="s">
        <v>148</v>
      </c>
      <c r="L123" s="4">
        <f>IF(OR(TRIM(I123)="",TRIM(K123)=""),"",IFERROR((VALUE(LEFT(TRIM(I123),4))-VALUE(LEFT(TRIM(K123),4)))*12+VALUE(MID(TRIM(I123),6,2))-VALUE(MID(TRIM(K123),6,2)),""))</f>
        <v>5</v>
      </c>
      <c r="M123" s="3" t="str">
        <f>IF(TRIM(H123)="","",IFERROR(LOOKUP(2,1/(ISNUMBER(SEARCH('منطق دسته‌بندی'!$A$2:$A$187,H123))),'منطق دسته‌بندی'!$B$2:$B$187),"سایر (نیازمند بررسی دستی)"))</f>
        <v>خرابی - ترموستات/سنسور دما (تعویض)</v>
      </c>
      <c r="N123" s="3" t="s">
        <v>560</v>
      </c>
      <c r="O123" s="3" t="s">
        <v>25</v>
      </c>
    </row>
    <row r="124" spans="1:15" ht="30" customHeight="1">
      <c r="A124" s="3" t="s">
        <v>561</v>
      </c>
      <c r="B124" s="3" t="s">
        <v>16</v>
      </c>
      <c r="C124" s="3" t="s">
        <v>17</v>
      </c>
      <c r="D124" s="3" t="s">
        <v>43</v>
      </c>
      <c r="E124" s="3" t="s">
        <v>44</v>
      </c>
      <c r="F124" s="3" t="s">
        <v>562</v>
      </c>
      <c r="G124" s="3" t="s">
        <v>75</v>
      </c>
      <c r="H124" s="3" t="s">
        <v>563</v>
      </c>
      <c r="I124" s="3" t="s">
        <v>535</v>
      </c>
      <c r="J124" s="3" t="s">
        <v>564</v>
      </c>
      <c r="K124" s="3" t="s">
        <v>258</v>
      </c>
      <c r="L124" s="4">
        <f>IF(OR(TRIM(I124)="",TRIM(K124)=""),"",IFERROR((VALUE(LEFT(TRIM(I124),4))-VALUE(LEFT(TRIM(K124),4)))*12+VALUE(MID(TRIM(I124),6,2))-VALUE(MID(TRIM(K124),6,2)),""))</f>
        <v>11</v>
      </c>
      <c r="M124" s="3" t="str">
        <f>IF(TRIM(H124)="","",IFERROR(LOOKUP(2,1/(ISNUMBER(SEARCH('منطق دسته‌بندی'!$A$2:$A$187,H124))),'منطق دسته‌بندی'!$B$2:$B$187),"سایر (نیازمند بررسی دستی)"))</f>
        <v>مکانیزم درب - لولا (تنظیم)</v>
      </c>
      <c r="N124" s="3" t="s">
        <v>24</v>
      </c>
      <c r="O124" s="3" t="s">
        <v>25</v>
      </c>
    </row>
    <row r="125" spans="1:15" ht="30" customHeight="1">
      <c r="A125" s="3" t="s">
        <v>565</v>
      </c>
      <c r="B125" s="3" t="s">
        <v>16</v>
      </c>
      <c r="C125" s="3" t="s">
        <v>17</v>
      </c>
      <c r="D125" s="3" t="s">
        <v>127</v>
      </c>
      <c r="E125" s="3" t="s">
        <v>128</v>
      </c>
      <c r="F125" s="3" t="s">
        <v>547</v>
      </c>
      <c r="G125" s="3" t="s">
        <v>214</v>
      </c>
      <c r="H125" s="3" t="s">
        <v>566</v>
      </c>
      <c r="I125" s="3" t="s">
        <v>535</v>
      </c>
      <c r="J125" s="3" t="s">
        <v>548</v>
      </c>
      <c r="K125" s="3" t="s">
        <v>89</v>
      </c>
      <c r="L125" s="4">
        <f>IF(OR(TRIM(I125)="",TRIM(K125)=""),"",IFERROR((VALUE(LEFT(TRIM(I125),4))-VALUE(LEFT(TRIM(K125),4)))*12+VALUE(MID(TRIM(I125),6,2))-VALUE(MID(TRIM(K125),6,2)),""))</f>
        <v>1</v>
      </c>
      <c r="M125" s="3" t="str">
        <f>IF(TRIM(H125)="","",IFERROR(LOOKUP(2,1/(ISNUMBER(SEARCH('منطق دسته‌بندی'!$A$2:$A$187,H125))),'منطق دسته‌بندی'!$B$2:$B$187),"سایر (نیازمند بررسی دستی)"))</f>
        <v>خرابی - برد الکترونیک (تعویض)</v>
      </c>
      <c r="N125" s="3" t="s">
        <v>283</v>
      </c>
      <c r="O125" s="3" t="s">
        <v>25</v>
      </c>
    </row>
    <row r="126" spans="1:15" ht="30" customHeight="1">
      <c r="A126" s="3" t="s">
        <v>567</v>
      </c>
      <c r="B126" s="3" t="s">
        <v>16</v>
      </c>
      <c r="C126" s="3" t="s">
        <v>17</v>
      </c>
      <c r="D126" s="3" t="s">
        <v>1402</v>
      </c>
      <c r="E126" s="3" t="s">
        <v>160</v>
      </c>
      <c r="F126" s="3" t="s">
        <v>553</v>
      </c>
      <c r="G126" s="3" t="s">
        <v>568</v>
      </c>
      <c r="H126" s="3" t="s">
        <v>569</v>
      </c>
      <c r="I126" s="3" t="s">
        <v>535</v>
      </c>
      <c r="J126" s="3" t="s">
        <v>544</v>
      </c>
      <c r="K126" s="3" t="s">
        <v>570</v>
      </c>
      <c r="L126" s="4">
        <f>IF(OR(TRIM(I126)="",TRIM(K126)=""),"",IFERROR((VALUE(LEFT(TRIM(I126),4))-VALUE(LEFT(TRIM(K126),4)))*12+VALUE(MID(TRIM(I126),6,2))-VALUE(MID(TRIM(K126),6,2)),""))</f>
        <v>2</v>
      </c>
      <c r="M126" s="3" t="str">
        <f>IF(TRIM(H126)="","",IFERROR(LOOKUP(2,1/(ISNUMBER(SEARCH('منطق دسته‌بندی'!$A$2:$A$187,H126))),'منطق دسته‌بندی'!$B$2:$B$187),"سایر (نیازمند بررسی دستی)"))</f>
        <v>لاستیک درزگیر - دفرمگی/پارگی (تعویض)</v>
      </c>
      <c r="N126" s="3" t="s">
        <v>24</v>
      </c>
      <c r="O126" s="3" t="s">
        <v>25</v>
      </c>
    </row>
    <row r="127" spans="1:15">
      <c r="A127" s="3" t="s">
        <v>571</v>
      </c>
      <c r="B127" s="3" t="s">
        <v>16</v>
      </c>
      <c r="C127" s="3" t="s">
        <v>17</v>
      </c>
      <c r="D127" s="3" t="s">
        <v>43</v>
      </c>
      <c r="E127" s="3" t="s">
        <v>52</v>
      </c>
      <c r="F127" s="3" t="s">
        <v>572</v>
      </c>
      <c r="G127" s="3" t="s">
        <v>573</v>
      </c>
      <c r="H127" s="3" t="s">
        <v>574</v>
      </c>
      <c r="I127" s="3" t="s">
        <v>535</v>
      </c>
      <c r="J127" s="3" t="s">
        <v>575</v>
      </c>
      <c r="K127" s="3" t="s">
        <v>576</v>
      </c>
      <c r="L127" s="4">
        <f>IF(OR(TRIM(I127)="",TRIM(K127)=""),"",IFERROR((VALUE(LEFT(TRIM(I127),4))-VALUE(LEFT(TRIM(K127),4)))*12+VALUE(MID(TRIM(I127),6,2))-VALUE(MID(TRIM(K127),6,2)),""))</f>
        <v>13</v>
      </c>
      <c r="M127" s="3" t="str">
        <f>IF(TRIM(H127)="","",IFERROR(LOOKUP(2,1/(ISNUMBER(SEARCH('منطق دسته‌بندی'!$A$2:$A$187,H127))),'منطق دسته‌بندی'!$B$2:$B$187),"سایر (نیازمند بررسی دستی)"))</f>
        <v>نشتی - پمپ تخلیه (تعمیر/آب‌بندی)</v>
      </c>
      <c r="N127" s="3" t="s">
        <v>24</v>
      </c>
      <c r="O127" s="3" t="s">
        <v>25</v>
      </c>
    </row>
    <row r="128" spans="1:15" ht="30" customHeight="1">
      <c r="A128" s="3" t="s">
        <v>577</v>
      </c>
      <c r="B128" s="3" t="s">
        <v>16</v>
      </c>
      <c r="C128" s="3" t="s">
        <v>17</v>
      </c>
      <c r="D128" s="3" t="s">
        <v>43</v>
      </c>
      <c r="E128" s="3" t="s">
        <v>44</v>
      </c>
      <c r="F128" s="3" t="s">
        <v>578</v>
      </c>
      <c r="G128" s="3" t="s">
        <v>75</v>
      </c>
      <c r="H128" s="3" t="s">
        <v>69</v>
      </c>
      <c r="I128" s="3" t="s">
        <v>579</v>
      </c>
      <c r="J128" s="3" t="s">
        <v>204</v>
      </c>
      <c r="K128" s="3" t="s">
        <v>580</v>
      </c>
      <c r="L128" s="4">
        <f>IF(OR(TRIM(I128)="",TRIM(K128)=""),"",IFERROR((VALUE(LEFT(TRIM(I128),4))-VALUE(LEFT(TRIM(K128),4)))*12+VALUE(MID(TRIM(I128),6,2))-VALUE(MID(TRIM(K128),6,2)),""))</f>
        <v>1</v>
      </c>
      <c r="M128" s="3" t="str">
        <f>IF(TRIM(H128)="","",IFERROR(LOOKUP(2,1/(ISNUMBER(SEARCH('منطق دسته‌بندی'!$A$2:$A$187,H128))),'منطق دسته‌بندی'!$B$2:$B$187),"سایر (نیازمند بررسی دستی)"))</f>
        <v>مکانیزم درب - میکروسوئیچ/قلاب (تعویض/تنظیم)</v>
      </c>
      <c r="N128" s="3" t="s">
        <v>77</v>
      </c>
      <c r="O128" s="3" t="s">
        <v>25</v>
      </c>
    </row>
    <row r="129" spans="1:15" ht="30" customHeight="1">
      <c r="A129" s="3" t="s">
        <v>581</v>
      </c>
      <c r="B129" s="3" t="s">
        <v>16</v>
      </c>
      <c r="C129" s="3" t="s">
        <v>17</v>
      </c>
      <c r="D129" s="3" t="s">
        <v>1402</v>
      </c>
      <c r="E129" s="3" t="s">
        <v>160</v>
      </c>
      <c r="F129" s="3" t="s">
        <v>582</v>
      </c>
      <c r="G129" s="3" t="s">
        <v>224</v>
      </c>
      <c r="H129" s="3" t="s">
        <v>407</v>
      </c>
      <c r="I129" s="3" t="s">
        <v>579</v>
      </c>
      <c r="J129" s="3" t="s">
        <v>583</v>
      </c>
      <c r="K129" s="3" t="s">
        <v>584</v>
      </c>
      <c r="L129" s="4">
        <f>IF(OR(TRIM(I129)="",TRIM(K129)=""),"",IFERROR((VALUE(LEFT(TRIM(I129),4))-VALUE(LEFT(TRIM(K129),4)))*12+VALUE(MID(TRIM(I129),6,2))-VALUE(MID(TRIM(K129),6,2)),""))</f>
        <v>21</v>
      </c>
      <c r="M129" s="3" t="str">
        <f>IF(TRIM(H129)="","",IFERROR(LOOKUP(2,1/(ISNUMBER(SEARCH('منطق دسته‌بندی'!$A$2:$A$187,H129))),'منطق دسته‌بندی'!$B$2:$B$187),"سایر (نیازمند بررسی دستی)"))</f>
        <v>خرابی - تاب برداشتن درام (تعویض)</v>
      </c>
      <c r="N129" s="3" t="s">
        <v>410</v>
      </c>
      <c r="O129" s="3" t="s">
        <v>25</v>
      </c>
    </row>
    <row r="130" spans="1:15" ht="30" customHeight="1">
      <c r="A130" s="3" t="s">
        <v>585</v>
      </c>
      <c r="B130" s="3" t="s">
        <v>16</v>
      </c>
      <c r="C130" s="3" t="s">
        <v>17</v>
      </c>
      <c r="D130" s="3" t="s">
        <v>43</v>
      </c>
      <c r="E130" s="3" t="s">
        <v>44</v>
      </c>
      <c r="F130" s="3" t="s">
        <v>586</v>
      </c>
      <c r="G130" s="3" t="s">
        <v>111</v>
      </c>
      <c r="H130" s="3" t="s">
        <v>587</v>
      </c>
      <c r="I130" s="3" t="s">
        <v>579</v>
      </c>
      <c r="J130" s="3" t="s">
        <v>588</v>
      </c>
      <c r="K130" s="3" t="s">
        <v>589</v>
      </c>
      <c r="L130" s="4">
        <f>IF(OR(TRIM(I130)="",TRIM(K130)=""),"",IFERROR((VALUE(LEFT(TRIM(I130),4))-VALUE(LEFT(TRIM(K130),4)))*12+VALUE(MID(TRIM(I130),6,2))-VALUE(MID(TRIM(K130),6,2)),""))</f>
        <v>3</v>
      </c>
      <c r="M130" s="3" t="str">
        <f>IF(TRIM(H130)="","",IFERROR(LOOKUP(2,1/(ISNUMBER(SEARCH('منطق دسته‌بندی'!$A$2:$A$187,H130))),'منطق دسته‌بندی'!$B$2:$B$187),"سایر (نیازمند بررسی دستی)"))</f>
        <v>مکانیزم درب - لولا (تنظیم)</v>
      </c>
      <c r="N130" s="3" t="s">
        <v>24</v>
      </c>
      <c r="O130" s="3" t="s">
        <v>25</v>
      </c>
    </row>
    <row r="131" spans="1:15" ht="30" customHeight="1">
      <c r="A131" s="3" t="s">
        <v>590</v>
      </c>
      <c r="B131" s="3" t="s">
        <v>16</v>
      </c>
      <c r="C131" s="3" t="s">
        <v>17</v>
      </c>
      <c r="D131" s="3" t="s">
        <v>127</v>
      </c>
      <c r="E131" s="3" t="s">
        <v>128</v>
      </c>
      <c r="F131" s="3" t="s">
        <v>591</v>
      </c>
      <c r="G131" s="3" t="s">
        <v>117</v>
      </c>
      <c r="H131" s="3" t="s">
        <v>592</v>
      </c>
      <c r="I131" s="3" t="s">
        <v>579</v>
      </c>
      <c r="J131" s="3" t="s">
        <v>593</v>
      </c>
      <c r="K131" s="3" t="s">
        <v>584</v>
      </c>
      <c r="L131" s="4">
        <f>IF(OR(TRIM(I131)="",TRIM(K131)=""),"",IFERROR((VALUE(LEFT(TRIM(I131),4))-VALUE(LEFT(TRIM(K131),4)))*12+VALUE(MID(TRIM(I131),6,2))-VALUE(MID(TRIM(K131),6,2)),""))</f>
        <v>21</v>
      </c>
      <c r="M131" s="3" t="str">
        <f>IF(TRIM(H131)="","",IFERROR(LOOKUP(2,1/(ISNUMBER(SEARCH('منطق دسته‌بندی'!$A$2:$A$187,H131))),'منطق دسته‌بندی'!$B$2:$B$187),"سایر (نیازمند بررسی دستی)"))</f>
        <v>مکانیزم درب - لولا (تعویض/تنظیم)</v>
      </c>
      <c r="N131" s="3" t="s">
        <v>594</v>
      </c>
      <c r="O131" s="3" t="s">
        <v>25</v>
      </c>
    </row>
    <row r="132" spans="1:15" ht="30" customHeight="1">
      <c r="A132" s="3" t="s">
        <v>595</v>
      </c>
      <c r="B132" s="3" t="s">
        <v>16</v>
      </c>
      <c r="C132" s="3" t="s">
        <v>17</v>
      </c>
      <c r="D132" s="3" t="s">
        <v>1402</v>
      </c>
      <c r="E132" s="3" t="s">
        <v>18</v>
      </c>
      <c r="F132" s="3" t="s">
        <v>596</v>
      </c>
      <c r="G132" s="3" t="s">
        <v>28</v>
      </c>
      <c r="H132" s="3" t="s">
        <v>146</v>
      </c>
      <c r="I132" s="3" t="s">
        <v>579</v>
      </c>
      <c r="J132" s="3" t="s">
        <v>597</v>
      </c>
      <c r="K132" s="3" t="s">
        <v>167</v>
      </c>
      <c r="L132" s="4">
        <f>IF(OR(TRIM(I132)="",TRIM(K132)=""),"",IFERROR((VALUE(LEFT(TRIM(I132),4))-VALUE(LEFT(TRIM(K132),4)))*12+VALUE(MID(TRIM(I132),6,2))-VALUE(MID(TRIM(K132),6,2)),""))</f>
        <v>0</v>
      </c>
      <c r="M132" s="3" t="str">
        <f>IF(TRIM(H132)="","",IFERROR(LOOKUP(2,1/(ISNUMBER(SEARCH('منطق دسته‌بندی'!$A$2:$A$187,H132))),'منطق دسته‌بندی'!$B$2:$B$187),"سایر (نیازمند بررسی دستی)"))</f>
        <v>تراز/لرزش - نصب (رگلاژ پایه)</v>
      </c>
      <c r="N132" s="3" t="s">
        <v>165</v>
      </c>
      <c r="O132" s="3" t="s">
        <v>78</v>
      </c>
    </row>
    <row r="133" spans="1:15" ht="30" customHeight="1">
      <c r="A133" s="3" t="s">
        <v>598</v>
      </c>
      <c r="B133" s="3" t="s">
        <v>16</v>
      </c>
      <c r="C133" s="3" t="s">
        <v>17</v>
      </c>
      <c r="D133" s="3" t="s">
        <v>43</v>
      </c>
      <c r="E133" s="3" t="s">
        <v>44</v>
      </c>
      <c r="F133" s="3" t="s">
        <v>599</v>
      </c>
      <c r="G133" s="3" t="s">
        <v>600</v>
      </c>
      <c r="H133" s="3" t="s">
        <v>55</v>
      </c>
      <c r="I133" s="3" t="s">
        <v>579</v>
      </c>
      <c r="J133" s="3" t="s">
        <v>601</v>
      </c>
      <c r="K133" s="3" t="s">
        <v>602</v>
      </c>
      <c r="L133" s="4">
        <f>IF(OR(TRIM(I133)="",TRIM(K133)=""),"",IFERROR((VALUE(LEFT(TRIM(I133),4))-VALUE(LEFT(TRIM(K133),4)))*12+VALUE(MID(TRIM(I133),6,2))-VALUE(MID(TRIM(K133),6,2)),""))</f>
        <v>-1</v>
      </c>
      <c r="M133" s="3" t="str">
        <f>IF(TRIM(H133)="","",IFERROR(LOOKUP(2,1/(ISNUMBER(SEARCH('منطق دسته‌بندی'!$A$2:$A$187,H133))),'منطق دسته‌بندی'!$B$2:$B$187),"سایر (نیازمند بررسی دستی)"))</f>
        <v>قطعات تزئینی - شکستگی/کسری (تعویض)</v>
      </c>
      <c r="N133" s="3" t="s">
        <v>24</v>
      </c>
      <c r="O133" s="3" t="s">
        <v>25</v>
      </c>
    </row>
    <row r="134" spans="1:15" ht="30" customHeight="1">
      <c r="A134" s="3" t="s">
        <v>603</v>
      </c>
      <c r="B134" s="3" t="s">
        <v>16</v>
      </c>
      <c r="C134" s="3" t="s">
        <v>17</v>
      </c>
      <c r="D134" s="3" t="s">
        <v>1402</v>
      </c>
      <c r="E134" s="3" t="s">
        <v>160</v>
      </c>
      <c r="F134" s="3" t="s">
        <v>596</v>
      </c>
      <c r="G134" s="3" t="s">
        <v>28</v>
      </c>
      <c r="H134" s="3" t="s">
        <v>146</v>
      </c>
      <c r="I134" s="3" t="s">
        <v>579</v>
      </c>
      <c r="J134" s="3" t="s">
        <v>597</v>
      </c>
      <c r="K134" s="3" t="s">
        <v>167</v>
      </c>
      <c r="L134" s="4">
        <f>IF(OR(TRIM(I134)="",TRIM(K134)=""),"",IFERROR((VALUE(LEFT(TRIM(I134),4))-VALUE(LEFT(TRIM(K134),4)))*12+VALUE(MID(TRIM(I134),6,2))-VALUE(MID(TRIM(K134),6,2)),""))</f>
        <v>0</v>
      </c>
      <c r="M134" s="3" t="str">
        <f>IF(TRIM(H134)="","",IFERROR(LOOKUP(2,1/(ISNUMBER(SEARCH('منطق دسته‌بندی'!$A$2:$A$187,H134))),'منطق دسته‌بندی'!$B$2:$B$187),"سایر (نیازمند بررسی دستی)"))</f>
        <v>تراز/لرزش - نصب (رگلاژ پایه)</v>
      </c>
      <c r="N134" s="3" t="s">
        <v>165</v>
      </c>
      <c r="O134" s="3" t="s">
        <v>25</v>
      </c>
    </row>
    <row r="135" spans="1:15" ht="30" customHeight="1">
      <c r="A135" s="3" t="s">
        <v>604</v>
      </c>
      <c r="B135" s="3" t="s">
        <v>16</v>
      </c>
      <c r="C135" s="3" t="s">
        <v>17</v>
      </c>
      <c r="D135" s="3" t="s">
        <v>1402</v>
      </c>
      <c r="E135" s="3" t="s">
        <v>35</v>
      </c>
      <c r="F135" s="3" t="s">
        <v>605</v>
      </c>
      <c r="G135" s="3" t="s">
        <v>406</v>
      </c>
      <c r="H135" s="3" t="s">
        <v>146</v>
      </c>
      <c r="I135" s="3" t="s">
        <v>579</v>
      </c>
      <c r="J135" s="3" t="s">
        <v>606</v>
      </c>
      <c r="K135" s="3" t="s">
        <v>607</v>
      </c>
      <c r="L135" s="4">
        <f>IF(OR(TRIM(I135)="",TRIM(K135)=""),"",IFERROR((VALUE(LEFT(TRIM(I135),4))-VALUE(LEFT(TRIM(K135),4)))*12+VALUE(MID(TRIM(I135),6,2))-VALUE(MID(TRIM(K135),6,2)),""))</f>
        <v>23</v>
      </c>
      <c r="M135" s="3" t="str">
        <f>IF(TRIM(H135)="","",IFERROR(LOOKUP(2,1/(ISNUMBER(SEARCH('منطق دسته‌بندی'!$A$2:$A$187,H135))),'منطق دسته‌بندی'!$B$2:$B$187),"سایر (نیازمند بررسی دستی)"))</f>
        <v>تراز/لرزش - نصب (رگلاژ پایه)</v>
      </c>
      <c r="N135" s="3" t="s">
        <v>165</v>
      </c>
      <c r="O135" s="3" t="s">
        <v>25</v>
      </c>
    </row>
    <row r="136" spans="1:15" ht="30" customHeight="1">
      <c r="A136" s="3" t="s">
        <v>608</v>
      </c>
      <c r="B136" s="3" t="s">
        <v>16</v>
      </c>
      <c r="C136" s="3" t="s">
        <v>17</v>
      </c>
      <c r="D136" s="3" t="s">
        <v>43</v>
      </c>
      <c r="E136" s="3" t="s">
        <v>44</v>
      </c>
      <c r="F136" s="3" t="s">
        <v>586</v>
      </c>
      <c r="G136" s="3" t="s">
        <v>111</v>
      </c>
      <c r="H136" s="3" t="s">
        <v>563</v>
      </c>
      <c r="I136" s="3" t="s">
        <v>579</v>
      </c>
      <c r="J136" s="3" t="s">
        <v>588</v>
      </c>
      <c r="K136" s="3" t="s">
        <v>589</v>
      </c>
      <c r="L136" s="4">
        <f>IF(OR(TRIM(I136)="",TRIM(K136)=""),"",IFERROR((VALUE(LEFT(TRIM(I136),4))-VALUE(LEFT(TRIM(K136),4)))*12+VALUE(MID(TRIM(I136),6,2))-VALUE(MID(TRIM(K136),6,2)),""))</f>
        <v>3</v>
      </c>
      <c r="M136" s="3" t="str">
        <f>IF(TRIM(H136)="","",IFERROR(LOOKUP(2,1/(ISNUMBER(SEARCH('منطق دسته‌بندی'!$A$2:$A$187,H136))),'منطق دسته‌بندی'!$B$2:$B$187),"سایر (نیازمند بررسی دستی)"))</f>
        <v>مکانیزم درب - لولا (تنظیم)</v>
      </c>
      <c r="N136" s="3" t="s">
        <v>24</v>
      </c>
      <c r="O136" s="3" t="s">
        <v>78</v>
      </c>
    </row>
    <row r="137" spans="1:15" ht="30" customHeight="1">
      <c r="A137" s="3" t="s">
        <v>609</v>
      </c>
      <c r="B137" s="3" t="s">
        <v>16</v>
      </c>
      <c r="C137" s="3" t="s">
        <v>17</v>
      </c>
      <c r="D137" s="3" t="s">
        <v>1402</v>
      </c>
      <c r="E137" s="3" t="s">
        <v>18</v>
      </c>
      <c r="F137" s="3" t="s">
        <v>610</v>
      </c>
      <c r="G137" s="3" t="s">
        <v>611</v>
      </c>
      <c r="H137" s="3" t="s">
        <v>156</v>
      </c>
      <c r="I137" s="3" t="s">
        <v>612</v>
      </c>
      <c r="J137" s="3" t="s">
        <v>613</v>
      </c>
      <c r="K137" s="3" t="s">
        <v>614</v>
      </c>
      <c r="L137" s="4">
        <f>IF(OR(TRIM(I137)="",TRIM(K137)=""),"",IFERROR((VALUE(LEFT(TRIM(I137),4))-VALUE(LEFT(TRIM(K137),4)))*12+VALUE(MID(TRIM(I137),6,2))-VALUE(MID(TRIM(K137),6,2)),""))</f>
        <v>17</v>
      </c>
      <c r="M137" s="3" t="str">
        <f>IF(TRIM(H137)="","",IFERROR(LOOKUP(2,1/(ISNUMBER(SEARCH('منطق دسته‌بندی'!$A$2:$A$187,H137))),'منطق دسته‌بندی'!$B$2:$B$187),"سایر (نیازمند بررسی دستی)"))</f>
        <v>خرابی - شیربرقی (تعویض)</v>
      </c>
      <c r="N137" s="3" t="s">
        <v>481</v>
      </c>
      <c r="O137" s="3" t="s">
        <v>25</v>
      </c>
    </row>
    <row r="138" spans="1:15" ht="30" customHeight="1">
      <c r="A138" s="3" t="s">
        <v>615</v>
      </c>
      <c r="B138" s="3" t="s">
        <v>16</v>
      </c>
      <c r="C138" s="3" t="s">
        <v>17</v>
      </c>
      <c r="D138" s="3" t="s">
        <v>43</v>
      </c>
      <c r="E138" s="3" t="s">
        <v>44</v>
      </c>
      <c r="F138" s="3" t="s">
        <v>616</v>
      </c>
      <c r="G138" s="3" t="s">
        <v>75</v>
      </c>
      <c r="H138" s="3" t="s">
        <v>69</v>
      </c>
      <c r="I138" s="3" t="s">
        <v>612</v>
      </c>
      <c r="J138" s="3" t="s">
        <v>617</v>
      </c>
      <c r="K138" s="3" t="s">
        <v>618</v>
      </c>
      <c r="L138" s="4">
        <f>IF(OR(TRIM(I138)="",TRIM(K138)=""),"",IFERROR((VALUE(LEFT(TRIM(I138),4))-VALUE(LEFT(TRIM(K138),4)))*12+VALUE(MID(TRIM(I138),6,2))-VALUE(MID(TRIM(K138),6,2)),""))</f>
        <v>7</v>
      </c>
      <c r="M138" s="3" t="str">
        <f>IF(TRIM(H138)="","",IFERROR(LOOKUP(2,1/(ISNUMBER(SEARCH('منطق دسته‌بندی'!$A$2:$A$187,H138))),'منطق دسته‌بندی'!$B$2:$B$187),"سایر (نیازمند بررسی دستی)"))</f>
        <v>مکانیزم درب - میکروسوئیچ/قلاب (تعویض/تنظیم)</v>
      </c>
      <c r="N138" s="3" t="s">
        <v>77</v>
      </c>
      <c r="O138" s="3" t="s">
        <v>25</v>
      </c>
    </row>
    <row r="139" spans="1:15" ht="30" customHeight="1">
      <c r="A139" s="3" t="s">
        <v>619</v>
      </c>
      <c r="B139" s="3" t="s">
        <v>16</v>
      </c>
      <c r="C139" s="3" t="s">
        <v>17</v>
      </c>
      <c r="D139" s="3" t="s">
        <v>127</v>
      </c>
      <c r="E139" s="3" t="s">
        <v>128</v>
      </c>
      <c r="F139" s="3" t="s">
        <v>620</v>
      </c>
      <c r="G139" s="3" t="s">
        <v>621</v>
      </c>
      <c r="H139" s="3" t="s">
        <v>281</v>
      </c>
      <c r="I139" s="3" t="s">
        <v>612</v>
      </c>
      <c r="J139" s="3" t="s">
        <v>622</v>
      </c>
      <c r="K139" s="3" t="s">
        <v>282</v>
      </c>
      <c r="L139" s="4">
        <f>IF(OR(TRIM(I139)="",TRIM(K139)=""),"",IFERROR((VALUE(LEFT(TRIM(I139),4))-VALUE(LEFT(TRIM(K139),4)))*12+VALUE(MID(TRIM(I139),6,2))-VALUE(MID(TRIM(K139),6,2)),""))</f>
        <v>16</v>
      </c>
      <c r="M139" s="3" t="str">
        <f>IF(TRIM(H139)="","",IFERROR(LOOKUP(2,1/(ISNUMBER(SEARCH('منطق دسته‌بندی'!$A$2:$A$187,H139))),'منطق دسته‌بندی'!$B$2:$B$187),"سایر (نیازمند بررسی دستی)"))</f>
        <v>خرابی - برد الکترونیک (تعویض)</v>
      </c>
      <c r="N139" s="3" t="s">
        <v>283</v>
      </c>
      <c r="O139" s="3" t="s">
        <v>25</v>
      </c>
    </row>
    <row r="140" spans="1:15" ht="30" customHeight="1">
      <c r="A140" s="3" t="s">
        <v>623</v>
      </c>
      <c r="B140" s="3" t="s">
        <v>16</v>
      </c>
      <c r="C140" s="3" t="s">
        <v>17</v>
      </c>
      <c r="D140" s="3" t="s">
        <v>127</v>
      </c>
      <c r="E140" s="3" t="s">
        <v>128</v>
      </c>
      <c r="F140" s="3" t="s">
        <v>624</v>
      </c>
      <c r="G140" s="3" t="s">
        <v>625</v>
      </c>
      <c r="H140" s="3" t="s">
        <v>278</v>
      </c>
      <c r="I140" s="3" t="s">
        <v>612</v>
      </c>
      <c r="J140" s="3" t="s">
        <v>626</v>
      </c>
      <c r="K140" s="3" t="s">
        <v>330</v>
      </c>
      <c r="L140" s="4">
        <f>IF(OR(TRIM(I140)="",TRIM(K140)=""),"",IFERROR((VALUE(LEFT(TRIM(I140),4))-VALUE(LEFT(TRIM(K140),4)))*12+VALUE(MID(TRIM(I140),6,2))-VALUE(MID(TRIM(K140),6,2)),""))</f>
        <v>9</v>
      </c>
      <c r="M140" s="3" t="str">
        <f>IF(TRIM(H140)="","",IFERROR(LOOKUP(2,1/(ISNUMBER(SEARCH('منطق دسته‌بندی'!$A$2:$A$187,H140))),'منطق دسته‌بندی'!$B$2:$B$187),"سایر (نیازمند بررسی دستی)"))</f>
        <v>یخساز - تنظیم/عایق (تعمیر)</v>
      </c>
      <c r="N140" s="3" t="s">
        <v>24</v>
      </c>
      <c r="O140" s="3" t="s">
        <v>25</v>
      </c>
    </row>
    <row r="141" spans="1:15" ht="30" customHeight="1">
      <c r="A141" s="3" t="s">
        <v>627</v>
      </c>
      <c r="B141" s="3" t="s">
        <v>16</v>
      </c>
      <c r="C141" s="3" t="s">
        <v>17</v>
      </c>
      <c r="D141" s="3" t="s">
        <v>108</v>
      </c>
      <c r="E141" s="3" t="s">
        <v>391</v>
      </c>
      <c r="F141" s="3" t="s">
        <v>628</v>
      </c>
      <c r="G141" s="3" t="s">
        <v>629</v>
      </c>
      <c r="H141" s="3" t="s">
        <v>630</v>
      </c>
      <c r="I141" s="3" t="s">
        <v>612</v>
      </c>
      <c r="J141" s="3" t="s">
        <v>631</v>
      </c>
      <c r="K141" s="3" t="s">
        <v>632</v>
      </c>
      <c r="L141" s="4">
        <f>IF(OR(TRIM(I141)="",TRIM(K141)=""),"",IFERROR((VALUE(LEFT(TRIM(I141),4))-VALUE(LEFT(TRIM(K141),4)))*12+VALUE(MID(TRIM(I141),6,2))-VALUE(MID(TRIM(K141),6,2)),""))</f>
        <v>5</v>
      </c>
      <c r="M141" s="3" t="str">
        <f>IF(TRIM(H141)="","",IFERROR(LOOKUP(2,1/(ISNUMBER(SEARCH('منطق دسته‌بندی'!$A$2:$A$187,H141))),'منطق دسته‌بندی'!$B$2:$B$187),"سایر (نیازمند بررسی دستی)"))</f>
        <v>خرابی - لامپ/LED داخلی (تعویض)</v>
      </c>
      <c r="N141" s="3" t="s">
        <v>633</v>
      </c>
      <c r="O141" s="3" t="s">
        <v>25</v>
      </c>
    </row>
    <row r="142" spans="1:15" ht="30" customHeight="1">
      <c r="A142" s="3" t="s">
        <v>634</v>
      </c>
      <c r="B142" s="3" t="s">
        <v>16</v>
      </c>
      <c r="C142" s="3" t="s">
        <v>17</v>
      </c>
      <c r="D142" s="3" t="s">
        <v>1402</v>
      </c>
      <c r="E142" s="3" t="s">
        <v>143</v>
      </c>
      <c r="F142" s="3" t="s">
        <v>635</v>
      </c>
      <c r="G142" s="3" t="s">
        <v>636</v>
      </c>
      <c r="H142" s="3" t="s">
        <v>369</v>
      </c>
      <c r="I142" s="3" t="s">
        <v>612</v>
      </c>
      <c r="J142" s="3" t="s">
        <v>543</v>
      </c>
      <c r="K142" s="3" t="s">
        <v>637</v>
      </c>
      <c r="L142" s="4">
        <f>IF(OR(TRIM(I142)="",TRIM(K142)=""),"",IFERROR((VALUE(LEFT(TRIM(I142),4))-VALUE(LEFT(TRIM(K142),4)))*12+VALUE(MID(TRIM(I142),6,2))-VALUE(MID(TRIM(K142),6,2)),""))</f>
        <v>9</v>
      </c>
      <c r="M142" s="3" t="str">
        <f>IF(TRIM(H142)="","",IFERROR(LOOKUP(2,1/(ISNUMBER(SEARCH('منطق دسته‌بندی'!$A$2:$A$187,H142))),'منطق دسته‌بندی'!$B$2:$B$187),"سایر (نیازمند بررسی دستی)"))</f>
        <v>لاستیک درزگیر - دفرمگی/پارگی (تعویض)</v>
      </c>
      <c r="N142" s="3" t="s">
        <v>371</v>
      </c>
      <c r="O142" s="3" t="s">
        <v>25</v>
      </c>
    </row>
    <row r="143" spans="1:15" ht="30" customHeight="1">
      <c r="A143" s="3" t="s">
        <v>638</v>
      </c>
      <c r="B143" s="3" t="s">
        <v>16</v>
      </c>
      <c r="C143" s="3" t="s">
        <v>17</v>
      </c>
      <c r="D143" s="3" t="s">
        <v>1402</v>
      </c>
      <c r="E143" s="3" t="s">
        <v>18</v>
      </c>
      <c r="F143" s="3" t="s">
        <v>639</v>
      </c>
      <c r="G143" s="3" t="s">
        <v>640</v>
      </c>
      <c r="H143" s="3" t="s">
        <v>118</v>
      </c>
      <c r="I143" s="3" t="s">
        <v>612</v>
      </c>
      <c r="J143" s="3" t="s">
        <v>448</v>
      </c>
      <c r="K143" s="3" t="s">
        <v>641</v>
      </c>
      <c r="L143" s="4">
        <f>IF(OR(TRIM(I143)="",TRIM(K143)=""),"",IFERROR((VALUE(LEFT(TRIM(I143),4))-VALUE(LEFT(TRIM(K143),4)))*12+VALUE(MID(TRIM(I143),6,2))-VALUE(MID(TRIM(K143),6,2)),""))</f>
        <v>6</v>
      </c>
      <c r="M143" s="3" t="str">
        <f>IF(TRIM(H143)="","",IFERROR(LOOKUP(2,1/(ISNUMBER(SEARCH('منطق دسته‌بندی'!$A$2:$A$187,H143))),'منطق دسته‌بندی'!$B$2:$B$187),"سایر (نیازمند بررسی دستی)"))</f>
        <v>مکانیزم درب - مهره/اتصال (تنظیم)</v>
      </c>
      <c r="N143" s="3" t="s">
        <v>24</v>
      </c>
      <c r="O143" s="3" t="s">
        <v>25</v>
      </c>
    </row>
    <row r="144" spans="1:15" ht="30" customHeight="1">
      <c r="A144" s="3" t="s">
        <v>642</v>
      </c>
      <c r="B144" s="3" t="s">
        <v>16</v>
      </c>
      <c r="C144" s="3" t="s">
        <v>17</v>
      </c>
      <c r="D144" s="3" t="s">
        <v>43</v>
      </c>
      <c r="E144" s="3" t="s">
        <v>96</v>
      </c>
      <c r="F144" s="3" t="s">
        <v>643</v>
      </c>
      <c r="G144" s="3" t="s">
        <v>87</v>
      </c>
      <c r="H144" s="3" t="s">
        <v>231</v>
      </c>
      <c r="I144" s="3" t="s">
        <v>612</v>
      </c>
      <c r="J144" s="3" t="s">
        <v>644</v>
      </c>
      <c r="K144" s="3" t="s">
        <v>645</v>
      </c>
      <c r="L144" s="4">
        <f>IF(OR(TRIM(I144)="",TRIM(K144)=""),"",IFERROR((VALUE(LEFT(TRIM(I144),4))-VALUE(LEFT(TRIM(K144),4)))*12+VALUE(MID(TRIM(I144),6,2))-VALUE(MID(TRIM(K144),6,2)),""))</f>
        <v>11</v>
      </c>
      <c r="M144" s="3" t="str">
        <f>IF(TRIM(H144)="","",IFERROR(LOOKUP(2,1/(ISNUMBER(SEARCH('منطق دسته‌بندی'!$A$2:$A$187,H144))),'منطق دسته‌بندی'!$B$2:$B$187),"سایر (نیازمند بررسی دستی)"))</f>
        <v>نشتی - پمپ تخلیه (تعمیر/آب‌بندی)</v>
      </c>
      <c r="N144" s="3" t="s">
        <v>233</v>
      </c>
      <c r="O144" s="3" t="s">
        <v>78</v>
      </c>
    </row>
    <row r="145" spans="1:15" ht="30" customHeight="1">
      <c r="A145" s="3" t="s">
        <v>646</v>
      </c>
      <c r="B145" s="3" t="s">
        <v>16</v>
      </c>
      <c r="C145" s="3" t="s">
        <v>17</v>
      </c>
      <c r="D145" s="3" t="s">
        <v>1402</v>
      </c>
      <c r="E145" s="3" t="s">
        <v>160</v>
      </c>
      <c r="F145" s="3" t="s">
        <v>647</v>
      </c>
      <c r="G145" s="3" t="s">
        <v>480</v>
      </c>
      <c r="H145" s="3" t="s">
        <v>156</v>
      </c>
      <c r="I145" s="3" t="s">
        <v>612</v>
      </c>
      <c r="J145" s="3" t="s">
        <v>253</v>
      </c>
      <c r="K145" s="3" t="s">
        <v>648</v>
      </c>
      <c r="L145" s="4">
        <f>IF(OR(TRIM(I145)="",TRIM(K145)=""),"",IFERROR((VALUE(LEFT(TRIM(I145),4))-VALUE(LEFT(TRIM(K145),4)))*12+VALUE(MID(TRIM(I145),6,2))-VALUE(MID(TRIM(K145),6,2)),""))</f>
        <v>1</v>
      </c>
      <c r="M145" s="3" t="str">
        <f>IF(TRIM(H145)="","",IFERROR(LOOKUP(2,1/(ISNUMBER(SEARCH('منطق دسته‌بندی'!$A$2:$A$187,H145))),'منطق دسته‌بندی'!$B$2:$B$187),"سایر (نیازمند بررسی دستی)"))</f>
        <v>خرابی - شیربرقی (تعویض)</v>
      </c>
      <c r="N145" s="3" t="s">
        <v>481</v>
      </c>
      <c r="O145" s="3" t="s">
        <v>25</v>
      </c>
    </row>
    <row r="146" spans="1:15" ht="30" customHeight="1">
      <c r="A146" s="3" t="s">
        <v>649</v>
      </c>
      <c r="B146" s="3" t="s">
        <v>16</v>
      </c>
      <c r="C146" s="3" t="s">
        <v>17</v>
      </c>
      <c r="D146" s="3" t="s">
        <v>43</v>
      </c>
      <c r="E146" s="3" t="s">
        <v>44</v>
      </c>
      <c r="F146" s="3" t="s">
        <v>650</v>
      </c>
      <c r="G146" s="3" t="s">
        <v>75</v>
      </c>
      <c r="H146" s="3" t="s">
        <v>69</v>
      </c>
      <c r="I146" s="3" t="s">
        <v>612</v>
      </c>
      <c r="J146" s="3" t="s">
        <v>312</v>
      </c>
      <c r="K146" s="3" t="s">
        <v>523</v>
      </c>
      <c r="L146" s="4">
        <f>IF(OR(TRIM(I146)="",TRIM(K146)=""),"",IFERROR((VALUE(LEFT(TRIM(I146),4))-VALUE(LEFT(TRIM(K146),4)))*12+VALUE(MID(TRIM(I146),6,2))-VALUE(MID(TRIM(K146),6,2)),""))</f>
        <v>0</v>
      </c>
      <c r="M146" s="3" t="str">
        <f>IF(TRIM(H146)="","",IFERROR(LOOKUP(2,1/(ISNUMBER(SEARCH('منطق دسته‌بندی'!$A$2:$A$187,H146))),'منطق دسته‌بندی'!$B$2:$B$187),"سایر (نیازمند بررسی دستی)"))</f>
        <v>مکانیزم درب - میکروسوئیچ/قلاب (تعویض/تنظیم)</v>
      </c>
      <c r="N146" s="3" t="s">
        <v>77</v>
      </c>
      <c r="O146" s="3" t="s">
        <v>25</v>
      </c>
    </row>
    <row r="147" spans="1:15" ht="30" customHeight="1">
      <c r="A147" s="3" t="s">
        <v>651</v>
      </c>
      <c r="B147" s="3" t="s">
        <v>16</v>
      </c>
      <c r="C147" s="3" t="s">
        <v>17</v>
      </c>
      <c r="D147" s="3" t="s">
        <v>43</v>
      </c>
      <c r="E147" s="3" t="s">
        <v>96</v>
      </c>
      <c r="F147" s="3" t="s">
        <v>643</v>
      </c>
      <c r="G147" s="3" t="s">
        <v>87</v>
      </c>
      <c r="H147" s="3" t="s">
        <v>652</v>
      </c>
      <c r="I147" s="3" t="s">
        <v>612</v>
      </c>
      <c r="J147" s="3" t="s">
        <v>644</v>
      </c>
      <c r="K147" s="3" t="s">
        <v>645</v>
      </c>
      <c r="L147" s="4">
        <f>IF(OR(TRIM(I147)="",TRIM(K147)=""),"",IFERROR((VALUE(LEFT(TRIM(I147),4))-VALUE(LEFT(TRIM(K147),4)))*12+VALUE(MID(TRIM(I147),6,2))-VALUE(MID(TRIM(K147),6,2)),""))</f>
        <v>11</v>
      </c>
      <c r="M147" s="3" t="str">
        <f>IF(TRIM(H147)="","",IFERROR(LOOKUP(2,1/(ISNUMBER(SEARCH('منطق دسته‌بندی'!$A$2:$A$187,H147))),'منطق دسته‌بندی'!$B$2:$B$187),"سایر (نیازمند بررسی دستی)"))</f>
        <v>نشتی - پمپ تخلیه (تعمیر/آب‌بندی)</v>
      </c>
      <c r="N147" s="3" t="s">
        <v>24</v>
      </c>
      <c r="O147" s="3" t="s">
        <v>25</v>
      </c>
    </row>
    <row r="148" spans="1:15" ht="45" customHeight="1">
      <c r="A148" s="3" t="s">
        <v>653</v>
      </c>
      <c r="B148" s="3" t="s">
        <v>16</v>
      </c>
      <c r="C148" s="3" t="s">
        <v>17</v>
      </c>
      <c r="D148" s="3" t="s">
        <v>1402</v>
      </c>
      <c r="E148" s="3" t="s">
        <v>160</v>
      </c>
      <c r="F148" s="3" t="s">
        <v>654</v>
      </c>
      <c r="G148" s="3" t="s">
        <v>655</v>
      </c>
      <c r="H148" s="3" t="s">
        <v>146</v>
      </c>
      <c r="I148" s="3" t="s">
        <v>656</v>
      </c>
      <c r="J148" s="3" t="s">
        <v>657</v>
      </c>
      <c r="K148" s="3" t="s">
        <v>167</v>
      </c>
      <c r="L148" s="4">
        <f>IF(OR(TRIM(I148)="",TRIM(K148)=""),"",IFERROR((VALUE(LEFT(TRIM(I148),4))-VALUE(LEFT(TRIM(K148),4)))*12+VALUE(MID(TRIM(I148),6,2))-VALUE(MID(TRIM(K148),6,2)),""))</f>
        <v>0</v>
      </c>
      <c r="M148" s="3" t="str">
        <f>IF(TRIM(H148)="","",IFERROR(LOOKUP(2,1/(ISNUMBER(SEARCH('منطق دسته‌بندی'!$A$2:$A$187,H148))),'منطق دسته‌بندی'!$B$2:$B$187),"سایر (نیازمند بررسی دستی)"))</f>
        <v>تراز/لرزش - نصب (رگلاژ پایه)</v>
      </c>
      <c r="N148" s="3" t="s">
        <v>165</v>
      </c>
      <c r="O148" s="3" t="s">
        <v>25</v>
      </c>
    </row>
    <row r="149" spans="1:15" ht="30" customHeight="1">
      <c r="A149" s="3" t="s">
        <v>658</v>
      </c>
      <c r="B149" s="3" t="s">
        <v>16</v>
      </c>
      <c r="C149" s="3" t="s">
        <v>17</v>
      </c>
      <c r="D149" s="3" t="s">
        <v>1402</v>
      </c>
      <c r="E149" s="3" t="s">
        <v>18</v>
      </c>
      <c r="F149" s="3" t="s">
        <v>639</v>
      </c>
      <c r="G149" s="3" t="s">
        <v>28</v>
      </c>
      <c r="H149" s="3" t="s">
        <v>659</v>
      </c>
      <c r="I149" s="3" t="s">
        <v>656</v>
      </c>
      <c r="J149" s="3" t="s">
        <v>448</v>
      </c>
      <c r="K149" s="3" t="s">
        <v>641</v>
      </c>
      <c r="L149" s="4">
        <f>IF(OR(TRIM(I149)="",TRIM(K149)=""),"",IFERROR((VALUE(LEFT(TRIM(I149),4))-VALUE(LEFT(TRIM(K149),4)))*12+VALUE(MID(TRIM(I149),6,2))-VALUE(MID(TRIM(K149),6,2)),""))</f>
        <v>6</v>
      </c>
      <c r="M149" s="3" t="str">
        <f>IF(TRIM(H149)="","",IFERROR(LOOKUP(2,1/(ISNUMBER(SEARCH('منطق دسته‌بندی'!$A$2:$A$187,H149))),'منطق دسته‌بندی'!$B$2:$B$187),"سایر (نیازمند بررسی دستی)"))</f>
        <v>خرابی - پمپ تخلیه (تعویض)</v>
      </c>
      <c r="N149" s="3" t="s">
        <v>545</v>
      </c>
      <c r="O149" s="3" t="s">
        <v>78</v>
      </c>
    </row>
    <row r="150" spans="1:15">
      <c r="A150" s="3" t="s">
        <v>660</v>
      </c>
      <c r="B150" s="3" t="s">
        <v>16</v>
      </c>
      <c r="C150" s="3" t="s">
        <v>17</v>
      </c>
      <c r="D150" s="3" t="s">
        <v>43</v>
      </c>
      <c r="E150" s="3" t="s">
        <v>52</v>
      </c>
      <c r="F150" s="3" t="s">
        <v>572</v>
      </c>
      <c r="G150" s="3" t="s">
        <v>573</v>
      </c>
      <c r="H150" s="3" t="s">
        <v>231</v>
      </c>
      <c r="I150" s="3" t="s">
        <v>656</v>
      </c>
      <c r="J150" s="3" t="s">
        <v>575</v>
      </c>
      <c r="K150" s="3" t="s">
        <v>576</v>
      </c>
      <c r="L150" s="4">
        <f>IF(OR(TRIM(I150)="",TRIM(K150)=""),"",IFERROR((VALUE(LEFT(TRIM(I150),4))-VALUE(LEFT(TRIM(K150),4)))*12+VALUE(MID(TRIM(I150),6,2))-VALUE(MID(TRIM(K150),6,2)),""))</f>
        <v>13</v>
      </c>
      <c r="M150" s="3" t="str">
        <f>IF(TRIM(H150)="","",IFERROR(LOOKUP(2,1/(ISNUMBER(SEARCH('منطق دسته‌بندی'!$A$2:$A$187,H150))),'منطق دسته‌بندی'!$B$2:$B$187),"سایر (نیازمند بررسی دستی)"))</f>
        <v>نشتی - پمپ تخلیه (تعمیر/آب‌بندی)</v>
      </c>
      <c r="N150" s="3" t="s">
        <v>233</v>
      </c>
      <c r="O150" s="3" t="s">
        <v>78</v>
      </c>
    </row>
    <row r="151" spans="1:15" ht="30" customHeight="1">
      <c r="A151" s="3" t="s">
        <v>661</v>
      </c>
      <c r="B151" s="3" t="s">
        <v>16</v>
      </c>
      <c r="C151" s="3" t="s">
        <v>17</v>
      </c>
      <c r="D151" s="3" t="s">
        <v>1402</v>
      </c>
      <c r="E151" s="3" t="s">
        <v>18</v>
      </c>
      <c r="F151" s="3" t="s">
        <v>639</v>
      </c>
      <c r="G151" s="3" t="s">
        <v>28</v>
      </c>
      <c r="H151" s="3" t="s">
        <v>659</v>
      </c>
      <c r="I151" s="3" t="s">
        <v>656</v>
      </c>
      <c r="J151" s="3" t="s">
        <v>448</v>
      </c>
      <c r="K151" s="3" t="s">
        <v>641</v>
      </c>
      <c r="L151" s="4">
        <f>IF(OR(TRIM(I151)="",TRIM(K151)=""),"",IFERROR((VALUE(LEFT(TRIM(I151),4))-VALUE(LEFT(TRIM(K151),4)))*12+VALUE(MID(TRIM(I151),6,2))-VALUE(MID(TRIM(K151),6,2)),""))</f>
        <v>6</v>
      </c>
      <c r="M151" s="3" t="str">
        <f>IF(TRIM(H151)="","",IFERROR(LOOKUP(2,1/(ISNUMBER(SEARCH('منطق دسته‌بندی'!$A$2:$A$187,H151))),'منطق دسته‌بندی'!$B$2:$B$187),"سایر (نیازمند بررسی دستی)"))</f>
        <v>خرابی - پمپ تخلیه (تعویض)</v>
      </c>
      <c r="N151" s="3" t="s">
        <v>545</v>
      </c>
      <c r="O151" s="3" t="s">
        <v>78</v>
      </c>
    </row>
    <row r="152" spans="1:15" ht="30" customHeight="1">
      <c r="A152" s="3" t="s">
        <v>662</v>
      </c>
      <c r="B152" s="3" t="s">
        <v>16</v>
      </c>
      <c r="C152" s="3" t="s">
        <v>17</v>
      </c>
      <c r="D152" s="3" t="s">
        <v>43</v>
      </c>
      <c r="E152" s="3" t="s">
        <v>44</v>
      </c>
      <c r="F152" s="3" t="s">
        <v>663</v>
      </c>
      <c r="G152" s="3" t="s">
        <v>75</v>
      </c>
      <c r="H152" s="3" t="s">
        <v>69</v>
      </c>
      <c r="I152" s="3" t="s">
        <v>664</v>
      </c>
      <c r="J152" s="3" t="s">
        <v>241</v>
      </c>
      <c r="K152" s="3" t="s">
        <v>665</v>
      </c>
      <c r="L152" s="4">
        <f>IF(OR(TRIM(I152)="",TRIM(K152)=""),"",IFERROR((VALUE(LEFT(TRIM(I152),4))-VALUE(LEFT(TRIM(K152),4)))*12+VALUE(MID(TRIM(I152),6,2))-VALUE(MID(TRIM(K152),6,2)),""))</f>
        <v>8</v>
      </c>
      <c r="M152" s="3" t="str">
        <f>IF(TRIM(H152)="","",IFERROR(LOOKUP(2,1/(ISNUMBER(SEARCH('منطق دسته‌بندی'!$A$2:$A$187,H152))),'منطق دسته‌بندی'!$B$2:$B$187),"سایر (نیازمند بررسی دستی)"))</f>
        <v>مکانیزم درب - میکروسوئیچ/قلاب (تعویض/تنظیم)</v>
      </c>
      <c r="N152" s="3" t="s">
        <v>77</v>
      </c>
      <c r="O152" s="3" t="s">
        <v>25</v>
      </c>
    </row>
    <row r="153" spans="1:15" ht="30" customHeight="1">
      <c r="A153" s="3" t="s">
        <v>666</v>
      </c>
      <c r="B153" s="3" t="s">
        <v>667</v>
      </c>
      <c r="C153" s="3" t="s">
        <v>668</v>
      </c>
      <c r="D153" s="3" t="s">
        <v>43</v>
      </c>
      <c r="E153" s="3" t="s">
        <v>44</v>
      </c>
      <c r="F153" s="3" t="s">
        <v>669</v>
      </c>
      <c r="G153" s="3" t="s">
        <v>640</v>
      </c>
      <c r="H153" s="3" t="s">
        <v>348</v>
      </c>
      <c r="I153" s="3" t="s">
        <v>670</v>
      </c>
      <c r="J153" s="3" t="s">
        <v>671</v>
      </c>
      <c r="K153" s="3" t="s">
        <v>672</v>
      </c>
      <c r="L153" s="4">
        <f>IF(OR(TRIM(I153)="",TRIM(K153)=""),"",IFERROR((VALUE(LEFT(TRIM(I153),4))-VALUE(LEFT(TRIM(K153),4)))*12+VALUE(MID(TRIM(I153),6,2))-VALUE(MID(TRIM(K153),6,2)),""))</f>
        <v>10</v>
      </c>
      <c r="M153" s="3" t="str">
        <f>IF(TRIM(H153)="","",IFERROR(LOOKUP(2,1/(ISNUMBER(SEARCH('منطق دسته‌بندی'!$A$2:$A$187,H153))),'منطق دسته‌بندی'!$B$2:$B$187),"سایر (نیازمند بررسی دستی)"))</f>
        <v>ریست نرم‌افزاری (بدون قطعه)</v>
      </c>
      <c r="N153" s="3" t="s">
        <v>24</v>
      </c>
      <c r="O153" s="3" t="s">
        <v>25</v>
      </c>
    </row>
    <row r="154" spans="1:15" ht="30" customHeight="1">
      <c r="A154" s="3" t="s">
        <v>673</v>
      </c>
      <c r="B154" s="3" t="s">
        <v>667</v>
      </c>
      <c r="C154" s="3" t="s">
        <v>668</v>
      </c>
      <c r="D154" s="3" t="s">
        <v>1402</v>
      </c>
      <c r="E154" s="3" t="s">
        <v>143</v>
      </c>
      <c r="F154" s="3" t="s">
        <v>674</v>
      </c>
      <c r="G154" s="3" t="s">
        <v>28</v>
      </c>
      <c r="H154" s="3" t="s">
        <v>146</v>
      </c>
      <c r="I154" s="3" t="s">
        <v>675</v>
      </c>
      <c r="J154" s="3" t="s">
        <v>676</v>
      </c>
      <c r="K154" s="3" t="s">
        <v>536</v>
      </c>
      <c r="L154" s="4">
        <f>IF(OR(TRIM(I154)="",TRIM(K154)=""),"",IFERROR((VALUE(LEFT(TRIM(I154),4))-VALUE(LEFT(TRIM(K154),4)))*12+VALUE(MID(TRIM(I154),6,2))-VALUE(MID(TRIM(K154),6,2)),""))</f>
        <v>5</v>
      </c>
      <c r="M154" s="3" t="str">
        <f>IF(TRIM(H154)="","",IFERROR(LOOKUP(2,1/(ISNUMBER(SEARCH('منطق دسته‌بندی'!$A$2:$A$187,H154))),'منطق دسته‌بندی'!$B$2:$B$187),"سایر (نیازمند بررسی دستی)"))</f>
        <v>تراز/لرزش - نصب (رگلاژ پایه)</v>
      </c>
      <c r="N154" s="3" t="s">
        <v>165</v>
      </c>
      <c r="O154" s="3" t="s">
        <v>25</v>
      </c>
    </row>
    <row r="155" spans="1:15" ht="30" customHeight="1">
      <c r="A155" s="3" t="s">
        <v>677</v>
      </c>
      <c r="B155" s="3" t="s">
        <v>667</v>
      </c>
      <c r="C155" s="3" t="s">
        <v>668</v>
      </c>
      <c r="D155" s="3" t="s">
        <v>1402</v>
      </c>
      <c r="E155" s="3" t="s">
        <v>160</v>
      </c>
      <c r="F155" s="3" t="s">
        <v>678</v>
      </c>
      <c r="G155" s="3" t="s">
        <v>28</v>
      </c>
      <c r="H155" s="3" t="s">
        <v>146</v>
      </c>
      <c r="I155" s="3" t="s">
        <v>679</v>
      </c>
      <c r="J155" s="3" t="s">
        <v>680</v>
      </c>
      <c r="K155" s="3" t="s">
        <v>631</v>
      </c>
      <c r="L155" s="4">
        <f>IF(OR(TRIM(I155)="",TRIM(K155)=""),"",IFERROR((VALUE(LEFT(TRIM(I155),4))-VALUE(LEFT(TRIM(K155),4)))*12+VALUE(MID(TRIM(I155),6,2))-VALUE(MID(TRIM(K155),6,2)),""))</f>
        <v>9</v>
      </c>
      <c r="M155" s="3" t="str">
        <f>IF(TRIM(H155)="","",IFERROR(LOOKUP(2,1/(ISNUMBER(SEARCH('منطق دسته‌بندی'!$A$2:$A$187,H155))),'منطق دسته‌بندی'!$B$2:$B$187),"سایر (نیازمند بررسی دستی)"))</f>
        <v>تراز/لرزش - نصب (رگلاژ پایه)</v>
      </c>
      <c r="N155" s="3" t="s">
        <v>165</v>
      </c>
      <c r="O155" s="3" t="s">
        <v>25</v>
      </c>
    </row>
    <row r="156" spans="1:15">
      <c r="A156" s="3" t="s">
        <v>681</v>
      </c>
      <c r="B156" s="3" t="s">
        <v>667</v>
      </c>
      <c r="C156" s="3" t="s">
        <v>668</v>
      </c>
      <c r="D156" s="3" t="s">
        <v>43</v>
      </c>
      <c r="E156" s="3" t="s">
        <v>44</v>
      </c>
      <c r="F156" s="3" t="s">
        <v>682</v>
      </c>
      <c r="G156" s="3" t="s">
        <v>81</v>
      </c>
      <c r="H156" s="3" t="s">
        <v>683</v>
      </c>
      <c r="I156" s="3" t="s">
        <v>679</v>
      </c>
      <c r="J156" s="3" t="s">
        <v>684</v>
      </c>
      <c r="K156" s="3" t="s">
        <v>685</v>
      </c>
      <c r="L156" s="4">
        <f>IF(OR(TRIM(I156)="",TRIM(K156)=""),"",IFERROR((VALUE(LEFT(TRIM(I156),4))-VALUE(LEFT(TRIM(K156),4)))*12+VALUE(MID(TRIM(I156),6,2))-VALUE(MID(TRIM(K156),6,2)),""))</f>
        <v>6</v>
      </c>
      <c r="M156" s="3" t="str">
        <f>IF(TRIM(H156)="","",IFERROR(LOOKUP(2,1/(ISNUMBER(SEARCH('منطق دسته‌بندی'!$A$2:$A$187,H156))),'منطق دسته‌بندی'!$B$2:$B$187),"سایر (نیازمند بررسی دستی)"))</f>
        <v>نشتی - براکت ریل (تعمیر/آب‌بندی)</v>
      </c>
      <c r="N156" s="3" t="s">
        <v>24</v>
      </c>
      <c r="O156" s="3" t="s">
        <v>25</v>
      </c>
    </row>
    <row r="157" spans="1:15" ht="30" customHeight="1">
      <c r="A157" s="3" t="s">
        <v>686</v>
      </c>
      <c r="B157" s="3" t="s">
        <v>667</v>
      </c>
      <c r="C157" s="3" t="s">
        <v>668</v>
      </c>
      <c r="D157" s="3" t="s">
        <v>43</v>
      </c>
      <c r="E157" s="3" t="s">
        <v>44</v>
      </c>
      <c r="F157" s="3" t="s">
        <v>687</v>
      </c>
      <c r="G157" s="3" t="s">
        <v>688</v>
      </c>
      <c r="H157" s="3" t="s">
        <v>689</v>
      </c>
      <c r="I157" s="3" t="s">
        <v>679</v>
      </c>
      <c r="J157" s="3" t="s">
        <v>690</v>
      </c>
      <c r="K157" s="3" t="s">
        <v>691</v>
      </c>
      <c r="L157" s="4">
        <f>IF(OR(TRIM(I157)="",TRIM(K157)=""),"",IFERROR((VALUE(LEFT(TRIM(I157),4))-VALUE(LEFT(TRIM(K157),4)))*12+VALUE(MID(TRIM(I157),6,2))-VALUE(MID(TRIM(K157),6,2)),""))</f>
        <v>14</v>
      </c>
      <c r="M157" s="3" t="str">
        <f>IF(TRIM(H157)="","",IFERROR(LOOKUP(2,1/(ISNUMBER(SEARCH('منطق دسته‌بندی'!$A$2:$A$187,H157))),'منطق دسته‌بندی'!$B$2:$B$187),"سایر (نیازمند بررسی دستی)"))</f>
        <v>پرچ/بدنه کابین (تعمیر)</v>
      </c>
      <c r="N157" s="3" t="s">
        <v>24</v>
      </c>
      <c r="O157" s="3" t="s">
        <v>25</v>
      </c>
    </row>
    <row r="158" spans="1:15" ht="30" customHeight="1">
      <c r="A158" s="3" t="s">
        <v>692</v>
      </c>
      <c r="B158" s="3" t="s">
        <v>667</v>
      </c>
      <c r="C158" s="3" t="s">
        <v>668</v>
      </c>
      <c r="D158" s="3" t="s">
        <v>1402</v>
      </c>
      <c r="E158" s="3" t="s">
        <v>160</v>
      </c>
      <c r="F158" s="3" t="s">
        <v>693</v>
      </c>
      <c r="G158" s="3" t="s">
        <v>694</v>
      </c>
      <c r="H158" s="3" t="s">
        <v>38</v>
      </c>
      <c r="I158" s="3" t="s">
        <v>695</v>
      </c>
      <c r="J158" s="3" t="s">
        <v>696</v>
      </c>
      <c r="K158" s="3" t="s">
        <v>510</v>
      </c>
      <c r="L158" s="4">
        <f>IF(OR(TRIM(I158)="",TRIM(K158)=""),"",IFERROR((VALUE(LEFT(TRIM(I158),4))-VALUE(LEFT(TRIM(K158),4)))*12+VALUE(MID(TRIM(I158),6,2))-VALUE(MID(TRIM(K158),6,2)),""))</f>
        <v>6</v>
      </c>
      <c r="M158" s="3" t="str">
        <f>IF(TRIM(H158)="","",IFERROR(LOOKUP(2,1/(ISNUMBER(SEARCH('منطق دسته‌بندی'!$A$2:$A$187,H158))),'منطق دسته‌بندی'!$B$2:$B$187),"سایر (نیازمند بررسی دستی)"))</f>
        <v>خرابی - برد الکترونیک (تعویض)</v>
      </c>
      <c r="N158" s="3" t="s">
        <v>41</v>
      </c>
      <c r="O158" s="3" t="s">
        <v>25</v>
      </c>
    </row>
    <row r="159" spans="1:15">
      <c r="A159" s="3" t="s">
        <v>697</v>
      </c>
      <c r="B159" s="3" t="s">
        <v>667</v>
      </c>
      <c r="C159" s="3" t="s">
        <v>668</v>
      </c>
      <c r="D159" s="3" t="s">
        <v>43</v>
      </c>
      <c r="E159" s="3" t="s">
        <v>52</v>
      </c>
      <c r="F159" s="3" t="s">
        <v>698</v>
      </c>
      <c r="G159" s="3" t="s">
        <v>81</v>
      </c>
      <c r="H159" s="3" t="s">
        <v>531</v>
      </c>
      <c r="I159" s="3" t="s">
        <v>695</v>
      </c>
      <c r="J159" s="3" t="s">
        <v>699</v>
      </c>
      <c r="K159" s="3" t="s">
        <v>700</v>
      </c>
      <c r="L159" s="4">
        <f>IF(OR(TRIM(I159)="",TRIM(K159)=""),"",IFERROR((VALUE(LEFT(TRIM(I159),4))-VALUE(LEFT(TRIM(K159),4)))*12+VALUE(MID(TRIM(I159),6,2))-VALUE(MID(TRIM(K159),6,2)),""))</f>
        <v>4</v>
      </c>
      <c r="M159" s="3" t="str">
        <f>IF(TRIM(H159)="","",IFERROR(LOOKUP(2,1/(ISNUMBER(SEARCH('منطق دسته‌بندی'!$A$2:$A$187,H159))),'منطق دسته‌بندی'!$B$2:$B$187),"سایر (نیازمند بررسی دستی)"))</f>
        <v>نشتی - شیلنگ (تعمیر/آب‌بندی)</v>
      </c>
      <c r="N159" s="3" t="s">
        <v>24</v>
      </c>
      <c r="O159" s="3" t="s">
        <v>25</v>
      </c>
    </row>
    <row r="160" spans="1:15" ht="30" customHeight="1">
      <c r="A160" s="3" t="s">
        <v>701</v>
      </c>
      <c r="B160" s="3" t="s">
        <v>667</v>
      </c>
      <c r="C160" s="3" t="s">
        <v>668</v>
      </c>
      <c r="D160" s="3" t="s">
        <v>1402</v>
      </c>
      <c r="E160" s="3" t="s">
        <v>18</v>
      </c>
      <c r="F160" s="3" t="s">
        <v>702</v>
      </c>
      <c r="G160" s="3" t="s">
        <v>703</v>
      </c>
      <c r="H160" s="3" t="s">
        <v>146</v>
      </c>
      <c r="I160" s="3" t="s">
        <v>695</v>
      </c>
      <c r="J160" s="3" t="s">
        <v>704</v>
      </c>
      <c r="K160" s="3" t="s">
        <v>705</v>
      </c>
      <c r="L160" s="4">
        <f>IF(OR(TRIM(I160)="",TRIM(K160)=""),"",IFERROR((VALUE(LEFT(TRIM(I160),4))-VALUE(LEFT(TRIM(K160),4)))*12+VALUE(MID(TRIM(I160),6,2))-VALUE(MID(TRIM(K160),6,2)),""))</f>
        <v>21</v>
      </c>
      <c r="M160" s="3" t="str">
        <f>IF(TRIM(H160)="","",IFERROR(LOOKUP(2,1/(ISNUMBER(SEARCH('منطق دسته‌بندی'!$A$2:$A$187,H160))),'منطق دسته‌بندی'!$B$2:$B$187),"سایر (نیازمند بررسی دستی)"))</f>
        <v>تراز/لرزش - نصب (رگلاژ پایه)</v>
      </c>
      <c r="N160" s="3" t="s">
        <v>165</v>
      </c>
      <c r="O160" s="3" t="s">
        <v>25</v>
      </c>
    </row>
    <row r="161" spans="1:15" ht="30" customHeight="1">
      <c r="A161" s="3" t="s">
        <v>706</v>
      </c>
      <c r="B161" s="3" t="s">
        <v>667</v>
      </c>
      <c r="C161" s="3" t="s">
        <v>668</v>
      </c>
      <c r="D161" s="3" t="s">
        <v>1402</v>
      </c>
      <c r="E161" s="3" t="s">
        <v>18</v>
      </c>
      <c r="F161" s="3" t="s">
        <v>707</v>
      </c>
      <c r="G161" s="3" t="s">
        <v>640</v>
      </c>
      <c r="H161" s="3" t="s">
        <v>235</v>
      </c>
      <c r="I161" s="3" t="s">
        <v>708</v>
      </c>
      <c r="J161" s="3" t="s">
        <v>709</v>
      </c>
      <c r="K161" s="3" t="s">
        <v>710</v>
      </c>
      <c r="L161" s="4">
        <f>IF(OR(TRIM(I161)="",TRIM(K161)=""),"",IFERROR((VALUE(LEFT(TRIM(I161),4))-VALUE(LEFT(TRIM(K161),4)))*12+VALUE(MID(TRIM(I161),6,2))-VALUE(MID(TRIM(K161),6,2)),""))</f>
        <v>-3</v>
      </c>
      <c r="M161" s="3" t="str">
        <f>IF(TRIM(H161)="","",IFERROR(LOOKUP(2,1/(ISNUMBER(SEARCH('منطق دسته‌بندی'!$A$2:$A$187,H161))),'منطق دسته‌بندی'!$B$2:$B$187),"سایر (نیازمند بررسی دستی)"))</f>
        <v>مکانیزم درب - زبانه (تعویض)</v>
      </c>
      <c r="N161" s="3" t="s">
        <v>237</v>
      </c>
      <c r="O161" s="3" t="s">
        <v>25</v>
      </c>
    </row>
    <row r="162" spans="1:15">
      <c r="A162" s="3" t="s">
        <v>711</v>
      </c>
      <c r="B162" s="3" t="s">
        <v>667</v>
      </c>
      <c r="C162" s="3" t="s">
        <v>668</v>
      </c>
      <c r="D162" s="3" t="s">
        <v>43</v>
      </c>
      <c r="E162" s="3" t="s">
        <v>44</v>
      </c>
      <c r="F162" s="3" t="s">
        <v>712</v>
      </c>
      <c r="G162" s="3" t="s">
        <v>123</v>
      </c>
      <c r="H162" s="3" t="s">
        <v>231</v>
      </c>
      <c r="I162" s="3" t="s">
        <v>708</v>
      </c>
      <c r="J162" s="3" t="s">
        <v>671</v>
      </c>
      <c r="K162" s="3" t="s">
        <v>713</v>
      </c>
      <c r="L162" s="4">
        <f>IF(OR(TRIM(I162)="",TRIM(K162)=""),"",IFERROR((VALUE(LEFT(TRIM(I162),4))-VALUE(LEFT(TRIM(K162),4)))*12+VALUE(MID(TRIM(I162),6,2))-VALUE(MID(TRIM(K162),6,2)),""))</f>
        <v>14</v>
      </c>
      <c r="M162" s="3" t="str">
        <f>IF(TRIM(H162)="","",IFERROR(LOOKUP(2,1/(ISNUMBER(SEARCH('منطق دسته‌بندی'!$A$2:$A$187,H162))),'منطق دسته‌بندی'!$B$2:$B$187),"سایر (نیازمند بررسی دستی)"))</f>
        <v>نشتی - پمپ تخلیه (تعمیر/آب‌بندی)</v>
      </c>
      <c r="N162" s="3" t="s">
        <v>233</v>
      </c>
      <c r="O162" s="3" t="s">
        <v>25</v>
      </c>
    </row>
    <row r="163" spans="1:15" ht="30" customHeight="1">
      <c r="A163" s="3" t="s">
        <v>714</v>
      </c>
      <c r="B163" s="3" t="s">
        <v>667</v>
      </c>
      <c r="C163" s="3" t="s">
        <v>668</v>
      </c>
      <c r="D163" s="3" t="s">
        <v>1402</v>
      </c>
      <c r="E163" s="3" t="s">
        <v>18</v>
      </c>
      <c r="F163" s="3" t="s">
        <v>715</v>
      </c>
      <c r="G163" s="3" t="s">
        <v>103</v>
      </c>
      <c r="H163" s="3" t="s">
        <v>716</v>
      </c>
      <c r="I163" s="3" t="s">
        <v>717</v>
      </c>
      <c r="J163" s="3" t="s">
        <v>484</v>
      </c>
      <c r="K163" s="3" t="s">
        <v>718</v>
      </c>
      <c r="L163" s="4">
        <f>IF(OR(TRIM(I163)="",TRIM(K163)=""),"",IFERROR((VALUE(LEFT(TRIM(I163),4))-VALUE(LEFT(TRIM(K163),4)))*12+VALUE(MID(TRIM(I163),6,2))-VALUE(MID(TRIM(K163),6,2)),""))</f>
        <v>8</v>
      </c>
      <c r="M163" s="3" t="str">
        <f>IF(TRIM(H163)="","",IFERROR(LOOKUP(2,1/(ISNUMBER(SEARCH('منطق دسته‌بندی'!$A$2:$A$187,H163))),'منطق دسته‌بندی'!$B$2:$B$187),"سایر (نیازمند بررسی دستی)"))</f>
        <v>سیم‌کشی/اتصالات (تعویض/بازبینی)</v>
      </c>
      <c r="N163" s="3" t="s">
        <v>24</v>
      </c>
      <c r="O163" s="3" t="s">
        <v>25</v>
      </c>
    </row>
    <row r="164" spans="1:15">
      <c r="A164" s="3" t="s">
        <v>719</v>
      </c>
      <c r="B164" s="3" t="s">
        <v>667</v>
      </c>
      <c r="C164" s="3" t="s">
        <v>668</v>
      </c>
      <c r="D164" s="3" t="s">
        <v>108</v>
      </c>
      <c r="E164" s="3" t="s">
        <v>391</v>
      </c>
      <c r="F164" s="3" t="s">
        <v>392</v>
      </c>
      <c r="G164" s="3" t="s">
        <v>720</v>
      </c>
      <c r="H164" s="3" t="s">
        <v>721</v>
      </c>
      <c r="I164" s="3" t="s">
        <v>722</v>
      </c>
      <c r="J164" s="3" t="s">
        <v>395</v>
      </c>
      <c r="K164" s="3" t="s">
        <v>396</v>
      </c>
      <c r="L164" s="4">
        <f>IF(OR(TRIM(I164)="",TRIM(K164)=""),"",IFERROR((VALUE(LEFT(TRIM(I164),4))-VALUE(LEFT(TRIM(K164),4)))*12+VALUE(MID(TRIM(I164),6,2))-VALUE(MID(TRIM(K164),6,2)),""))</f>
        <v>9</v>
      </c>
      <c r="M164" s="3" t="str">
        <f>IF(TRIM(H164)="","",IFERROR(LOOKUP(2,1/(ISNUMBER(SEARCH('منطق دسته‌بندی'!$A$2:$A$187,H164))),'منطق دسته‌بندی'!$B$2:$B$187),"سایر (نیازمند بررسی دستی)"))</f>
        <v>نشتی آب - محل نامشخص (نیازمند بازدید)</v>
      </c>
      <c r="N164" s="3" t="s">
        <v>24</v>
      </c>
      <c r="O164" s="3" t="s">
        <v>78</v>
      </c>
    </row>
    <row r="165" spans="1:15" ht="30" customHeight="1">
      <c r="A165" s="3" t="s">
        <v>723</v>
      </c>
      <c r="B165" s="3" t="s">
        <v>667</v>
      </c>
      <c r="C165" s="3" t="s">
        <v>668</v>
      </c>
      <c r="D165" s="3" t="s">
        <v>1402</v>
      </c>
      <c r="E165" s="3" t="s">
        <v>35</v>
      </c>
      <c r="F165" s="3" t="s">
        <v>724</v>
      </c>
      <c r="G165" s="3" t="s">
        <v>725</v>
      </c>
      <c r="H165" s="3" t="s">
        <v>146</v>
      </c>
      <c r="I165" s="3" t="s">
        <v>726</v>
      </c>
      <c r="J165" s="3" t="s">
        <v>607</v>
      </c>
      <c r="K165" s="3" t="s">
        <v>727</v>
      </c>
      <c r="L165" s="4">
        <f>IF(OR(TRIM(I165)="",TRIM(K165)=""),"",IFERROR((VALUE(LEFT(TRIM(I165),4))-VALUE(LEFT(TRIM(K165),4)))*12+VALUE(MID(TRIM(I165),6,2))-VALUE(MID(TRIM(K165),6,2)),""))</f>
        <v>11</v>
      </c>
      <c r="M165" s="3" t="str">
        <f>IF(TRIM(H165)="","",IFERROR(LOOKUP(2,1/(ISNUMBER(SEARCH('منطق دسته‌بندی'!$A$2:$A$187,H165))),'منطق دسته‌بندی'!$B$2:$B$187),"سایر (نیازمند بررسی دستی)"))</f>
        <v>تراز/لرزش - نصب (رگلاژ پایه)</v>
      </c>
      <c r="N165" s="3" t="s">
        <v>165</v>
      </c>
      <c r="O165" s="3" t="s">
        <v>25</v>
      </c>
    </row>
    <row r="166" spans="1:15" ht="30" customHeight="1">
      <c r="A166" s="3" t="s">
        <v>728</v>
      </c>
      <c r="B166" s="3" t="s">
        <v>667</v>
      </c>
      <c r="C166" s="3" t="s">
        <v>668</v>
      </c>
      <c r="D166" s="3" t="s">
        <v>43</v>
      </c>
      <c r="E166" s="3" t="s">
        <v>44</v>
      </c>
      <c r="F166" s="3" t="s">
        <v>729</v>
      </c>
      <c r="G166" s="3" t="s">
        <v>480</v>
      </c>
      <c r="H166" s="3" t="s">
        <v>231</v>
      </c>
      <c r="I166" s="3" t="s">
        <v>726</v>
      </c>
      <c r="J166" s="3" t="s">
        <v>316</v>
      </c>
      <c r="K166" s="3" t="s">
        <v>730</v>
      </c>
      <c r="L166" s="4">
        <f>IF(OR(TRIM(I166)="",TRIM(K166)=""),"",IFERROR((VALUE(LEFT(TRIM(I166),4))-VALUE(LEFT(TRIM(K166),4)))*12+VALUE(MID(TRIM(I166),6,2))-VALUE(MID(TRIM(K166),6,2)),""))</f>
        <v>5</v>
      </c>
      <c r="M166" s="3" t="str">
        <f>IF(TRIM(H166)="","",IFERROR(LOOKUP(2,1/(ISNUMBER(SEARCH('منطق دسته‌بندی'!$A$2:$A$187,H166))),'منطق دسته‌بندی'!$B$2:$B$187),"سایر (نیازمند بررسی دستی)"))</f>
        <v>نشتی - پمپ تخلیه (تعمیر/آب‌بندی)</v>
      </c>
      <c r="N166" s="3" t="s">
        <v>233</v>
      </c>
      <c r="O166" s="3" t="s">
        <v>25</v>
      </c>
    </row>
    <row r="167" spans="1:15" ht="30" customHeight="1">
      <c r="A167" s="3" t="s">
        <v>731</v>
      </c>
      <c r="B167" s="3" t="s">
        <v>667</v>
      </c>
      <c r="C167" s="3" t="s">
        <v>668</v>
      </c>
      <c r="D167" s="3" t="s">
        <v>59</v>
      </c>
      <c r="E167" s="3" t="s">
        <v>249</v>
      </c>
      <c r="F167" s="3" t="s">
        <v>732</v>
      </c>
      <c r="G167" s="3" t="s">
        <v>733</v>
      </c>
      <c r="H167" s="3" t="s">
        <v>734</v>
      </c>
      <c r="I167" s="3" t="s">
        <v>735</v>
      </c>
      <c r="J167" s="3" t="s">
        <v>539</v>
      </c>
      <c r="K167" s="3" t="s">
        <v>182</v>
      </c>
      <c r="L167" s="4">
        <f>IF(OR(TRIM(I167)="",TRIM(K167)=""),"",IFERROR((VALUE(LEFT(TRIM(I167),4))-VALUE(LEFT(TRIM(K167),4)))*12+VALUE(MID(TRIM(I167),6,2))-VALUE(MID(TRIM(K167),6,2)),""))</f>
        <v>2</v>
      </c>
      <c r="M167" s="3" t="str">
        <f>IF(TRIM(H167)="","",IFERROR(LOOKUP(2,1/(ISNUMBER(SEARCH('منطق دسته‌بندی'!$A$2:$A$187,H167))),'منطق دسته‌بندی'!$B$2:$B$187),"سایر (نیازمند بررسی دستی)"))</f>
        <v>خرابی - برد الکترونیک (تعویض)</v>
      </c>
      <c r="N167" s="3" t="s">
        <v>196</v>
      </c>
      <c r="O167" s="3" t="s">
        <v>25</v>
      </c>
    </row>
    <row r="168" spans="1:15" ht="30" customHeight="1">
      <c r="A168" s="3" t="s">
        <v>736</v>
      </c>
      <c r="B168" s="3" t="s">
        <v>667</v>
      </c>
      <c r="C168" s="3" t="s">
        <v>668</v>
      </c>
      <c r="D168" s="3" t="s">
        <v>1402</v>
      </c>
      <c r="E168" s="3" t="s">
        <v>143</v>
      </c>
      <c r="F168" s="3" t="s">
        <v>737</v>
      </c>
      <c r="G168" s="3" t="s">
        <v>568</v>
      </c>
      <c r="H168" s="3" t="s">
        <v>369</v>
      </c>
      <c r="I168" s="3" t="s">
        <v>735</v>
      </c>
      <c r="J168" s="3" t="s">
        <v>738</v>
      </c>
      <c r="K168" s="3" t="s">
        <v>247</v>
      </c>
      <c r="L168" s="4">
        <f>IF(OR(TRIM(I168)="",TRIM(K168)=""),"",IFERROR((VALUE(LEFT(TRIM(I168),4))-VALUE(LEFT(TRIM(K168),4)))*12+VALUE(MID(TRIM(I168),6,2))-VALUE(MID(TRIM(K168),6,2)),""))</f>
        <v>11</v>
      </c>
      <c r="M168" s="3" t="str">
        <f>IF(TRIM(H168)="","",IFERROR(LOOKUP(2,1/(ISNUMBER(SEARCH('منطق دسته‌بندی'!$A$2:$A$187,H168))),'منطق دسته‌بندی'!$B$2:$B$187),"سایر (نیازمند بررسی دستی)"))</f>
        <v>لاستیک درزگیر - دفرمگی/پارگی (تعویض)</v>
      </c>
      <c r="N168" s="3" t="s">
        <v>371</v>
      </c>
      <c r="O168" s="3" t="s">
        <v>25</v>
      </c>
    </row>
    <row r="169" spans="1:15">
      <c r="A169" s="3" t="s">
        <v>739</v>
      </c>
      <c r="B169" s="3" t="s">
        <v>667</v>
      </c>
      <c r="C169" s="3" t="s">
        <v>668</v>
      </c>
      <c r="D169" s="3" t="s">
        <v>43</v>
      </c>
      <c r="E169" s="3" t="s">
        <v>44</v>
      </c>
      <c r="F169" s="3" t="s">
        <v>740</v>
      </c>
      <c r="G169" s="3" t="s">
        <v>81</v>
      </c>
      <c r="H169" s="3" t="s">
        <v>515</v>
      </c>
      <c r="I169" s="3" t="s">
        <v>735</v>
      </c>
      <c r="J169" s="3" t="s">
        <v>588</v>
      </c>
      <c r="K169" s="3" t="s">
        <v>741</v>
      </c>
      <c r="L169" s="4">
        <f>IF(OR(TRIM(I169)="",TRIM(K169)=""),"",IFERROR((VALUE(LEFT(TRIM(I169),4))-VALUE(LEFT(TRIM(K169),4)))*12+VALUE(MID(TRIM(I169),6,2))-VALUE(MID(TRIM(K169),6,2)),""))</f>
        <v>5</v>
      </c>
      <c r="M169" s="3" t="str">
        <f>IF(TRIM(H169)="","",IFERROR(LOOKUP(2,1/(ISNUMBER(SEARCH('منطق دسته‌بندی'!$A$2:$A$187,H169))),'منطق دسته‌بندی'!$B$2:$B$187),"سایر (نیازمند بررسی دستی)"))</f>
        <v>نشتی - شیلنگ (تعمیر/آب‌بندی)</v>
      </c>
      <c r="N169" s="3" t="s">
        <v>24</v>
      </c>
      <c r="O169" s="3" t="s">
        <v>25</v>
      </c>
    </row>
    <row r="170" spans="1:15" ht="30" customHeight="1">
      <c r="A170" s="3" t="s">
        <v>742</v>
      </c>
      <c r="B170" s="3" t="s">
        <v>667</v>
      </c>
      <c r="C170" s="3" t="s">
        <v>668</v>
      </c>
      <c r="D170" s="3" t="s">
        <v>108</v>
      </c>
      <c r="E170" s="3" t="s">
        <v>487</v>
      </c>
      <c r="F170" s="3" t="s">
        <v>743</v>
      </c>
      <c r="G170" s="3" t="s">
        <v>393</v>
      </c>
      <c r="H170" s="3" t="s">
        <v>744</v>
      </c>
      <c r="I170" s="3" t="s">
        <v>745</v>
      </c>
      <c r="J170" s="3" t="s">
        <v>746</v>
      </c>
      <c r="K170" s="3" t="s">
        <v>382</v>
      </c>
      <c r="L170" s="4">
        <f>IF(OR(TRIM(I170)="",TRIM(K170)=""),"",IFERROR((VALUE(LEFT(TRIM(I170),4))-VALUE(LEFT(TRIM(K170),4)))*12+VALUE(MID(TRIM(I170),6,2))-VALUE(MID(TRIM(K170),6,2)),""))</f>
        <v>1</v>
      </c>
      <c r="M170" s="3" t="str">
        <f>IF(TRIM(H170)="","",IFERROR(LOOKUP(2,1/(ISNUMBER(SEARCH('منطق دسته‌بندی'!$A$2:$A$187,H170))),'منطق دسته‌بندی'!$B$2:$B$187),"سایر (نیازمند بررسی دستی)"))</f>
        <v>تنظیم ترموستات (تعمیر/تنظیم)</v>
      </c>
      <c r="N170" s="3" t="s">
        <v>397</v>
      </c>
      <c r="O170" s="3" t="s">
        <v>25</v>
      </c>
    </row>
    <row r="171" spans="1:15">
      <c r="A171" s="3" t="s">
        <v>747</v>
      </c>
      <c r="B171" s="3" t="s">
        <v>667</v>
      </c>
      <c r="C171" s="3" t="s">
        <v>668</v>
      </c>
      <c r="D171" s="3" t="s">
        <v>1402</v>
      </c>
      <c r="E171" s="3" t="s">
        <v>35</v>
      </c>
      <c r="F171" s="3" t="s">
        <v>748</v>
      </c>
      <c r="G171" s="3" t="s">
        <v>749</v>
      </c>
      <c r="H171" s="3" t="s">
        <v>515</v>
      </c>
      <c r="I171" s="3" t="s">
        <v>745</v>
      </c>
      <c r="J171" s="3" t="s">
        <v>750</v>
      </c>
      <c r="K171" s="3" t="s">
        <v>751</v>
      </c>
      <c r="L171" s="4">
        <f>IF(OR(TRIM(I171)="",TRIM(K171)=""),"",IFERROR((VALUE(LEFT(TRIM(I171),4))-VALUE(LEFT(TRIM(K171),4)))*12+VALUE(MID(TRIM(I171),6,2))-VALUE(MID(TRIM(K171),6,2)),""))</f>
        <v>15</v>
      </c>
      <c r="M171" s="3" t="str">
        <f>IF(TRIM(H171)="","",IFERROR(LOOKUP(2,1/(ISNUMBER(SEARCH('منطق دسته‌بندی'!$A$2:$A$187,H171))),'منطق دسته‌بندی'!$B$2:$B$187),"سایر (نیازمند بررسی دستی)"))</f>
        <v>نشتی - شیلنگ (تعمیر/آب‌بندی)</v>
      </c>
      <c r="N171" s="3" t="s">
        <v>24</v>
      </c>
      <c r="O171" s="3" t="s">
        <v>25</v>
      </c>
    </row>
    <row r="172" spans="1:15" ht="30" customHeight="1">
      <c r="A172" s="3" t="s">
        <v>752</v>
      </c>
      <c r="B172" s="3" t="s">
        <v>667</v>
      </c>
      <c r="C172" s="3" t="s">
        <v>668</v>
      </c>
      <c r="D172" s="3" t="s">
        <v>127</v>
      </c>
      <c r="E172" s="3" t="s">
        <v>128</v>
      </c>
      <c r="F172" s="3" t="s">
        <v>753</v>
      </c>
      <c r="G172" s="3" t="s">
        <v>214</v>
      </c>
      <c r="H172" s="3" t="s">
        <v>754</v>
      </c>
      <c r="I172" s="3" t="s">
        <v>745</v>
      </c>
      <c r="J172" s="3" t="s">
        <v>415</v>
      </c>
      <c r="K172" s="3" t="s">
        <v>460</v>
      </c>
      <c r="L172" s="4">
        <f>IF(OR(TRIM(I172)="",TRIM(K172)=""),"",IFERROR((VALUE(LEFT(TRIM(I172),4))-VALUE(LEFT(TRIM(K172),4)))*12+VALUE(MID(TRIM(I172),6,2))-VALUE(MID(TRIM(K172),6,2)),""))</f>
        <v>1</v>
      </c>
      <c r="M172" s="3" t="str">
        <f>IF(TRIM(H172)="","",IFERROR(LOOKUP(2,1/(ISNUMBER(SEARCH('منطق دسته‌بندی'!$A$2:$A$187,H172))),'منطق دسته‌بندی'!$B$2:$B$187),"سایر (نیازمند بررسی دستی)"))</f>
        <v>یخساز - تنظیم/عایق (تعمیر)</v>
      </c>
      <c r="N172" s="3" t="s">
        <v>24</v>
      </c>
      <c r="O172" s="3" t="s">
        <v>25</v>
      </c>
    </row>
    <row r="173" spans="1:15" ht="30" customHeight="1">
      <c r="A173" s="3" t="s">
        <v>755</v>
      </c>
      <c r="B173" s="3" t="s">
        <v>667</v>
      </c>
      <c r="C173" s="3" t="s">
        <v>668</v>
      </c>
      <c r="D173" s="3" t="s">
        <v>43</v>
      </c>
      <c r="E173" s="3" t="s">
        <v>52</v>
      </c>
      <c r="F173" s="3" t="s">
        <v>756</v>
      </c>
      <c r="G173" s="3" t="s">
        <v>688</v>
      </c>
      <c r="H173" s="3" t="s">
        <v>365</v>
      </c>
      <c r="I173" s="3" t="s">
        <v>745</v>
      </c>
      <c r="J173" s="3" t="s">
        <v>757</v>
      </c>
      <c r="K173" s="3" t="s">
        <v>758</v>
      </c>
      <c r="L173" s="4">
        <f>IF(OR(TRIM(I173)="",TRIM(K173)=""),"",IFERROR((VALUE(LEFT(TRIM(I173),4))-VALUE(LEFT(TRIM(K173),4)))*12+VALUE(MID(TRIM(I173),6,2))-VALUE(MID(TRIM(K173),6,2)),""))</f>
        <v>12</v>
      </c>
      <c r="M173" s="3" t="str">
        <f>IF(TRIM(H173)="","",IFERROR(LOOKUP(2,1/(ISNUMBER(SEARCH('منطق دسته‌بندی'!$A$2:$A$187,H173))),'منطق دسته‌بندی'!$B$2:$B$187),"سایر (نیازمند بررسی دستی)"))</f>
        <v>نشتی - شیلنگ (تعمیر/آب‌بندی)</v>
      </c>
      <c r="N173" s="3" t="s">
        <v>24</v>
      </c>
      <c r="O173" s="3" t="s">
        <v>25</v>
      </c>
    </row>
    <row r="174" spans="1:15" ht="30" customHeight="1">
      <c r="A174" s="3" t="s">
        <v>759</v>
      </c>
      <c r="B174" s="3" t="s">
        <v>667</v>
      </c>
      <c r="C174" s="3" t="s">
        <v>668</v>
      </c>
      <c r="D174" s="3" t="s">
        <v>59</v>
      </c>
      <c r="E174" s="3" t="s">
        <v>60</v>
      </c>
      <c r="F174" s="3" t="s">
        <v>760</v>
      </c>
      <c r="G174" s="3" t="s">
        <v>761</v>
      </c>
      <c r="H174" s="3" t="s">
        <v>762</v>
      </c>
      <c r="I174" s="3" t="s">
        <v>602</v>
      </c>
      <c r="J174" s="3" t="s">
        <v>763</v>
      </c>
      <c r="K174" s="3" t="s">
        <v>576</v>
      </c>
      <c r="L174" s="4">
        <f>IF(OR(TRIM(I174)="",TRIM(K174)=""),"",IFERROR((VALUE(LEFT(TRIM(I174),4))-VALUE(LEFT(TRIM(K174),4)))*12+VALUE(MID(TRIM(I174),6,2))-VALUE(MID(TRIM(K174),6,2)),""))</f>
        <v>14</v>
      </c>
      <c r="M174" s="3" t="str">
        <f>IF(TRIM(H174)="","",IFERROR(LOOKUP(2,1/(ISNUMBER(SEARCH('منطق دسته‌بندی'!$A$2:$A$187,H174))),'منطق دسته‌بندی'!$B$2:$B$187),"سایر (نیازمند بررسی دستی)"))</f>
        <v>خرابی - برد الکترونیک (تعویض)</v>
      </c>
      <c r="N174" s="3" t="s">
        <v>196</v>
      </c>
      <c r="O174" s="3" t="s">
        <v>25</v>
      </c>
    </row>
    <row r="175" spans="1:15" ht="30" customHeight="1">
      <c r="A175" s="3" t="s">
        <v>764</v>
      </c>
      <c r="B175" s="3" t="s">
        <v>667</v>
      </c>
      <c r="C175" s="3" t="s">
        <v>668</v>
      </c>
      <c r="D175" s="3" t="s">
        <v>1402</v>
      </c>
      <c r="E175" s="3" t="s">
        <v>160</v>
      </c>
      <c r="F175" s="3" t="s">
        <v>765</v>
      </c>
      <c r="G175" s="3" t="s">
        <v>224</v>
      </c>
      <c r="H175" s="3" t="s">
        <v>146</v>
      </c>
      <c r="I175" s="3" t="s">
        <v>602</v>
      </c>
      <c r="J175" s="3" t="s">
        <v>766</v>
      </c>
      <c r="K175" s="3" t="s">
        <v>147</v>
      </c>
      <c r="L175" s="4">
        <f>IF(OR(TRIM(I175)="",TRIM(K175)=""),"",IFERROR((VALUE(LEFT(TRIM(I175),4))-VALUE(LEFT(TRIM(K175),4)))*12+VALUE(MID(TRIM(I175),6,2))-VALUE(MID(TRIM(K175),6,2)),""))</f>
        <v>12</v>
      </c>
      <c r="M175" s="3" t="str">
        <f>IF(TRIM(H175)="","",IFERROR(LOOKUP(2,1/(ISNUMBER(SEARCH('منطق دسته‌بندی'!$A$2:$A$187,H175))),'منطق دسته‌بندی'!$B$2:$B$187),"سایر (نیازمند بررسی دستی)"))</f>
        <v>تراز/لرزش - نصب (رگلاژ پایه)</v>
      </c>
      <c r="N175" s="3" t="s">
        <v>165</v>
      </c>
      <c r="O175" s="3" t="s">
        <v>25</v>
      </c>
    </row>
    <row r="176" spans="1:15" ht="30" customHeight="1">
      <c r="A176" s="3" t="s">
        <v>767</v>
      </c>
      <c r="B176" s="3" t="s">
        <v>667</v>
      </c>
      <c r="C176" s="3" t="s">
        <v>668</v>
      </c>
      <c r="D176" s="3" t="s">
        <v>1402</v>
      </c>
      <c r="E176" s="3" t="s">
        <v>143</v>
      </c>
      <c r="F176" s="3" t="s">
        <v>768</v>
      </c>
      <c r="G176" s="3" t="s">
        <v>224</v>
      </c>
      <c r="H176" s="3" t="s">
        <v>146</v>
      </c>
      <c r="I176" s="3" t="s">
        <v>602</v>
      </c>
      <c r="J176" s="3" t="s">
        <v>400</v>
      </c>
      <c r="K176" s="3" t="s">
        <v>137</v>
      </c>
      <c r="L176" s="4">
        <f>IF(OR(TRIM(I176)="",TRIM(K176)=""),"",IFERROR((VALUE(LEFT(TRIM(I176),4))-VALUE(LEFT(TRIM(K176),4)))*12+VALUE(MID(TRIM(I176),6,2))-VALUE(MID(TRIM(K176),6,2)),""))</f>
        <v>8</v>
      </c>
      <c r="M176" s="3" t="str">
        <f>IF(TRIM(H176)="","",IFERROR(LOOKUP(2,1/(ISNUMBER(SEARCH('منطق دسته‌بندی'!$A$2:$A$187,H176))),'منطق دسته‌بندی'!$B$2:$B$187),"سایر (نیازمند بررسی دستی)"))</f>
        <v>تراز/لرزش - نصب (رگلاژ پایه)</v>
      </c>
      <c r="N176" s="3" t="s">
        <v>165</v>
      </c>
      <c r="O176" s="3" t="s">
        <v>25</v>
      </c>
    </row>
    <row r="177" spans="1:15" ht="30" customHeight="1">
      <c r="A177" s="3" t="s">
        <v>769</v>
      </c>
      <c r="B177" s="3" t="s">
        <v>667</v>
      </c>
      <c r="C177" s="3" t="s">
        <v>668</v>
      </c>
      <c r="D177" s="3" t="s">
        <v>43</v>
      </c>
      <c r="E177" s="3" t="s">
        <v>44</v>
      </c>
      <c r="F177" s="3" t="s">
        <v>770</v>
      </c>
      <c r="G177" s="3" t="s">
        <v>640</v>
      </c>
      <c r="H177" s="3" t="s">
        <v>69</v>
      </c>
      <c r="I177" s="3" t="s">
        <v>602</v>
      </c>
      <c r="J177" s="3" t="s">
        <v>771</v>
      </c>
      <c r="K177" s="3" t="s">
        <v>772</v>
      </c>
      <c r="L177" s="4">
        <f>IF(OR(TRIM(I177)="",TRIM(K177)=""),"",IFERROR((VALUE(LEFT(TRIM(I177),4))-VALUE(LEFT(TRIM(K177),4)))*12+VALUE(MID(TRIM(I177),6,2))-VALUE(MID(TRIM(K177),6,2)),""))</f>
        <v>0</v>
      </c>
      <c r="M177" s="3" t="str">
        <f>IF(TRIM(H177)="","",IFERROR(LOOKUP(2,1/(ISNUMBER(SEARCH('منطق دسته‌بندی'!$A$2:$A$187,H177))),'منطق دسته‌بندی'!$B$2:$B$187),"سایر (نیازمند بررسی دستی)"))</f>
        <v>مکانیزم درب - میکروسوئیچ/قلاب (تعویض/تنظیم)</v>
      </c>
      <c r="N177" s="3" t="s">
        <v>77</v>
      </c>
      <c r="O177" s="3" t="s">
        <v>25</v>
      </c>
    </row>
    <row r="178" spans="1:15">
      <c r="A178" s="3" t="s">
        <v>773</v>
      </c>
      <c r="B178" s="3" t="s">
        <v>667</v>
      </c>
      <c r="C178" s="3" t="s">
        <v>668</v>
      </c>
      <c r="D178" s="3" t="s">
        <v>43</v>
      </c>
      <c r="E178" s="3" t="s">
        <v>44</v>
      </c>
      <c r="F178" s="3" t="s">
        <v>774</v>
      </c>
      <c r="G178" s="3" t="s">
        <v>202</v>
      </c>
      <c r="H178" s="3" t="s">
        <v>515</v>
      </c>
      <c r="I178" s="3" t="s">
        <v>775</v>
      </c>
      <c r="J178" s="3" t="s">
        <v>776</v>
      </c>
      <c r="K178" s="3" t="s">
        <v>777</v>
      </c>
      <c r="L178" s="4">
        <f>IF(OR(TRIM(I178)="",TRIM(K178)=""),"",IFERROR((VALUE(LEFT(TRIM(I178),4))-VALUE(LEFT(TRIM(K178),4)))*12+VALUE(MID(TRIM(I178),6,2))-VALUE(MID(TRIM(K178),6,2)),""))</f>
        <v>5</v>
      </c>
      <c r="M178" s="3" t="str">
        <f>IF(TRIM(H178)="","",IFERROR(LOOKUP(2,1/(ISNUMBER(SEARCH('منطق دسته‌بندی'!$A$2:$A$187,H178))),'منطق دسته‌بندی'!$B$2:$B$187),"سایر (نیازمند بررسی دستی)"))</f>
        <v>نشتی - شیلنگ (تعمیر/آب‌بندی)</v>
      </c>
      <c r="N178" s="3" t="s">
        <v>24</v>
      </c>
      <c r="O178" s="3" t="s">
        <v>25</v>
      </c>
    </row>
    <row r="179" spans="1:15" ht="30" customHeight="1">
      <c r="A179" s="3" t="s">
        <v>778</v>
      </c>
      <c r="B179" s="3" t="s">
        <v>667</v>
      </c>
      <c r="C179" s="3" t="s">
        <v>668</v>
      </c>
      <c r="D179" s="3" t="s">
        <v>1402</v>
      </c>
      <c r="E179" s="3" t="s">
        <v>143</v>
      </c>
      <c r="F179" s="3" t="s">
        <v>779</v>
      </c>
      <c r="G179" s="3" t="s">
        <v>694</v>
      </c>
      <c r="H179" s="3" t="s">
        <v>780</v>
      </c>
      <c r="I179" s="3" t="s">
        <v>775</v>
      </c>
      <c r="J179" s="3" t="s">
        <v>781</v>
      </c>
      <c r="K179" s="3" t="s">
        <v>782</v>
      </c>
      <c r="L179" s="4">
        <f>IF(OR(TRIM(I179)="",TRIM(K179)=""),"",IFERROR((VALUE(LEFT(TRIM(I179),4))-VALUE(LEFT(TRIM(K179),4)))*12+VALUE(MID(TRIM(I179),6,2))-VALUE(MID(TRIM(K179),6,2)),""))</f>
        <v>8</v>
      </c>
      <c r="M179" s="3" t="str">
        <f>IF(TRIM(H179)="","",IFERROR(LOOKUP(2,1/(ISNUMBER(SEARCH('منطق دسته‌بندی'!$A$2:$A$187,H179))),'منطق دسته‌بندی'!$B$2:$B$187),"سایر (نیازمند بررسی دستی)"))</f>
        <v>خرابی - برد الکترونیک (تعویض)</v>
      </c>
      <c r="N179" s="3" t="s">
        <v>41</v>
      </c>
      <c r="O179" s="3" t="s">
        <v>25</v>
      </c>
    </row>
    <row r="180" spans="1:15" ht="30" customHeight="1">
      <c r="A180" s="3" t="s">
        <v>783</v>
      </c>
      <c r="B180" s="3" t="s">
        <v>667</v>
      </c>
      <c r="C180" s="3" t="s">
        <v>668</v>
      </c>
      <c r="D180" s="3" t="s">
        <v>127</v>
      </c>
      <c r="E180" s="3" t="s">
        <v>128</v>
      </c>
      <c r="F180" s="3" t="s">
        <v>784</v>
      </c>
      <c r="G180" s="3" t="s">
        <v>785</v>
      </c>
      <c r="H180" s="3" t="s">
        <v>786</v>
      </c>
      <c r="I180" s="3" t="s">
        <v>787</v>
      </c>
      <c r="J180" s="3" t="s">
        <v>788</v>
      </c>
      <c r="K180" s="3" t="s">
        <v>559</v>
      </c>
      <c r="L180" s="4">
        <f>IF(OR(TRIM(I180)="",TRIM(K180)=""),"",IFERROR((VALUE(LEFT(TRIM(I180),4))-VALUE(LEFT(TRIM(K180),4)))*12+VALUE(MID(TRIM(I180),6,2))-VALUE(MID(TRIM(K180),6,2)),""))</f>
        <v>19</v>
      </c>
      <c r="M180" s="3" t="str">
        <f>IF(TRIM(H180)="","",IFERROR(LOOKUP(2,1/(ISNUMBER(SEARCH('منطق دسته‌بندی'!$A$2:$A$187,H180))),'منطق دسته‌بندی'!$B$2:$B$187),"سایر (نیازمند بررسی دستی)"))</f>
        <v>آرام‌بند درب (تعویض)</v>
      </c>
      <c r="N180" s="3" t="s">
        <v>789</v>
      </c>
      <c r="O180" s="3" t="s">
        <v>25</v>
      </c>
    </row>
    <row r="181" spans="1:15" ht="30" customHeight="1">
      <c r="A181" s="3" t="s">
        <v>790</v>
      </c>
      <c r="B181" s="3" t="s">
        <v>667</v>
      </c>
      <c r="C181" s="3" t="s">
        <v>668</v>
      </c>
      <c r="D181" s="3" t="s">
        <v>108</v>
      </c>
      <c r="E181" s="3" t="s">
        <v>391</v>
      </c>
      <c r="F181" s="3" t="s">
        <v>628</v>
      </c>
      <c r="G181" s="3" t="s">
        <v>791</v>
      </c>
      <c r="H181" s="3" t="s">
        <v>792</v>
      </c>
      <c r="I181" s="3" t="s">
        <v>787</v>
      </c>
      <c r="J181" s="3" t="s">
        <v>631</v>
      </c>
      <c r="K181" s="3" t="s">
        <v>632</v>
      </c>
      <c r="L181" s="4">
        <f>IF(OR(TRIM(I181)="",TRIM(K181)=""),"",IFERROR((VALUE(LEFT(TRIM(I181),4))-VALUE(LEFT(TRIM(K181),4)))*12+VALUE(MID(TRIM(I181),6,2))-VALUE(MID(TRIM(K181),6,2)),""))</f>
        <v>6</v>
      </c>
      <c r="M181" s="3" t="str">
        <f>IF(TRIM(H181)="","",IFERROR(LOOKUP(2,1/(ISNUMBER(SEARCH('منطق دسته‌بندی'!$A$2:$A$187,H181))),'منطق دسته‌بندی'!$B$2:$B$187),"سایر (نیازمند بررسی دستی)"))</f>
        <v>خرابی - لامپ/LED داخلی (تعویض)</v>
      </c>
      <c r="N181" s="3" t="s">
        <v>633</v>
      </c>
      <c r="O181" s="3" t="s">
        <v>78</v>
      </c>
    </row>
    <row r="182" spans="1:15" ht="30" customHeight="1">
      <c r="A182" s="3" t="s">
        <v>793</v>
      </c>
      <c r="B182" s="3" t="s">
        <v>667</v>
      </c>
      <c r="C182" s="3" t="s">
        <v>668</v>
      </c>
      <c r="D182" s="3" t="s">
        <v>1402</v>
      </c>
      <c r="E182" s="3" t="s">
        <v>143</v>
      </c>
      <c r="F182" s="3" t="s">
        <v>794</v>
      </c>
      <c r="G182" s="3" t="s">
        <v>795</v>
      </c>
      <c r="H182" s="3" t="s">
        <v>88</v>
      </c>
      <c r="I182" s="3" t="s">
        <v>796</v>
      </c>
      <c r="J182" s="3" t="s">
        <v>797</v>
      </c>
      <c r="K182" s="3" t="s">
        <v>798</v>
      </c>
      <c r="L182" s="4">
        <f>IF(OR(TRIM(I182)="",TRIM(K182)=""),"",IFERROR((VALUE(LEFT(TRIM(I182),4))-VALUE(LEFT(TRIM(K182),4)))*12+VALUE(MID(TRIM(I182),6,2))-VALUE(MID(TRIM(K182),6,2)),""))</f>
        <v>8</v>
      </c>
      <c r="M182" s="3" t="str">
        <f>IF(TRIM(H182)="","",IFERROR(LOOKUP(2,1/(ISNUMBER(SEARCH('منطق دسته‌بندی'!$A$2:$A$187,H182))),'منطق دسته‌بندی'!$B$2:$B$187),"سایر (نیازمند بررسی دستی)"))</f>
        <v>لاستیک درزگیر - دفرمگی/پارگی (تعویض)</v>
      </c>
      <c r="N182" s="3" t="s">
        <v>24</v>
      </c>
      <c r="O182" s="3" t="s">
        <v>25</v>
      </c>
    </row>
    <row r="183" spans="1:15" ht="30" customHeight="1">
      <c r="A183" s="3" t="s">
        <v>799</v>
      </c>
      <c r="B183" s="3" t="s">
        <v>667</v>
      </c>
      <c r="C183" s="3" t="s">
        <v>668</v>
      </c>
      <c r="D183" s="3" t="s">
        <v>43</v>
      </c>
      <c r="E183" s="3" t="s">
        <v>44</v>
      </c>
      <c r="F183" s="3" t="s">
        <v>800</v>
      </c>
      <c r="G183" s="3" t="s">
        <v>103</v>
      </c>
      <c r="H183" s="3" t="s">
        <v>290</v>
      </c>
      <c r="I183" s="3" t="s">
        <v>796</v>
      </c>
      <c r="J183" s="3" t="s">
        <v>312</v>
      </c>
      <c r="K183" s="3" t="s">
        <v>801</v>
      </c>
      <c r="L183" s="4">
        <f>IF(OR(TRIM(I183)="",TRIM(K183)=""),"",IFERROR((VALUE(LEFT(TRIM(I183),4))-VALUE(LEFT(TRIM(K183),4)))*12+VALUE(MID(TRIM(I183),6,2))-VALUE(MID(TRIM(K183),6,2)),""))</f>
        <v>5</v>
      </c>
      <c r="M183" s="3" t="str">
        <f>IF(TRIM(H183)="","",IFERROR(LOOKUP(2,1/(ISNUMBER(SEARCH('منطق دسته‌بندی'!$A$2:$A$187,H183))),'منطق دسته‌بندی'!$B$2:$B$187),"سایر (نیازمند بررسی دستی)"))</f>
        <v>خرابی - واترجت (تعویض)</v>
      </c>
      <c r="N183" s="3" t="s">
        <v>294</v>
      </c>
      <c r="O183" s="3" t="s">
        <v>25</v>
      </c>
    </row>
    <row r="184" spans="1:15" ht="30" customHeight="1">
      <c r="A184" s="3" t="s">
        <v>802</v>
      </c>
      <c r="B184" s="3" t="s">
        <v>667</v>
      </c>
      <c r="C184" s="3" t="s">
        <v>668</v>
      </c>
      <c r="D184" s="3" t="s">
        <v>43</v>
      </c>
      <c r="E184" s="3" t="s">
        <v>44</v>
      </c>
      <c r="F184" s="3" t="s">
        <v>803</v>
      </c>
      <c r="G184" s="3" t="s">
        <v>804</v>
      </c>
      <c r="H184" s="3" t="s">
        <v>515</v>
      </c>
      <c r="I184" s="3" t="s">
        <v>796</v>
      </c>
      <c r="J184" s="3" t="s">
        <v>148</v>
      </c>
      <c r="K184" s="3" t="s">
        <v>805</v>
      </c>
      <c r="L184" s="4">
        <f>IF(OR(TRIM(I184)="",TRIM(K184)=""),"",IFERROR((VALUE(LEFT(TRIM(I184),4))-VALUE(LEFT(TRIM(K184),4)))*12+VALUE(MID(TRIM(I184),6,2))-VALUE(MID(TRIM(K184),6,2)),""))</f>
        <v>3</v>
      </c>
      <c r="M184" s="3" t="str">
        <f>IF(TRIM(H184)="","",IFERROR(LOOKUP(2,1/(ISNUMBER(SEARCH('منطق دسته‌بندی'!$A$2:$A$187,H184))),'منطق دسته‌بندی'!$B$2:$B$187),"سایر (نیازمند بررسی دستی)"))</f>
        <v>نشتی - شیلنگ (تعمیر/آب‌بندی)</v>
      </c>
      <c r="N184" s="3" t="s">
        <v>24</v>
      </c>
      <c r="O184" s="3" t="s">
        <v>25</v>
      </c>
    </row>
    <row r="185" spans="1:15" ht="30" customHeight="1">
      <c r="A185" s="3" t="s">
        <v>806</v>
      </c>
      <c r="B185" s="3" t="s">
        <v>667</v>
      </c>
      <c r="C185" s="3" t="s">
        <v>668</v>
      </c>
      <c r="D185" s="3" t="s">
        <v>127</v>
      </c>
      <c r="E185" s="3" t="s">
        <v>128</v>
      </c>
      <c r="F185" s="3" t="s">
        <v>807</v>
      </c>
      <c r="G185" s="3" t="s">
        <v>130</v>
      </c>
      <c r="H185" s="3" t="s">
        <v>131</v>
      </c>
      <c r="I185" s="3" t="s">
        <v>808</v>
      </c>
      <c r="J185" s="3" t="s">
        <v>809</v>
      </c>
      <c r="K185" s="3" t="s">
        <v>810</v>
      </c>
      <c r="L185" s="4">
        <f>IF(OR(TRIM(I185)="",TRIM(K185)=""),"",IFERROR((VALUE(LEFT(TRIM(I185),4))-VALUE(LEFT(TRIM(K185),4)))*12+VALUE(MID(TRIM(I185),6,2))-VALUE(MID(TRIM(K185),6,2)),""))</f>
        <v>7</v>
      </c>
      <c r="M185" s="3" t="str">
        <f>IF(TRIM(H185)="","",IFERROR(LOOKUP(2,1/(ISNUMBER(SEARCH('منطق دسته‌بندی'!$A$2:$A$187,H185))),'منطق دسته‌بندی'!$B$2:$B$187),"سایر (نیازمند بررسی دستی)"))</f>
        <v>غیرگارانتی/بدون قطعه</v>
      </c>
      <c r="N185" s="3" t="s">
        <v>24</v>
      </c>
      <c r="O185" s="3" t="s">
        <v>25</v>
      </c>
    </row>
    <row r="186" spans="1:15" ht="30" customHeight="1">
      <c r="A186" s="3" t="s">
        <v>811</v>
      </c>
      <c r="B186" s="3" t="s">
        <v>667</v>
      </c>
      <c r="C186" s="3" t="s">
        <v>668</v>
      </c>
      <c r="D186" s="3" t="s">
        <v>1402</v>
      </c>
      <c r="E186" s="3" t="s">
        <v>35</v>
      </c>
      <c r="F186" s="3" t="s">
        <v>812</v>
      </c>
      <c r="G186" s="3" t="s">
        <v>813</v>
      </c>
      <c r="H186" s="3" t="s">
        <v>38</v>
      </c>
      <c r="I186" s="3" t="s">
        <v>808</v>
      </c>
      <c r="J186" s="3" t="s">
        <v>814</v>
      </c>
      <c r="K186" s="3" t="s">
        <v>189</v>
      </c>
      <c r="L186" s="4">
        <f>IF(OR(TRIM(I186)="",TRIM(K186)=""),"",IFERROR((VALUE(LEFT(TRIM(I186),4))-VALUE(LEFT(TRIM(K186),4)))*12+VALUE(MID(TRIM(I186),6,2))-VALUE(MID(TRIM(K186),6,2)),""))</f>
        <v>24</v>
      </c>
      <c r="M186" s="3" t="str">
        <f>IF(TRIM(H186)="","",IFERROR(LOOKUP(2,1/(ISNUMBER(SEARCH('منطق دسته‌بندی'!$A$2:$A$187,H186))),'منطق دسته‌بندی'!$B$2:$B$187),"سایر (نیازمند بررسی دستی)"))</f>
        <v>خرابی - برد الکترونیک (تعویض)</v>
      </c>
      <c r="N186" s="3" t="s">
        <v>41</v>
      </c>
      <c r="O186" s="3" t="s">
        <v>25</v>
      </c>
    </row>
    <row r="187" spans="1:15" ht="30" customHeight="1">
      <c r="A187" s="3" t="s">
        <v>815</v>
      </c>
      <c r="B187" s="3" t="s">
        <v>667</v>
      </c>
      <c r="C187" s="3" t="s">
        <v>668</v>
      </c>
      <c r="D187" s="3" t="s">
        <v>1402</v>
      </c>
      <c r="E187" s="3" t="s">
        <v>35</v>
      </c>
      <c r="F187" s="3" t="s">
        <v>816</v>
      </c>
      <c r="G187" s="3" t="s">
        <v>761</v>
      </c>
      <c r="H187" s="3" t="s">
        <v>817</v>
      </c>
      <c r="I187" s="3" t="s">
        <v>808</v>
      </c>
      <c r="J187" s="3" t="s">
        <v>746</v>
      </c>
      <c r="K187" s="3" t="s">
        <v>818</v>
      </c>
      <c r="L187" s="4">
        <f>IF(OR(TRIM(I187)="",TRIM(K187)=""),"",IFERROR((VALUE(LEFT(TRIM(I187),4))-VALUE(LEFT(TRIM(K187),4)))*12+VALUE(MID(TRIM(I187),6,2))-VALUE(MID(TRIM(K187),6,2)),""))</f>
        <v>15</v>
      </c>
      <c r="M187" s="3" t="str">
        <f>IF(TRIM(H187)="","",IFERROR(LOOKUP(2,1/(ISNUMBER(SEARCH('منطق دسته‌بندی'!$A$2:$A$187,H187))),'منطق دسته‌بندی'!$B$2:$B$187),"سایر (نیازمند بررسی دستی)"))</f>
        <v>خرابی - تسمه (تعویض)</v>
      </c>
      <c r="N187" s="3" t="s">
        <v>819</v>
      </c>
      <c r="O187" s="3" t="s">
        <v>25</v>
      </c>
    </row>
    <row r="188" spans="1:15" ht="30" customHeight="1">
      <c r="A188" s="3" t="s">
        <v>820</v>
      </c>
      <c r="B188" s="3" t="s">
        <v>667</v>
      </c>
      <c r="C188" s="3" t="s">
        <v>668</v>
      </c>
      <c r="D188" s="3" t="s">
        <v>127</v>
      </c>
      <c r="E188" s="3" t="s">
        <v>128</v>
      </c>
      <c r="F188" s="3" t="s">
        <v>821</v>
      </c>
      <c r="G188" s="3" t="s">
        <v>822</v>
      </c>
      <c r="H188" s="3" t="s">
        <v>823</v>
      </c>
      <c r="I188" s="3" t="s">
        <v>808</v>
      </c>
      <c r="J188" s="3" t="s">
        <v>824</v>
      </c>
      <c r="K188" s="3" t="s">
        <v>825</v>
      </c>
      <c r="L188" s="4">
        <f>IF(OR(TRIM(I188)="",TRIM(K188)=""),"",IFERROR((VALUE(LEFT(TRIM(I188),4))-VALUE(LEFT(TRIM(K188),4)))*12+VALUE(MID(TRIM(I188),6,2))-VALUE(MID(TRIM(K188),6,2)),""))</f>
        <v>14</v>
      </c>
      <c r="M188" s="3" t="str">
        <f>IF(TRIM(H188)="","",IFERROR(LOOKUP(2,1/(ISNUMBER(SEARCH('منطق دسته‌بندی'!$A$2:$A$187,H188))),'منطق دسته‌بندی'!$B$2:$B$187),"سایر (نیازمند بررسی دستی)"))</f>
        <v>خرابی - کمپرسور (تعویض)</v>
      </c>
      <c r="N188" s="3" t="s">
        <v>826</v>
      </c>
      <c r="O188" s="3" t="s">
        <v>25</v>
      </c>
    </row>
    <row r="189" spans="1:15" ht="30" customHeight="1">
      <c r="A189" s="3" t="s">
        <v>827</v>
      </c>
      <c r="B189" s="3" t="s">
        <v>667</v>
      </c>
      <c r="C189" s="3" t="s">
        <v>668</v>
      </c>
      <c r="D189" s="3" t="s">
        <v>43</v>
      </c>
      <c r="E189" s="3" t="s">
        <v>44</v>
      </c>
      <c r="F189" s="3" t="s">
        <v>828</v>
      </c>
      <c r="G189" s="3" t="s">
        <v>829</v>
      </c>
      <c r="H189" s="3" t="s">
        <v>156</v>
      </c>
      <c r="I189" s="3" t="s">
        <v>808</v>
      </c>
      <c r="J189" s="3" t="s">
        <v>830</v>
      </c>
      <c r="K189" s="3" t="s">
        <v>808</v>
      </c>
      <c r="L189" s="4">
        <f>IF(OR(TRIM(I189)="",TRIM(K189)=""),"",IFERROR((VALUE(LEFT(TRIM(I189),4))-VALUE(LEFT(TRIM(K189),4)))*12+VALUE(MID(TRIM(I189),6,2))-VALUE(MID(TRIM(K189),6,2)),""))</f>
        <v>0</v>
      </c>
      <c r="M189" s="3" t="str">
        <f>IF(TRIM(H189)="","",IFERROR(LOOKUP(2,1/(ISNUMBER(SEARCH('منطق دسته‌بندی'!$A$2:$A$187,H189))),'منطق دسته‌بندی'!$B$2:$B$187),"سایر (نیازمند بررسی دستی)"))</f>
        <v>خرابی - شیربرقی (تعویض)</v>
      </c>
      <c r="N189" s="3" t="s">
        <v>158</v>
      </c>
      <c r="O189" s="3" t="s">
        <v>25</v>
      </c>
    </row>
    <row r="190" spans="1:15" ht="30" customHeight="1">
      <c r="A190" s="3" t="s">
        <v>831</v>
      </c>
      <c r="B190" s="3" t="s">
        <v>667</v>
      </c>
      <c r="C190" s="3" t="s">
        <v>668</v>
      </c>
      <c r="D190" s="3" t="s">
        <v>1402</v>
      </c>
      <c r="E190" s="3" t="s">
        <v>35</v>
      </c>
      <c r="F190" s="3" t="s">
        <v>832</v>
      </c>
      <c r="G190" s="3" t="s">
        <v>224</v>
      </c>
      <c r="H190" s="3" t="s">
        <v>407</v>
      </c>
      <c r="I190" s="3" t="s">
        <v>808</v>
      </c>
      <c r="J190" s="3" t="s">
        <v>833</v>
      </c>
      <c r="K190" s="3" t="s">
        <v>316</v>
      </c>
      <c r="L190" s="4">
        <f>IF(OR(TRIM(I190)="",TRIM(K190)=""),"",IFERROR((VALUE(LEFT(TRIM(I190),4))-VALUE(LEFT(TRIM(K190),4)))*12+VALUE(MID(TRIM(I190),6,2))-VALUE(MID(TRIM(K190),6,2)),""))</f>
        <v>7</v>
      </c>
      <c r="M190" s="3" t="str">
        <f>IF(TRIM(H190)="","",IFERROR(LOOKUP(2,1/(ISNUMBER(SEARCH('منطق دسته‌بندی'!$A$2:$A$187,H190))),'منطق دسته‌بندی'!$B$2:$B$187),"سایر (نیازمند بررسی دستی)"))</f>
        <v>خرابی - تاب برداشتن درام (تعویض)</v>
      </c>
      <c r="N190" s="3" t="s">
        <v>24</v>
      </c>
      <c r="O190" s="3" t="s">
        <v>25</v>
      </c>
    </row>
    <row r="191" spans="1:15" ht="30" customHeight="1">
      <c r="A191" s="3" t="s">
        <v>834</v>
      </c>
      <c r="B191" s="3" t="s">
        <v>667</v>
      </c>
      <c r="C191" s="3" t="s">
        <v>668</v>
      </c>
      <c r="D191" s="3" t="s">
        <v>127</v>
      </c>
      <c r="E191" s="3" t="s">
        <v>128</v>
      </c>
      <c r="F191" s="3" t="s">
        <v>835</v>
      </c>
      <c r="G191" s="3" t="s">
        <v>836</v>
      </c>
      <c r="H191" s="3" t="s">
        <v>287</v>
      </c>
      <c r="I191" s="3" t="s">
        <v>772</v>
      </c>
      <c r="J191" s="3" t="s">
        <v>465</v>
      </c>
      <c r="K191" s="3" t="s">
        <v>500</v>
      </c>
      <c r="L191" s="4">
        <f>IF(OR(TRIM(I191)="",TRIM(K191)=""),"",IFERROR((VALUE(LEFT(TRIM(I191),4))-VALUE(LEFT(TRIM(K191),4)))*12+VALUE(MID(TRIM(I191),6,2))-VALUE(MID(TRIM(K191),6,2)),""))</f>
        <v>9</v>
      </c>
      <c r="M191" s="3" t="str">
        <f>IF(TRIM(H191)="","",IFERROR(LOOKUP(2,1/(ISNUMBER(SEARCH('منطق دسته‌بندی'!$A$2:$A$187,H191))),'منطق دسته‌بندی'!$B$2:$B$187),"سایر (نیازمند بررسی دستی)"))</f>
        <v>یخساز - تنظیم/عایق (تعمیر)</v>
      </c>
      <c r="N191" s="3" t="s">
        <v>24</v>
      </c>
      <c r="O191" s="3" t="s">
        <v>25</v>
      </c>
    </row>
    <row r="192" spans="1:15" ht="30" customHeight="1">
      <c r="A192" s="3" t="s">
        <v>837</v>
      </c>
      <c r="B192" s="3" t="s">
        <v>667</v>
      </c>
      <c r="C192" s="3" t="s">
        <v>668</v>
      </c>
      <c r="D192" s="3" t="s">
        <v>1402</v>
      </c>
      <c r="E192" s="3" t="s">
        <v>18</v>
      </c>
      <c r="F192" s="3" t="s">
        <v>838</v>
      </c>
      <c r="G192" s="3" t="s">
        <v>640</v>
      </c>
      <c r="H192" s="3" t="s">
        <v>839</v>
      </c>
      <c r="I192" s="3" t="s">
        <v>772</v>
      </c>
      <c r="J192" s="3" t="s">
        <v>229</v>
      </c>
      <c r="K192" s="3" t="s">
        <v>772</v>
      </c>
      <c r="L192" s="4">
        <f>IF(OR(TRIM(I192)="",TRIM(K192)=""),"",IFERROR((VALUE(LEFT(TRIM(I192),4))-VALUE(LEFT(TRIM(K192),4)))*12+VALUE(MID(TRIM(I192),6,2))-VALUE(MID(TRIM(K192),6,2)),""))</f>
        <v>0</v>
      </c>
      <c r="M192" s="3" t="str">
        <f>IF(TRIM(H192)="","",IFERROR(LOOKUP(2,1/(ISNUMBER(SEARCH('منطق دسته‌بندی'!$A$2:$A$187,H192))),'منطق دسته‌بندی'!$B$2:$B$187),"سایر (نیازمند بررسی دستی)"))</f>
        <v>سیم‌کشی/اتصالات (تعمیر/تنظیم)</v>
      </c>
      <c r="N192" s="3" t="s">
        <v>24</v>
      </c>
      <c r="O192" s="3" t="s">
        <v>25</v>
      </c>
    </row>
    <row r="193" spans="1:15">
      <c r="A193" s="3" t="s">
        <v>840</v>
      </c>
      <c r="B193" s="3" t="s">
        <v>667</v>
      </c>
      <c r="C193" s="3" t="s">
        <v>668</v>
      </c>
      <c r="D193" s="3" t="s">
        <v>43</v>
      </c>
      <c r="E193" s="3" t="s">
        <v>52</v>
      </c>
      <c r="F193" s="3" t="s">
        <v>841</v>
      </c>
      <c r="G193" s="3" t="s">
        <v>573</v>
      </c>
      <c r="H193" s="3" t="s">
        <v>515</v>
      </c>
      <c r="I193" s="3" t="s">
        <v>842</v>
      </c>
      <c r="J193" s="3" t="s">
        <v>442</v>
      </c>
      <c r="K193" s="3" t="s">
        <v>120</v>
      </c>
      <c r="L193" s="4">
        <f>IF(OR(TRIM(I193)="",TRIM(K193)=""),"",IFERROR((VALUE(LEFT(TRIM(I193),4))-VALUE(LEFT(TRIM(K193),4)))*12+VALUE(MID(TRIM(I193),6,2))-VALUE(MID(TRIM(K193),6,2)),""))</f>
        <v>14</v>
      </c>
      <c r="M193" s="3" t="str">
        <f>IF(TRIM(H193)="","",IFERROR(LOOKUP(2,1/(ISNUMBER(SEARCH('منطق دسته‌بندی'!$A$2:$A$187,H193))),'منطق دسته‌بندی'!$B$2:$B$187),"سایر (نیازمند بررسی دستی)"))</f>
        <v>نشتی - شیلنگ (تعمیر/آب‌بندی)</v>
      </c>
      <c r="N193" s="3" t="s">
        <v>24</v>
      </c>
      <c r="O193" s="3" t="s">
        <v>25</v>
      </c>
    </row>
    <row r="194" spans="1:15">
      <c r="A194" s="3" t="s">
        <v>843</v>
      </c>
      <c r="B194" s="3" t="s">
        <v>667</v>
      </c>
      <c r="C194" s="3" t="s">
        <v>668</v>
      </c>
      <c r="D194" s="3" t="s">
        <v>1402</v>
      </c>
      <c r="E194" s="3" t="s">
        <v>160</v>
      </c>
      <c r="F194" s="3" t="s">
        <v>844</v>
      </c>
      <c r="G194" s="3" t="s">
        <v>845</v>
      </c>
      <c r="H194" s="3" t="s">
        <v>846</v>
      </c>
      <c r="I194" s="3" t="s">
        <v>847</v>
      </c>
      <c r="J194" s="3" t="s">
        <v>848</v>
      </c>
      <c r="K194" s="3" t="s">
        <v>849</v>
      </c>
      <c r="L194" s="4">
        <f>IF(OR(TRIM(I194)="",TRIM(K194)=""),"",IFERROR((VALUE(LEFT(TRIM(I194),4))-VALUE(LEFT(TRIM(K194),4)))*12+VALUE(MID(TRIM(I194),6,2))-VALUE(MID(TRIM(K194),6,2)),""))</f>
        <v>5</v>
      </c>
      <c r="M194" s="3" t="str">
        <f>IF(TRIM(H194)="","",IFERROR(LOOKUP(2,1/(ISNUMBER(SEARCH('منطق دسته‌بندی'!$A$2:$A$187,H194))),'منطق دسته‌بندی'!$B$2:$B$187),"سایر (نیازمند بررسی دستی)"))</f>
        <v>خرابی - برد الکترونیک (تعویض)</v>
      </c>
      <c r="N194" s="3" t="s">
        <v>41</v>
      </c>
      <c r="O194" s="3" t="s">
        <v>78</v>
      </c>
    </row>
    <row r="195" spans="1:15" ht="30" customHeight="1">
      <c r="A195" s="3" t="s">
        <v>850</v>
      </c>
      <c r="B195" s="3" t="s">
        <v>667</v>
      </c>
      <c r="C195" s="3" t="s">
        <v>668</v>
      </c>
      <c r="D195" s="3" t="s">
        <v>43</v>
      </c>
      <c r="E195" s="3" t="s">
        <v>52</v>
      </c>
      <c r="F195" s="3" t="s">
        <v>851</v>
      </c>
      <c r="G195" s="3" t="s">
        <v>852</v>
      </c>
      <c r="H195" s="3" t="s">
        <v>853</v>
      </c>
      <c r="I195" s="3" t="s">
        <v>847</v>
      </c>
      <c r="J195" s="3" t="s">
        <v>854</v>
      </c>
      <c r="K195" s="3" t="s">
        <v>842</v>
      </c>
      <c r="L195" s="4">
        <f>IF(OR(TRIM(I195)="",TRIM(K195)=""),"",IFERROR((VALUE(LEFT(TRIM(I195),4))-VALUE(LEFT(TRIM(K195),4)))*12+VALUE(MID(TRIM(I195),6,2))-VALUE(MID(TRIM(K195),6,2)),""))</f>
        <v>0</v>
      </c>
      <c r="M195" s="3" t="str">
        <f>IF(TRIM(H195)="","",IFERROR(LOOKUP(2,1/(ISNUMBER(SEARCH('منطق دسته‌بندی'!$A$2:$A$187,H195))),'منطق دسته‌بندی'!$B$2:$B$187),"سایر (نیازمند بررسی دستی)"))</f>
        <v>سایر اجزای درب (بازبینی)</v>
      </c>
      <c r="N195" s="3" t="s">
        <v>72</v>
      </c>
      <c r="O195" s="3" t="s">
        <v>25</v>
      </c>
    </row>
    <row r="196" spans="1:15">
      <c r="A196" s="3" t="s">
        <v>855</v>
      </c>
      <c r="B196" s="3" t="s">
        <v>667</v>
      </c>
      <c r="C196" s="3" t="s">
        <v>668</v>
      </c>
      <c r="D196" s="3" t="s">
        <v>43</v>
      </c>
      <c r="E196" s="3" t="s">
        <v>52</v>
      </c>
      <c r="F196" s="3" t="s">
        <v>856</v>
      </c>
      <c r="G196" s="3" t="s">
        <v>81</v>
      </c>
      <c r="H196" s="3" t="s">
        <v>531</v>
      </c>
      <c r="I196" s="3" t="s">
        <v>857</v>
      </c>
      <c r="J196" s="3" t="s">
        <v>858</v>
      </c>
      <c r="K196" s="3" t="s">
        <v>859</v>
      </c>
      <c r="L196" s="4">
        <f>IF(OR(TRIM(I196)="",TRIM(K196)=""),"",IFERROR((VALUE(LEFT(TRIM(I196),4))-VALUE(LEFT(TRIM(K196),4)))*12+VALUE(MID(TRIM(I196),6,2))-VALUE(MID(TRIM(K196),6,2)),""))</f>
        <v>4</v>
      </c>
      <c r="M196" s="3" t="str">
        <f>IF(TRIM(H196)="","",IFERROR(LOOKUP(2,1/(ISNUMBER(SEARCH('منطق دسته‌بندی'!$A$2:$A$187,H196))),'منطق دسته‌بندی'!$B$2:$B$187),"سایر (نیازمند بررسی دستی)"))</f>
        <v>نشتی - شیلنگ (تعمیر/آب‌بندی)</v>
      </c>
      <c r="N196" s="3" t="s">
        <v>24</v>
      </c>
      <c r="O196" s="3" t="s">
        <v>25</v>
      </c>
    </row>
    <row r="197" spans="1:15" ht="30" customHeight="1">
      <c r="A197" s="3" t="s">
        <v>860</v>
      </c>
      <c r="B197" s="3" t="s">
        <v>667</v>
      </c>
      <c r="C197" s="3" t="s">
        <v>668</v>
      </c>
      <c r="D197" s="3" t="s">
        <v>1402</v>
      </c>
      <c r="E197" s="3" t="s">
        <v>861</v>
      </c>
      <c r="F197" s="3" t="s">
        <v>862</v>
      </c>
      <c r="G197" s="3" t="s">
        <v>224</v>
      </c>
      <c r="H197" s="3" t="s">
        <v>146</v>
      </c>
      <c r="I197" s="3" t="s">
        <v>863</v>
      </c>
      <c r="J197" s="3" t="s">
        <v>207</v>
      </c>
      <c r="K197" s="3" t="s">
        <v>847</v>
      </c>
      <c r="L197" s="4">
        <f>IF(OR(TRIM(I197)="",TRIM(K197)=""),"",IFERROR((VALUE(LEFT(TRIM(I197),4))-VALUE(LEFT(TRIM(K197),4)))*12+VALUE(MID(TRIM(I197),6,2))-VALUE(MID(TRIM(K197),6,2)),""))</f>
        <v>0</v>
      </c>
      <c r="M197" s="3" t="str">
        <f>IF(TRIM(H197)="","",IFERROR(LOOKUP(2,1/(ISNUMBER(SEARCH('منطق دسته‌بندی'!$A$2:$A$187,H197))),'منطق دسته‌بندی'!$B$2:$B$187),"سایر (نیازمند بررسی دستی)"))</f>
        <v>تراز/لرزش - نصب (رگلاژ پایه)</v>
      </c>
      <c r="N197" s="3" t="s">
        <v>165</v>
      </c>
      <c r="O197" s="3" t="s">
        <v>25</v>
      </c>
    </row>
    <row r="198" spans="1:15">
      <c r="A198" s="3" t="s">
        <v>864</v>
      </c>
      <c r="B198" s="3" t="s">
        <v>667</v>
      </c>
      <c r="C198" s="3" t="s">
        <v>668</v>
      </c>
      <c r="D198" s="3" t="s">
        <v>43</v>
      </c>
      <c r="E198" s="3" t="s">
        <v>44</v>
      </c>
      <c r="F198" s="3" t="s">
        <v>865</v>
      </c>
      <c r="G198" s="3" t="s">
        <v>81</v>
      </c>
      <c r="H198" s="3" t="s">
        <v>683</v>
      </c>
      <c r="I198" s="3" t="s">
        <v>863</v>
      </c>
      <c r="J198" s="3" t="s">
        <v>684</v>
      </c>
      <c r="K198" s="3" t="s">
        <v>866</v>
      </c>
      <c r="L198" s="4">
        <f>IF(OR(TRIM(I198)="",TRIM(K198)=""),"",IFERROR((VALUE(LEFT(TRIM(I198),4))-VALUE(LEFT(TRIM(K198),4)))*12+VALUE(MID(TRIM(I198),6,2))-VALUE(MID(TRIM(K198),6,2)),""))</f>
        <v>8</v>
      </c>
      <c r="M198" s="3" t="str">
        <f>IF(TRIM(H198)="","",IFERROR(LOOKUP(2,1/(ISNUMBER(SEARCH('منطق دسته‌بندی'!$A$2:$A$187,H198))),'منطق دسته‌بندی'!$B$2:$B$187),"سایر (نیازمند بررسی دستی)"))</f>
        <v>نشتی - براکت ریل (تعمیر/آب‌بندی)</v>
      </c>
      <c r="N198" s="3" t="s">
        <v>24</v>
      </c>
      <c r="O198" s="3" t="s">
        <v>25</v>
      </c>
    </row>
    <row r="199" spans="1:15" ht="30" customHeight="1">
      <c r="A199" s="3" t="s">
        <v>867</v>
      </c>
      <c r="B199" s="3" t="s">
        <v>667</v>
      </c>
      <c r="C199" s="3" t="s">
        <v>668</v>
      </c>
      <c r="D199" s="3" t="s">
        <v>59</v>
      </c>
      <c r="E199" s="3" t="s">
        <v>868</v>
      </c>
      <c r="F199" s="3" t="s">
        <v>869</v>
      </c>
      <c r="G199" s="3" t="s">
        <v>870</v>
      </c>
      <c r="H199" s="3" t="s">
        <v>63</v>
      </c>
      <c r="I199" s="3" t="s">
        <v>871</v>
      </c>
      <c r="J199" s="3" t="s">
        <v>232</v>
      </c>
      <c r="K199" s="3" t="s">
        <v>713</v>
      </c>
      <c r="L199" s="4">
        <f>IF(OR(TRIM(I199)="",TRIM(K199)=""),"",IFERROR((VALUE(LEFT(TRIM(I199),4))-VALUE(LEFT(TRIM(K199),4)))*12+VALUE(MID(TRIM(I199),6,2))-VALUE(MID(TRIM(K199),6,2)),""))</f>
        <v>14</v>
      </c>
      <c r="M199" s="3" t="str">
        <f>IF(TRIM(H199)="","",IFERROR(LOOKUP(2,1/(ISNUMBER(SEARCH('منطق دسته‌بندی'!$A$2:$A$187,H199))),'منطق دسته‌بندی'!$B$2:$B$187),"سایر (نیازمند بررسی دستی)"))</f>
        <v>ریموت کنترل (تعویض/تعمیر)</v>
      </c>
      <c r="N199" s="3" t="s">
        <v>872</v>
      </c>
      <c r="O199" s="3" t="s">
        <v>25</v>
      </c>
    </row>
    <row r="200" spans="1:15" ht="30" customHeight="1">
      <c r="A200" s="3" t="s">
        <v>873</v>
      </c>
      <c r="B200" s="3" t="s">
        <v>667</v>
      </c>
      <c r="C200" s="3" t="s">
        <v>668</v>
      </c>
      <c r="D200" s="3" t="s">
        <v>1402</v>
      </c>
      <c r="E200" s="3" t="s">
        <v>874</v>
      </c>
      <c r="F200" s="3" t="s">
        <v>875</v>
      </c>
      <c r="G200" s="3" t="s">
        <v>28</v>
      </c>
      <c r="H200" s="3" t="s">
        <v>146</v>
      </c>
      <c r="I200" s="3" t="s">
        <v>871</v>
      </c>
      <c r="J200" s="3" t="s">
        <v>805</v>
      </c>
      <c r="K200" s="3" t="s">
        <v>876</v>
      </c>
      <c r="L200" s="4">
        <f>IF(OR(TRIM(I200)="",TRIM(K200)=""),"",IFERROR((VALUE(LEFT(TRIM(I200),4))-VALUE(LEFT(TRIM(K200),4)))*12+VALUE(MID(TRIM(I200),6,2))-VALUE(MID(TRIM(K200),6,2)),""))</f>
        <v>2</v>
      </c>
      <c r="M200" s="3" t="str">
        <f>IF(TRIM(H200)="","",IFERROR(LOOKUP(2,1/(ISNUMBER(SEARCH('منطق دسته‌بندی'!$A$2:$A$187,H200))),'منطق دسته‌بندی'!$B$2:$B$187),"سایر (نیازمند بررسی دستی)"))</f>
        <v>تراز/لرزش - نصب (رگلاژ پایه)</v>
      </c>
      <c r="N200" s="3" t="s">
        <v>165</v>
      </c>
      <c r="O200" s="3" t="s">
        <v>25</v>
      </c>
    </row>
    <row r="201" spans="1:15" ht="30" customHeight="1">
      <c r="A201" s="3" t="s">
        <v>877</v>
      </c>
      <c r="B201" s="3" t="s">
        <v>667</v>
      </c>
      <c r="C201" s="3" t="s">
        <v>668</v>
      </c>
      <c r="D201" s="3" t="s">
        <v>59</v>
      </c>
      <c r="E201" s="3" t="s">
        <v>60</v>
      </c>
      <c r="F201" s="3" t="s">
        <v>878</v>
      </c>
      <c r="G201" s="3" t="s">
        <v>879</v>
      </c>
      <c r="H201" s="3" t="s">
        <v>880</v>
      </c>
      <c r="I201" s="3" t="s">
        <v>881</v>
      </c>
      <c r="J201" s="3" t="s">
        <v>588</v>
      </c>
      <c r="K201" s="3" t="s">
        <v>882</v>
      </c>
      <c r="L201" s="4">
        <f>IF(OR(TRIM(I201)="",TRIM(K201)=""),"",IFERROR((VALUE(LEFT(TRIM(I201),4))-VALUE(LEFT(TRIM(K201),4)))*12+VALUE(MID(TRIM(I201),6,2))-VALUE(MID(TRIM(K201),6,2)),""))</f>
        <v>0</v>
      </c>
      <c r="M201" s="3" t="str">
        <f>IF(TRIM(H201)="","",IFERROR(LOOKUP(2,1/(ISNUMBER(SEARCH('منطق دسته‌بندی'!$A$2:$A$187,H201))),'منطق دسته‌بندی'!$B$2:$B$187),"سایر (نیازمند بررسی دستی)"))</f>
        <v>سیم‌کشی/اتصالات (تعمیر/تنظیم)</v>
      </c>
      <c r="N201" s="3" t="s">
        <v>24</v>
      </c>
      <c r="O201" s="3" t="s">
        <v>25</v>
      </c>
    </row>
    <row r="202" spans="1:15" ht="30" customHeight="1">
      <c r="A202" s="3" t="s">
        <v>883</v>
      </c>
      <c r="B202" s="3" t="s">
        <v>667</v>
      </c>
      <c r="C202" s="3" t="s">
        <v>668</v>
      </c>
      <c r="D202" s="3" t="s">
        <v>108</v>
      </c>
      <c r="E202" s="3" t="s">
        <v>884</v>
      </c>
      <c r="F202" s="3" t="s">
        <v>885</v>
      </c>
      <c r="G202" s="3" t="s">
        <v>791</v>
      </c>
      <c r="H202" s="3" t="s">
        <v>630</v>
      </c>
      <c r="I202" s="3" t="s">
        <v>881</v>
      </c>
      <c r="J202" s="3" t="s">
        <v>576</v>
      </c>
      <c r="K202" s="3" t="s">
        <v>886</v>
      </c>
      <c r="L202" s="4">
        <f>IF(OR(TRIM(I202)="",TRIM(K202)=""),"",IFERROR((VALUE(LEFT(TRIM(I202),4))-VALUE(LEFT(TRIM(K202),4)))*12+VALUE(MID(TRIM(I202),6,2))-VALUE(MID(TRIM(K202),6,2)),""))</f>
        <v>8</v>
      </c>
      <c r="M202" s="3" t="str">
        <f>IF(TRIM(H202)="","",IFERROR(LOOKUP(2,1/(ISNUMBER(SEARCH('منطق دسته‌بندی'!$A$2:$A$187,H202))),'منطق دسته‌بندی'!$B$2:$B$187),"سایر (نیازمند بررسی دستی)"))</f>
        <v>خرابی - لامپ/LED داخلی (تعویض)</v>
      </c>
      <c r="N202" s="3" t="s">
        <v>633</v>
      </c>
      <c r="O202" s="3" t="s">
        <v>25</v>
      </c>
    </row>
    <row r="203" spans="1:15" ht="45" customHeight="1">
      <c r="A203" s="3" t="s">
        <v>887</v>
      </c>
      <c r="B203" s="3" t="s">
        <v>667</v>
      </c>
      <c r="C203" s="3" t="s">
        <v>668</v>
      </c>
      <c r="D203" s="3" t="s">
        <v>1402</v>
      </c>
      <c r="E203" s="3" t="s">
        <v>160</v>
      </c>
      <c r="F203" s="3" t="s">
        <v>888</v>
      </c>
      <c r="G203" s="3" t="s">
        <v>655</v>
      </c>
      <c r="H203" s="3" t="s">
        <v>146</v>
      </c>
      <c r="I203" s="3" t="s">
        <v>881</v>
      </c>
      <c r="J203" s="3" t="s">
        <v>889</v>
      </c>
      <c r="K203" s="3" t="s">
        <v>298</v>
      </c>
      <c r="L203" s="4">
        <f>IF(OR(TRIM(I203)="",TRIM(K203)=""),"",IFERROR((VALUE(LEFT(TRIM(I203),4))-VALUE(LEFT(TRIM(K203),4)))*12+VALUE(MID(TRIM(I203),6,2))-VALUE(MID(TRIM(K203),6,2)),""))</f>
        <v>5</v>
      </c>
      <c r="M203" s="3" t="str">
        <f>IF(TRIM(H203)="","",IFERROR(LOOKUP(2,1/(ISNUMBER(SEARCH('منطق دسته‌بندی'!$A$2:$A$187,H203))),'منطق دسته‌بندی'!$B$2:$B$187),"سایر (نیازمند بررسی دستی)"))</f>
        <v>تراز/لرزش - نصب (رگلاژ پایه)</v>
      </c>
      <c r="N203" s="3" t="s">
        <v>165</v>
      </c>
      <c r="O203" s="3" t="s">
        <v>25</v>
      </c>
    </row>
    <row r="204" spans="1:15" ht="30" customHeight="1">
      <c r="A204" s="3" t="s">
        <v>890</v>
      </c>
      <c r="B204" s="3" t="s">
        <v>667</v>
      </c>
      <c r="C204" s="3" t="s">
        <v>668</v>
      </c>
      <c r="D204" s="3" t="s">
        <v>108</v>
      </c>
      <c r="E204" s="3" t="s">
        <v>891</v>
      </c>
      <c r="F204" s="3" t="s">
        <v>892</v>
      </c>
      <c r="G204" s="3" t="s">
        <v>393</v>
      </c>
      <c r="H204" s="3" t="s">
        <v>893</v>
      </c>
      <c r="I204" s="3" t="s">
        <v>894</v>
      </c>
      <c r="J204" s="3" t="s">
        <v>895</v>
      </c>
      <c r="K204" s="3" t="s">
        <v>539</v>
      </c>
      <c r="L204" s="4">
        <f>IF(OR(TRIM(I204)="",TRIM(K204)=""),"",IFERROR((VALUE(LEFT(TRIM(I204),4))-VALUE(LEFT(TRIM(K204),4)))*12+VALUE(MID(TRIM(I204),6,2))-VALUE(MID(TRIM(K204),6,2)),""))</f>
        <v>12</v>
      </c>
      <c r="M204" s="3" t="str">
        <f>IF(TRIM(H204)="","",IFERROR(LOOKUP(2,1/(ISNUMBER(SEARCH('منطق دسته‌بندی'!$A$2:$A$187,H204))),'منطق دسته‌بندی'!$B$2:$B$187),"سایر (نیازمند بررسی دستی)"))</f>
        <v>خرابی - کمپرسور (تعویض)</v>
      </c>
      <c r="N204" s="3" t="s">
        <v>896</v>
      </c>
      <c r="O204" s="3" t="s">
        <v>25</v>
      </c>
    </row>
    <row r="205" spans="1:15">
      <c r="A205" s="3" t="s">
        <v>897</v>
      </c>
      <c r="B205" s="3" t="s">
        <v>667</v>
      </c>
      <c r="C205" s="3" t="s">
        <v>668</v>
      </c>
      <c r="D205" s="3" t="s">
        <v>127</v>
      </c>
      <c r="E205" s="3" t="s">
        <v>128</v>
      </c>
      <c r="F205" s="3" t="s">
        <v>898</v>
      </c>
      <c r="G205" s="3" t="s">
        <v>130</v>
      </c>
      <c r="H205" s="3" t="s">
        <v>130</v>
      </c>
      <c r="I205" s="3" t="s">
        <v>894</v>
      </c>
      <c r="J205" s="3" t="s">
        <v>899</v>
      </c>
      <c r="K205" s="3" t="s">
        <v>900</v>
      </c>
      <c r="L205" s="4">
        <f>IF(OR(TRIM(I205)="",TRIM(K205)=""),"",IFERROR((VALUE(LEFT(TRIM(I205),4))-VALUE(LEFT(TRIM(K205),4)))*12+VALUE(MID(TRIM(I205),6,2))-VALUE(MID(TRIM(K205),6,2)),""))</f>
        <v>8</v>
      </c>
      <c r="M205" s="3" t="str">
        <f>IF(TRIM(H205)="","",IFERROR(LOOKUP(2,1/(ISNUMBER(SEARCH('منطق دسته‌بندی'!$A$2:$A$187,H205))),'منطق دسته‌بندی'!$B$2:$B$187),"سایر (نیازمند بررسی دستی)"))</f>
        <v>غیرگارانتی/بدون قطعه</v>
      </c>
      <c r="N205" s="3" t="s">
        <v>24</v>
      </c>
      <c r="O205" s="3" t="s">
        <v>25</v>
      </c>
    </row>
    <row r="206" spans="1:15">
      <c r="A206" s="3" t="s">
        <v>901</v>
      </c>
      <c r="B206" s="3" t="s">
        <v>667</v>
      </c>
      <c r="C206" s="3" t="s">
        <v>668</v>
      </c>
      <c r="D206" s="3" t="s">
        <v>43</v>
      </c>
      <c r="E206" s="3" t="s">
        <v>44</v>
      </c>
      <c r="F206" s="3" t="s">
        <v>902</v>
      </c>
      <c r="G206" s="3" t="s">
        <v>903</v>
      </c>
      <c r="H206" s="3" t="s">
        <v>365</v>
      </c>
      <c r="I206" s="3" t="s">
        <v>904</v>
      </c>
      <c r="J206" s="3" t="s">
        <v>905</v>
      </c>
      <c r="K206" s="3" t="s">
        <v>637</v>
      </c>
      <c r="L206" s="4">
        <f>IF(OR(TRIM(I206)="",TRIM(K206)=""),"",IFERROR((VALUE(LEFT(TRIM(I206),4))-VALUE(LEFT(TRIM(K206),4)))*12+VALUE(MID(TRIM(I206),6,2))-VALUE(MID(TRIM(K206),6,2)),""))</f>
        <v>10</v>
      </c>
      <c r="M206" s="3" t="str">
        <f>IF(TRIM(H206)="","",IFERROR(LOOKUP(2,1/(ISNUMBER(SEARCH('منطق دسته‌بندی'!$A$2:$A$187,H206))),'منطق دسته‌بندی'!$B$2:$B$187),"سایر (نیازمند بررسی دستی)"))</f>
        <v>نشتی - شیلنگ (تعمیر/آب‌بندی)</v>
      </c>
      <c r="N206" s="3" t="s">
        <v>24</v>
      </c>
      <c r="O206" s="3" t="s">
        <v>25</v>
      </c>
    </row>
    <row r="207" spans="1:15" ht="30" customHeight="1">
      <c r="A207" s="3" t="s">
        <v>906</v>
      </c>
      <c r="B207" s="3" t="s">
        <v>667</v>
      </c>
      <c r="C207" s="3" t="s">
        <v>668</v>
      </c>
      <c r="D207" s="3" t="s">
        <v>1402</v>
      </c>
      <c r="E207" s="3" t="s">
        <v>143</v>
      </c>
      <c r="F207" s="3" t="s">
        <v>907</v>
      </c>
      <c r="G207" s="3" t="s">
        <v>908</v>
      </c>
      <c r="H207" s="3" t="s">
        <v>146</v>
      </c>
      <c r="I207" s="3" t="s">
        <v>904</v>
      </c>
      <c r="J207" s="3" t="s">
        <v>909</v>
      </c>
      <c r="K207" s="3" t="s">
        <v>316</v>
      </c>
      <c r="L207" s="4">
        <f>IF(OR(TRIM(I207)="",TRIM(K207)=""),"",IFERROR((VALUE(LEFT(TRIM(I207),4))-VALUE(LEFT(TRIM(K207),4)))*12+VALUE(MID(TRIM(I207),6,2))-VALUE(MID(TRIM(K207),6,2)),""))</f>
        <v>7</v>
      </c>
      <c r="M207" s="3" t="str">
        <f>IF(TRIM(H207)="","",IFERROR(LOOKUP(2,1/(ISNUMBER(SEARCH('منطق دسته‌بندی'!$A$2:$A$187,H207))),'منطق دسته‌بندی'!$B$2:$B$187),"سایر (نیازمند بررسی دستی)"))</f>
        <v>تراز/لرزش - نصب (رگلاژ پایه)</v>
      </c>
      <c r="N207" s="3" t="s">
        <v>165</v>
      </c>
      <c r="O207" s="3" t="s">
        <v>25</v>
      </c>
    </row>
    <row r="208" spans="1:15" ht="30" customHeight="1">
      <c r="A208" s="3" t="s">
        <v>910</v>
      </c>
      <c r="B208" s="3" t="s">
        <v>667</v>
      </c>
      <c r="C208" s="3" t="s">
        <v>668</v>
      </c>
      <c r="D208" s="3" t="s">
        <v>1402</v>
      </c>
      <c r="E208" s="3" t="s">
        <v>519</v>
      </c>
      <c r="F208" s="3" t="s">
        <v>911</v>
      </c>
      <c r="G208" s="3" t="s">
        <v>224</v>
      </c>
      <c r="H208" s="3" t="s">
        <v>146</v>
      </c>
      <c r="I208" s="3" t="s">
        <v>904</v>
      </c>
      <c r="J208" s="3" t="s">
        <v>727</v>
      </c>
      <c r="K208" s="3" t="s">
        <v>849</v>
      </c>
      <c r="L208" s="4">
        <f>IF(OR(TRIM(I208)="",TRIM(K208)=""),"",IFERROR((VALUE(LEFT(TRIM(I208),4))-VALUE(LEFT(TRIM(K208),4)))*12+VALUE(MID(TRIM(I208),6,2))-VALUE(MID(TRIM(K208),6,2)),""))</f>
        <v>5</v>
      </c>
      <c r="M208" s="3" t="str">
        <f>IF(TRIM(H208)="","",IFERROR(LOOKUP(2,1/(ISNUMBER(SEARCH('منطق دسته‌بندی'!$A$2:$A$187,H208))),'منطق دسته‌بندی'!$B$2:$B$187),"سایر (نیازمند بررسی دستی)"))</f>
        <v>تراز/لرزش - نصب (رگلاژ پایه)</v>
      </c>
      <c r="N208" s="3" t="s">
        <v>165</v>
      </c>
      <c r="O208" s="3" t="s">
        <v>25</v>
      </c>
    </row>
    <row r="209" spans="1:15" ht="30" customHeight="1">
      <c r="A209" s="3" t="s">
        <v>912</v>
      </c>
      <c r="B209" s="3" t="s">
        <v>667</v>
      </c>
      <c r="C209" s="3" t="s">
        <v>668</v>
      </c>
      <c r="D209" s="3" t="s">
        <v>127</v>
      </c>
      <c r="E209" s="3" t="s">
        <v>128</v>
      </c>
      <c r="F209" s="3" t="s">
        <v>913</v>
      </c>
      <c r="G209" s="3" t="s">
        <v>130</v>
      </c>
      <c r="H209" s="3" t="s">
        <v>131</v>
      </c>
      <c r="I209" s="3" t="s">
        <v>904</v>
      </c>
      <c r="J209" s="3" t="s">
        <v>914</v>
      </c>
      <c r="K209" s="3" t="s">
        <v>915</v>
      </c>
      <c r="L209" s="4">
        <f>IF(OR(TRIM(I209)="",TRIM(K209)=""),"",IFERROR((VALUE(LEFT(TRIM(I209),4))-VALUE(LEFT(TRIM(K209),4)))*12+VALUE(MID(TRIM(I209),6,2))-VALUE(MID(TRIM(K209),6,2)),""))</f>
        <v>20</v>
      </c>
      <c r="M209" s="3" t="str">
        <f>IF(TRIM(H209)="","",IFERROR(LOOKUP(2,1/(ISNUMBER(SEARCH('منطق دسته‌بندی'!$A$2:$A$187,H209))),'منطق دسته‌بندی'!$B$2:$B$187),"سایر (نیازمند بررسی دستی)"))</f>
        <v>غیرگارانتی/بدون قطعه</v>
      </c>
      <c r="N209" s="3" t="s">
        <v>24</v>
      </c>
      <c r="O209" s="3" t="s">
        <v>25</v>
      </c>
    </row>
    <row r="210" spans="1:15" ht="30" customHeight="1">
      <c r="A210" s="3" t="s">
        <v>916</v>
      </c>
      <c r="B210" s="3" t="s">
        <v>917</v>
      </c>
      <c r="C210" s="3" t="s">
        <v>918</v>
      </c>
      <c r="D210" s="3" t="s">
        <v>127</v>
      </c>
      <c r="E210" s="3" t="s">
        <v>128</v>
      </c>
      <c r="F210" s="3" t="s">
        <v>919</v>
      </c>
      <c r="G210" s="3" t="s">
        <v>214</v>
      </c>
      <c r="H210" s="3" t="s">
        <v>278</v>
      </c>
      <c r="I210" s="3" t="s">
        <v>920</v>
      </c>
      <c r="J210" s="3" t="s">
        <v>921</v>
      </c>
      <c r="K210" s="3" t="s">
        <v>297</v>
      </c>
      <c r="L210" s="4">
        <f>IF(OR(TRIM(I210)="",TRIM(K210)=""),"",IFERROR((VALUE(LEFT(TRIM(I210),4))-VALUE(LEFT(TRIM(K210),4)))*12+VALUE(MID(TRIM(I210),6,2))-VALUE(MID(TRIM(K210),6,2)),""))</f>
        <v>10</v>
      </c>
      <c r="M210" s="3" t="str">
        <f>IF(TRIM(H210)="","",IFERROR(LOOKUP(2,1/(ISNUMBER(SEARCH('منطق دسته‌بندی'!$A$2:$A$187,H210))),'منطق دسته‌بندی'!$B$2:$B$187),"سایر (نیازمند بررسی دستی)"))</f>
        <v>یخساز - تنظیم/عایق (تعمیر)</v>
      </c>
      <c r="N210" s="3" t="s">
        <v>24</v>
      </c>
      <c r="O210" s="3" t="s">
        <v>25</v>
      </c>
    </row>
    <row r="211" spans="1:15" ht="30" customHeight="1">
      <c r="A211" s="3" t="s">
        <v>922</v>
      </c>
      <c r="B211" s="3" t="s">
        <v>917</v>
      </c>
      <c r="C211" s="3" t="s">
        <v>918</v>
      </c>
      <c r="D211" s="3" t="s">
        <v>1402</v>
      </c>
      <c r="E211" s="3" t="s">
        <v>143</v>
      </c>
      <c r="F211" s="3" t="s">
        <v>923</v>
      </c>
      <c r="G211" s="3" t="s">
        <v>87</v>
      </c>
      <c r="H211" s="3" t="s">
        <v>323</v>
      </c>
      <c r="I211" s="3" t="s">
        <v>924</v>
      </c>
      <c r="J211" s="3" t="s">
        <v>797</v>
      </c>
      <c r="K211" s="3" t="s">
        <v>675</v>
      </c>
      <c r="L211" s="4">
        <f>IF(OR(TRIM(I211)="",TRIM(K211)=""),"",IFERROR((VALUE(LEFT(TRIM(I211),4))-VALUE(LEFT(TRIM(K211),4)))*12+VALUE(MID(TRIM(I211),6,2))-VALUE(MID(TRIM(K211),6,2)),""))</f>
        <v>1</v>
      </c>
      <c r="M211" s="3" t="str">
        <f>IF(TRIM(H211)="","",IFERROR(LOOKUP(2,1/(ISNUMBER(SEARCH('منطق دسته‌بندی'!$A$2:$A$187,H211))),'منطق دسته‌بندی'!$B$2:$B$187),"سایر (نیازمند بررسی دستی)"))</f>
        <v>نشتی - شیلنگ (تعمیر/آب‌بندی)</v>
      </c>
      <c r="N211" s="3" t="s">
        <v>24</v>
      </c>
      <c r="O211" s="3" t="s">
        <v>25</v>
      </c>
    </row>
    <row r="212" spans="1:15" ht="30" customHeight="1">
      <c r="A212" s="3" t="s">
        <v>925</v>
      </c>
      <c r="B212" s="3" t="s">
        <v>917</v>
      </c>
      <c r="C212" s="3" t="s">
        <v>918</v>
      </c>
      <c r="D212" s="3" t="s">
        <v>127</v>
      </c>
      <c r="E212" s="3" t="s">
        <v>128</v>
      </c>
      <c r="F212" s="3" t="s">
        <v>926</v>
      </c>
      <c r="G212" s="3" t="s">
        <v>927</v>
      </c>
      <c r="H212" s="3" t="s">
        <v>928</v>
      </c>
      <c r="I212" s="3" t="s">
        <v>924</v>
      </c>
      <c r="J212" s="3" t="s">
        <v>447</v>
      </c>
      <c r="K212" s="3" t="s">
        <v>490</v>
      </c>
      <c r="L212" s="4">
        <f>IF(OR(TRIM(I212)="",TRIM(K212)=""),"",IFERROR((VALUE(LEFT(TRIM(I212),4))-VALUE(LEFT(TRIM(K212),4)))*12+VALUE(MID(TRIM(I212),6,2))-VALUE(MID(TRIM(K212),6,2)),""))</f>
        <v>17</v>
      </c>
      <c r="M212" s="3" t="str">
        <f>IF(TRIM(H212)="","",IFERROR(LOOKUP(2,1/(ISNUMBER(SEARCH('منطق دسته‌بندی'!$A$2:$A$187,H212))),'منطق دسته‌بندی'!$B$2:$B$187),"سایر (نیازمند بررسی دستی)"))</f>
        <v>مکانیزم درب - گریسکاری/تنظیم</v>
      </c>
      <c r="N212" s="3" t="s">
        <v>24</v>
      </c>
      <c r="O212" s="3" t="s">
        <v>25</v>
      </c>
    </row>
    <row r="213" spans="1:15" ht="30" customHeight="1">
      <c r="A213" s="3" t="s">
        <v>929</v>
      </c>
      <c r="B213" s="3" t="s">
        <v>917</v>
      </c>
      <c r="C213" s="3" t="s">
        <v>918</v>
      </c>
      <c r="D213" s="3" t="s">
        <v>127</v>
      </c>
      <c r="E213" s="3" t="s">
        <v>128</v>
      </c>
      <c r="F213" s="3" t="s">
        <v>930</v>
      </c>
      <c r="G213" s="3" t="s">
        <v>87</v>
      </c>
      <c r="H213" s="3" t="s">
        <v>931</v>
      </c>
      <c r="I213" s="3" t="s">
        <v>924</v>
      </c>
      <c r="J213" s="3" t="s">
        <v>932</v>
      </c>
      <c r="K213" s="3" t="s">
        <v>313</v>
      </c>
      <c r="L213" s="4">
        <f>IF(OR(TRIM(I213)="",TRIM(K213)=""),"",IFERROR((VALUE(LEFT(TRIM(I213),4))-VALUE(LEFT(TRIM(K213),4)))*12+VALUE(MID(TRIM(I213),6,2))-VALUE(MID(TRIM(K213),6,2)),""))</f>
        <v>3</v>
      </c>
      <c r="M213" s="3" t="str">
        <f>IF(TRIM(H213)="","",IFERROR(LOOKUP(2,1/(ISNUMBER(SEARCH('منطق دسته‌بندی'!$A$2:$A$187,H213))),'منطق دسته‌بندی'!$B$2:$B$187),"سایر (نیازمند بررسی دستی)"))</f>
        <v>نشتی - اتصال/فیتینگ (تعمیر/آب‌بندی)</v>
      </c>
      <c r="N213" s="3" t="s">
        <v>24</v>
      </c>
      <c r="O213" s="3" t="s">
        <v>25</v>
      </c>
    </row>
    <row r="214" spans="1:15" ht="30" customHeight="1">
      <c r="A214" s="3" t="s">
        <v>933</v>
      </c>
      <c r="B214" s="3" t="s">
        <v>917</v>
      </c>
      <c r="C214" s="3" t="s">
        <v>918</v>
      </c>
      <c r="D214" s="3" t="s">
        <v>1402</v>
      </c>
      <c r="E214" s="3" t="s">
        <v>160</v>
      </c>
      <c r="F214" s="3" t="s">
        <v>844</v>
      </c>
      <c r="G214" s="3" t="s">
        <v>934</v>
      </c>
      <c r="H214" s="3" t="s">
        <v>935</v>
      </c>
      <c r="I214" s="3" t="s">
        <v>924</v>
      </c>
      <c r="J214" s="3" t="s">
        <v>848</v>
      </c>
      <c r="K214" s="3" t="s">
        <v>849</v>
      </c>
      <c r="L214" s="4">
        <f>IF(OR(TRIM(I214)="",TRIM(K214)=""),"",IFERROR((VALUE(LEFT(TRIM(I214),4))-VALUE(LEFT(TRIM(K214),4)))*12+VALUE(MID(TRIM(I214),6,2))-VALUE(MID(TRIM(K214),6,2)),""))</f>
        <v>6</v>
      </c>
      <c r="M214" s="3" t="str">
        <f>IF(TRIM(H214)="","",IFERROR(LOOKUP(2,1/(ISNUMBER(SEARCH('منطق دسته‌بندی'!$A$2:$A$187,H214))),'منطق دسته‌بندی'!$B$2:$B$187),"سایر (نیازمند بررسی دستی)"))</f>
        <v>خرابی - موتور (تعویض)</v>
      </c>
      <c r="N214" s="3" t="s">
        <v>936</v>
      </c>
      <c r="O214" s="3" t="s">
        <v>25</v>
      </c>
    </row>
    <row r="215" spans="1:15" ht="30" customHeight="1">
      <c r="A215" s="3" t="s">
        <v>937</v>
      </c>
      <c r="B215" s="3" t="s">
        <v>917</v>
      </c>
      <c r="C215" s="3" t="s">
        <v>918</v>
      </c>
      <c r="D215" s="3" t="s">
        <v>1402</v>
      </c>
      <c r="E215" s="3" t="s">
        <v>85</v>
      </c>
      <c r="F215" s="3" t="s">
        <v>938</v>
      </c>
      <c r="G215" s="3" t="s">
        <v>694</v>
      </c>
      <c r="H215" s="3" t="s">
        <v>780</v>
      </c>
      <c r="I215" s="3" t="s">
        <v>939</v>
      </c>
      <c r="J215" s="3" t="s">
        <v>847</v>
      </c>
      <c r="K215" s="3" t="s">
        <v>847</v>
      </c>
      <c r="L215" s="4">
        <f>IF(OR(TRIM(I215)="",TRIM(K215)=""),"",IFERROR((VALUE(LEFT(TRIM(I215),4))-VALUE(LEFT(TRIM(K215),4)))*12+VALUE(MID(TRIM(I215),6,2))-VALUE(MID(TRIM(K215),6,2)),""))</f>
        <v>1</v>
      </c>
      <c r="M215" s="3" t="str">
        <f>IF(TRIM(H215)="","",IFERROR(LOOKUP(2,1/(ISNUMBER(SEARCH('منطق دسته‌بندی'!$A$2:$A$187,H215))),'منطق دسته‌بندی'!$B$2:$B$187),"سایر (نیازمند بررسی دستی)"))</f>
        <v>خرابی - برد الکترونیک (تعویض)</v>
      </c>
      <c r="N215" s="3" t="s">
        <v>41</v>
      </c>
      <c r="O215" s="3" t="s">
        <v>25</v>
      </c>
    </row>
    <row r="216" spans="1:15" ht="30" customHeight="1">
      <c r="A216" s="3" t="s">
        <v>940</v>
      </c>
      <c r="B216" s="3" t="s">
        <v>917</v>
      </c>
      <c r="C216" s="3" t="s">
        <v>918</v>
      </c>
      <c r="D216" s="3" t="s">
        <v>108</v>
      </c>
      <c r="E216" s="3" t="s">
        <v>335</v>
      </c>
      <c r="F216" s="3" t="s">
        <v>941</v>
      </c>
      <c r="G216" s="3" t="s">
        <v>791</v>
      </c>
      <c r="H216" s="3" t="s">
        <v>792</v>
      </c>
      <c r="I216" s="3" t="s">
        <v>939</v>
      </c>
      <c r="J216" s="3" t="s">
        <v>490</v>
      </c>
      <c r="K216" s="3" t="s">
        <v>313</v>
      </c>
      <c r="L216" s="4">
        <f>IF(OR(TRIM(I216)="",TRIM(K216)=""),"",IFERROR((VALUE(LEFT(TRIM(I216),4))-VALUE(LEFT(TRIM(K216),4)))*12+VALUE(MID(TRIM(I216),6,2))-VALUE(MID(TRIM(K216),6,2)),""))</f>
        <v>3</v>
      </c>
      <c r="M216" s="3" t="str">
        <f>IF(TRIM(H216)="","",IFERROR(LOOKUP(2,1/(ISNUMBER(SEARCH('منطق دسته‌بندی'!$A$2:$A$187,H216))),'منطق دسته‌بندی'!$B$2:$B$187),"سایر (نیازمند بررسی دستی)"))</f>
        <v>خرابی - لامپ/LED داخلی (تعویض)</v>
      </c>
      <c r="N216" s="3" t="s">
        <v>633</v>
      </c>
      <c r="O216" s="3" t="s">
        <v>25</v>
      </c>
    </row>
    <row r="217" spans="1:15" ht="30" customHeight="1">
      <c r="A217" s="3" t="s">
        <v>942</v>
      </c>
      <c r="B217" s="3" t="s">
        <v>917</v>
      </c>
      <c r="C217" s="3" t="s">
        <v>918</v>
      </c>
      <c r="D217" s="3" t="s">
        <v>43</v>
      </c>
      <c r="E217" s="3" t="s">
        <v>44</v>
      </c>
      <c r="F217" s="3" t="s">
        <v>943</v>
      </c>
      <c r="G217" s="3" t="s">
        <v>272</v>
      </c>
      <c r="H217" s="3" t="s">
        <v>944</v>
      </c>
      <c r="I217" s="3" t="s">
        <v>945</v>
      </c>
      <c r="J217" s="3" t="s">
        <v>946</v>
      </c>
      <c r="K217" s="3" t="s">
        <v>947</v>
      </c>
      <c r="L217" s="4">
        <f>IF(OR(TRIM(I217)="",TRIM(K217)=""),"",IFERROR((VALUE(LEFT(TRIM(I217),4))-VALUE(LEFT(TRIM(K217),4)))*12+VALUE(MID(TRIM(I217),6,2))-VALUE(MID(TRIM(K217),6,2)),""))</f>
        <v>14</v>
      </c>
      <c r="M217" s="3" t="str">
        <f>IF(TRIM(H217)="","",IFERROR(LOOKUP(2,1/(ISNUMBER(SEARCH('منطق دسته‌بندی'!$A$2:$A$187,H217))),'منطق دسته‌بندی'!$B$2:$B$187),"سایر (نیازمند بررسی دستی)"))</f>
        <v>خرابی - برد الکترونیک (تعویض)</v>
      </c>
      <c r="N217" s="3" t="s">
        <v>948</v>
      </c>
      <c r="O217" s="3" t="s">
        <v>25</v>
      </c>
    </row>
    <row r="218" spans="1:15" ht="30" customHeight="1">
      <c r="A218" s="3" t="s">
        <v>949</v>
      </c>
      <c r="B218" s="3" t="s">
        <v>917</v>
      </c>
      <c r="C218" s="3" t="s">
        <v>918</v>
      </c>
      <c r="D218" s="3" t="s">
        <v>43</v>
      </c>
      <c r="E218" s="3" t="s">
        <v>44</v>
      </c>
      <c r="F218" s="3" t="s">
        <v>950</v>
      </c>
      <c r="G218" s="3" t="s">
        <v>640</v>
      </c>
      <c r="H218" s="3" t="s">
        <v>951</v>
      </c>
      <c r="I218" s="3" t="s">
        <v>945</v>
      </c>
      <c r="J218" s="3" t="s">
        <v>952</v>
      </c>
      <c r="K218" s="3" t="s">
        <v>886</v>
      </c>
      <c r="L218" s="4">
        <f>IF(OR(TRIM(I218)="",TRIM(K218)=""),"",IFERROR((VALUE(LEFT(TRIM(I218),4))-VALUE(LEFT(TRIM(K218),4)))*12+VALUE(MID(TRIM(I218),6,2))-VALUE(MID(TRIM(K218),6,2)),""))</f>
        <v>9</v>
      </c>
      <c r="M218" s="3" t="str">
        <f>IF(TRIM(H218)="","",IFERROR(LOOKUP(2,1/(ISNUMBER(SEARCH('منطق دسته‌بندی'!$A$2:$A$187,H218))),'منطق دسته‌بندی'!$B$2:$B$187),"سایر (نیازمند بررسی دستی)"))</f>
        <v>تنظیم - تنظیمات دستگاه/دیسپلی (تعمیر)</v>
      </c>
      <c r="N218" s="3" t="s">
        <v>24</v>
      </c>
      <c r="O218" s="3" t="s">
        <v>25</v>
      </c>
    </row>
    <row r="219" spans="1:15" ht="30" customHeight="1">
      <c r="A219" s="3" t="s">
        <v>953</v>
      </c>
      <c r="B219" s="3" t="s">
        <v>917</v>
      </c>
      <c r="C219" s="3" t="s">
        <v>918</v>
      </c>
      <c r="D219" s="3" t="s">
        <v>127</v>
      </c>
      <c r="E219" s="3" t="s">
        <v>128</v>
      </c>
      <c r="F219" s="3" t="s">
        <v>926</v>
      </c>
      <c r="G219" s="3" t="s">
        <v>954</v>
      </c>
      <c r="H219" s="3" t="s">
        <v>563</v>
      </c>
      <c r="I219" s="3" t="s">
        <v>955</v>
      </c>
      <c r="J219" s="3" t="s">
        <v>447</v>
      </c>
      <c r="K219" s="3" t="s">
        <v>490</v>
      </c>
      <c r="L219" s="4">
        <f>IF(OR(TRIM(I219)="",TRIM(K219)=""),"",IFERROR((VALUE(LEFT(TRIM(I219),4))-VALUE(LEFT(TRIM(K219),4)))*12+VALUE(MID(TRIM(I219),6,2))-VALUE(MID(TRIM(K219),6,2)),""))</f>
        <v>17</v>
      </c>
      <c r="M219" s="3" t="str">
        <f>IF(TRIM(H219)="","",IFERROR(LOOKUP(2,1/(ISNUMBER(SEARCH('منطق دسته‌بندی'!$A$2:$A$187,H219))),'منطق دسته‌بندی'!$B$2:$B$187),"سایر (نیازمند بررسی دستی)"))</f>
        <v>مکانیزم درب - لولا (تنظیم)</v>
      </c>
      <c r="N219" s="3" t="s">
        <v>24</v>
      </c>
      <c r="O219" s="3" t="s">
        <v>78</v>
      </c>
    </row>
    <row r="220" spans="1:15" ht="30" customHeight="1">
      <c r="A220" s="3" t="s">
        <v>956</v>
      </c>
      <c r="B220" s="3" t="s">
        <v>917</v>
      </c>
      <c r="C220" s="3" t="s">
        <v>918</v>
      </c>
      <c r="D220" s="3" t="s">
        <v>127</v>
      </c>
      <c r="E220" s="3" t="s">
        <v>128</v>
      </c>
      <c r="F220" s="3" t="s">
        <v>957</v>
      </c>
      <c r="G220" s="3" t="s">
        <v>214</v>
      </c>
      <c r="H220" s="3" t="s">
        <v>958</v>
      </c>
      <c r="I220" s="3" t="s">
        <v>955</v>
      </c>
      <c r="J220" s="3" t="s">
        <v>959</v>
      </c>
      <c r="K220" s="3" t="s">
        <v>960</v>
      </c>
      <c r="L220" s="4">
        <f>IF(OR(TRIM(I220)="",TRIM(K220)=""),"",IFERROR((VALUE(LEFT(TRIM(I220),4))-VALUE(LEFT(TRIM(K220),4)))*12+VALUE(MID(TRIM(I220),6,2))-VALUE(MID(TRIM(K220),6,2)),""))</f>
        <v>3</v>
      </c>
      <c r="M220" s="3" t="str">
        <f>IF(TRIM(H220)="","",IFERROR(LOOKUP(2,1/(ISNUMBER(SEARCH('منطق دسته‌بندی'!$A$2:$A$187,H220))),'منطق دسته‌بندی'!$B$2:$B$187),"سایر (نیازمند بررسی دستی)"))</f>
        <v>یخساز - قالب/مکانیزم (تنظیم)</v>
      </c>
      <c r="N220" s="3" t="s">
        <v>24</v>
      </c>
      <c r="O220" s="3" t="s">
        <v>25</v>
      </c>
    </row>
    <row r="221" spans="1:15" ht="30" customHeight="1">
      <c r="A221" s="3" t="s">
        <v>961</v>
      </c>
      <c r="B221" s="3" t="s">
        <v>917</v>
      </c>
      <c r="C221" s="3" t="s">
        <v>918</v>
      </c>
      <c r="D221" s="3" t="s">
        <v>127</v>
      </c>
      <c r="E221" s="3" t="s">
        <v>128</v>
      </c>
      <c r="F221" s="3" t="s">
        <v>260</v>
      </c>
      <c r="G221" s="3" t="s">
        <v>962</v>
      </c>
      <c r="H221" s="3" t="s">
        <v>963</v>
      </c>
      <c r="I221" s="3" t="s">
        <v>955</v>
      </c>
      <c r="J221" s="3" t="s">
        <v>261</v>
      </c>
      <c r="K221" s="3" t="s">
        <v>262</v>
      </c>
      <c r="L221" s="4">
        <f>IF(OR(TRIM(I221)="",TRIM(K221)=""),"",IFERROR((VALUE(LEFT(TRIM(I221),4))-VALUE(LEFT(TRIM(K221),4)))*12+VALUE(MID(TRIM(I221),6,2))-VALUE(MID(TRIM(K221),6,2)),""))</f>
        <v>10</v>
      </c>
      <c r="M221" s="3" t="str">
        <f>IF(TRIM(H221)="","",IFERROR(LOOKUP(2,1/(ISNUMBER(SEARCH('منطق دسته‌بندی'!$A$2:$A$187,H221))),'منطق دسته‌بندی'!$B$2:$B$187),"سایر (نیازمند بررسی دستی)"))</f>
        <v>یخساز - خرابی سنسور (تعویض)</v>
      </c>
      <c r="N221" s="3" t="s">
        <v>964</v>
      </c>
      <c r="O221" s="3" t="s">
        <v>78</v>
      </c>
    </row>
    <row r="222" spans="1:15" ht="30" customHeight="1">
      <c r="A222" s="3" t="s">
        <v>965</v>
      </c>
      <c r="B222" s="3" t="s">
        <v>917</v>
      </c>
      <c r="C222" s="3" t="s">
        <v>918</v>
      </c>
      <c r="D222" s="3" t="s">
        <v>43</v>
      </c>
      <c r="E222" s="3" t="s">
        <v>44</v>
      </c>
      <c r="F222" s="3" t="s">
        <v>966</v>
      </c>
      <c r="G222" s="3" t="s">
        <v>117</v>
      </c>
      <c r="H222" s="3" t="s">
        <v>951</v>
      </c>
      <c r="I222" s="3" t="s">
        <v>955</v>
      </c>
      <c r="J222" s="3" t="s">
        <v>967</v>
      </c>
      <c r="K222" s="3" t="s">
        <v>350</v>
      </c>
      <c r="L222" s="4">
        <f>IF(OR(TRIM(I222)="",TRIM(K222)=""),"",IFERROR((VALUE(LEFT(TRIM(I222),4))-VALUE(LEFT(TRIM(K222),4)))*12+VALUE(MID(TRIM(I222),6,2))-VALUE(MID(TRIM(K222),6,2)),""))</f>
        <v>17</v>
      </c>
      <c r="M222" s="3" t="str">
        <f>IF(TRIM(H222)="","",IFERROR(LOOKUP(2,1/(ISNUMBER(SEARCH('منطق دسته‌بندی'!$A$2:$A$187,H222))),'منطق دسته‌بندی'!$B$2:$B$187),"سایر (نیازمند بررسی دستی)"))</f>
        <v>تنظیم - تنظیمات دستگاه/دیسپلی (تعمیر)</v>
      </c>
      <c r="N222" s="3" t="s">
        <v>77</v>
      </c>
      <c r="O222" s="3" t="s">
        <v>25</v>
      </c>
    </row>
    <row r="223" spans="1:15" ht="30" customHeight="1">
      <c r="A223" s="3" t="s">
        <v>968</v>
      </c>
      <c r="B223" s="3" t="s">
        <v>917</v>
      </c>
      <c r="C223" s="3" t="s">
        <v>918</v>
      </c>
      <c r="D223" s="3" t="s">
        <v>108</v>
      </c>
      <c r="E223" s="3" t="s">
        <v>884</v>
      </c>
      <c r="F223" s="3" t="s">
        <v>969</v>
      </c>
      <c r="G223" s="3" t="s">
        <v>791</v>
      </c>
      <c r="H223" s="3" t="s">
        <v>630</v>
      </c>
      <c r="I223" s="3" t="s">
        <v>955</v>
      </c>
      <c r="J223" s="3" t="s">
        <v>970</v>
      </c>
      <c r="K223" s="3" t="s">
        <v>970</v>
      </c>
      <c r="L223" s="4">
        <f>IF(OR(TRIM(I223)="",TRIM(K223)=""),"",IFERROR((VALUE(LEFT(TRIM(I223),4))-VALUE(LEFT(TRIM(K223),4)))*12+VALUE(MID(TRIM(I223),6,2))-VALUE(MID(TRIM(K223),6,2)),""))</f>
        <v>0</v>
      </c>
      <c r="M223" s="3" t="str">
        <f>IF(TRIM(H223)="","",IFERROR(LOOKUP(2,1/(ISNUMBER(SEARCH('منطق دسته‌بندی'!$A$2:$A$187,H223))),'منطق دسته‌بندی'!$B$2:$B$187),"سایر (نیازمند بررسی دستی)"))</f>
        <v>خرابی - لامپ/LED داخلی (تعویض)</v>
      </c>
      <c r="N223" s="3" t="s">
        <v>633</v>
      </c>
      <c r="O223" s="3" t="s">
        <v>25</v>
      </c>
    </row>
    <row r="224" spans="1:15" ht="30" customHeight="1">
      <c r="A224" s="3" t="s">
        <v>971</v>
      </c>
      <c r="B224" s="3" t="s">
        <v>917</v>
      </c>
      <c r="C224" s="3" t="s">
        <v>918</v>
      </c>
      <c r="D224" s="3" t="s">
        <v>1402</v>
      </c>
      <c r="E224" s="3" t="s">
        <v>18</v>
      </c>
      <c r="F224" s="3" t="s">
        <v>972</v>
      </c>
      <c r="G224" s="3" t="s">
        <v>640</v>
      </c>
      <c r="H224" s="3" t="s">
        <v>118</v>
      </c>
      <c r="I224" s="3" t="s">
        <v>973</v>
      </c>
      <c r="J224" s="3" t="s">
        <v>601</v>
      </c>
      <c r="K224" s="3" t="s">
        <v>955</v>
      </c>
      <c r="L224" s="4">
        <f>IF(OR(TRIM(I224)="",TRIM(K224)=""),"",IFERROR((VALUE(LEFT(TRIM(I224),4))-VALUE(LEFT(TRIM(K224),4)))*12+VALUE(MID(TRIM(I224),6,2))-VALUE(MID(TRIM(K224),6,2)),""))</f>
        <v>0</v>
      </c>
      <c r="M224" s="3" t="str">
        <f>IF(TRIM(H224)="","",IFERROR(LOOKUP(2,1/(ISNUMBER(SEARCH('منطق دسته‌بندی'!$A$2:$A$187,H224))),'منطق دسته‌بندی'!$B$2:$B$187),"سایر (نیازمند بررسی دستی)"))</f>
        <v>مکانیزم درب - مهره/اتصال (تنظیم)</v>
      </c>
      <c r="N224" s="3" t="s">
        <v>24</v>
      </c>
      <c r="O224" s="3" t="s">
        <v>25</v>
      </c>
    </row>
    <row r="225" spans="1:15" ht="30" customHeight="1">
      <c r="A225" s="3" t="s">
        <v>974</v>
      </c>
      <c r="B225" s="3" t="s">
        <v>917</v>
      </c>
      <c r="C225" s="3" t="s">
        <v>918</v>
      </c>
      <c r="D225" s="3" t="s">
        <v>108</v>
      </c>
      <c r="E225" s="3" t="s">
        <v>391</v>
      </c>
      <c r="F225" s="3" t="s">
        <v>628</v>
      </c>
      <c r="G225" s="3" t="s">
        <v>975</v>
      </c>
      <c r="H225" s="3" t="s">
        <v>630</v>
      </c>
      <c r="I225" s="3" t="s">
        <v>973</v>
      </c>
      <c r="J225" s="3" t="s">
        <v>631</v>
      </c>
      <c r="K225" s="3" t="s">
        <v>632</v>
      </c>
      <c r="L225" s="4">
        <f>IF(OR(TRIM(I225)="",TRIM(K225)=""),"",IFERROR((VALUE(LEFT(TRIM(I225),4))-VALUE(LEFT(TRIM(K225),4)))*12+VALUE(MID(TRIM(I225),6,2))-VALUE(MID(TRIM(K225),6,2)),""))</f>
        <v>7</v>
      </c>
      <c r="M225" s="3" t="str">
        <f>IF(TRIM(H225)="","",IFERROR(LOOKUP(2,1/(ISNUMBER(SEARCH('منطق دسته‌بندی'!$A$2:$A$187,H225))),'منطق دسته‌بندی'!$B$2:$B$187),"سایر (نیازمند بررسی دستی)"))</f>
        <v>خرابی - لامپ/LED داخلی (تعویض)</v>
      </c>
      <c r="N225" s="3" t="s">
        <v>976</v>
      </c>
      <c r="O225" s="3" t="s">
        <v>78</v>
      </c>
    </row>
    <row r="226" spans="1:15" ht="30" customHeight="1">
      <c r="A226" s="3" t="s">
        <v>977</v>
      </c>
      <c r="B226" s="3" t="s">
        <v>917</v>
      </c>
      <c r="C226" s="3" t="s">
        <v>918</v>
      </c>
      <c r="D226" s="3" t="s">
        <v>127</v>
      </c>
      <c r="E226" s="3" t="s">
        <v>128</v>
      </c>
      <c r="F226" s="3" t="s">
        <v>978</v>
      </c>
      <c r="G226" s="3" t="s">
        <v>621</v>
      </c>
      <c r="H226" s="3" t="s">
        <v>979</v>
      </c>
      <c r="I226" s="3" t="s">
        <v>980</v>
      </c>
      <c r="J226" s="3" t="s">
        <v>261</v>
      </c>
      <c r="K226" s="3" t="s">
        <v>370</v>
      </c>
      <c r="L226" s="4">
        <f>IF(OR(TRIM(I226)="",TRIM(K226)=""),"",IFERROR((VALUE(LEFT(TRIM(I226),4))-VALUE(LEFT(TRIM(K226),4)))*12+VALUE(MID(TRIM(I226),6,2))-VALUE(MID(TRIM(K226),6,2)),""))</f>
        <v>10</v>
      </c>
      <c r="M226" s="3" t="str">
        <f>IF(TRIM(H226)="","",IFERROR(LOOKUP(2,1/(ISNUMBER(SEARCH('منطق دسته‌بندی'!$A$2:$A$187,H226))),'منطق دسته‌بندی'!$B$2:$B$187),"سایر (نیازمند بررسی دستی)"))</f>
        <v>یخساز - خرابی موتور/سنسور/برد (تعویض)</v>
      </c>
      <c r="N226" s="3" t="s">
        <v>981</v>
      </c>
      <c r="O226" s="3" t="s">
        <v>25</v>
      </c>
    </row>
    <row r="227" spans="1:15" ht="30" customHeight="1">
      <c r="A227" s="3" t="s">
        <v>982</v>
      </c>
      <c r="B227" s="3" t="s">
        <v>917</v>
      </c>
      <c r="C227" s="3" t="s">
        <v>918</v>
      </c>
      <c r="D227" s="3" t="s">
        <v>43</v>
      </c>
      <c r="E227" s="3" t="s">
        <v>44</v>
      </c>
      <c r="F227" s="3" t="s">
        <v>983</v>
      </c>
      <c r="G227" s="3" t="s">
        <v>611</v>
      </c>
      <c r="H227" s="3" t="s">
        <v>156</v>
      </c>
      <c r="I227" s="3" t="s">
        <v>980</v>
      </c>
      <c r="J227" s="3" t="s">
        <v>984</v>
      </c>
      <c r="K227" s="3" t="s">
        <v>985</v>
      </c>
      <c r="L227" s="4">
        <f>IF(OR(TRIM(I227)="",TRIM(K227)=""),"",IFERROR((VALUE(LEFT(TRIM(I227),4))-VALUE(LEFT(TRIM(K227),4)))*12+VALUE(MID(TRIM(I227),6,2))-VALUE(MID(TRIM(K227),6,2)),""))</f>
        <v>19</v>
      </c>
      <c r="M227" s="3" t="str">
        <f>IF(TRIM(H227)="","",IFERROR(LOOKUP(2,1/(ISNUMBER(SEARCH('منطق دسته‌بندی'!$A$2:$A$187,H227))),'منطق دسته‌بندی'!$B$2:$B$187),"سایر (نیازمند بررسی دستی)"))</f>
        <v>خرابی - شیربرقی (تعویض)</v>
      </c>
      <c r="N227" s="3" t="s">
        <v>158</v>
      </c>
      <c r="O227" s="3" t="s">
        <v>25</v>
      </c>
    </row>
    <row r="228" spans="1:15" ht="45" customHeight="1">
      <c r="A228" s="3" t="s">
        <v>986</v>
      </c>
      <c r="B228" s="3" t="s">
        <v>917</v>
      </c>
      <c r="C228" s="3" t="s">
        <v>918</v>
      </c>
      <c r="D228" s="3" t="s">
        <v>43</v>
      </c>
      <c r="E228" s="3" t="s">
        <v>44</v>
      </c>
      <c r="F228" s="3" t="s">
        <v>950</v>
      </c>
      <c r="G228" s="3" t="s">
        <v>987</v>
      </c>
      <c r="H228" s="3" t="s">
        <v>988</v>
      </c>
      <c r="I228" s="3" t="s">
        <v>980</v>
      </c>
      <c r="J228" s="3" t="s">
        <v>952</v>
      </c>
      <c r="K228" s="3" t="s">
        <v>886</v>
      </c>
      <c r="L228" s="4">
        <f>IF(OR(TRIM(I228)="",TRIM(K228)=""),"",IFERROR((VALUE(LEFT(TRIM(I228),4))-VALUE(LEFT(TRIM(K228),4)))*12+VALUE(MID(TRIM(I228),6,2))-VALUE(MID(TRIM(K228),6,2)),""))</f>
        <v>9</v>
      </c>
      <c r="M228" s="3" t="str">
        <f>IF(TRIM(H228)="","",IFERROR(LOOKUP(2,1/(ISNUMBER(SEARCH('منطق دسته‌بندی'!$A$2:$A$187,H228))),'منطق دسته‌بندی'!$B$2:$B$187),"سایر (نیازمند بررسی دستی)"))</f>
        <v>تنظیم - تنظیمات دستگاه/دیسپلی (تعمیر)</v>
      </c>
      <c r="N228" s="3" t="s">
        <v>24</v>
      </c>
      <c r="O228" s="3" t="s">
        <v>78</v>
      </c>
    </row>
    <row r="229" spans="1:15" ht="30" customHeight="1">
      <c r="A229" s="3" t="s">
        <v>989</v>
      </c>
      <c r="B229" s="3" t="s">
        <v>917</v>
      </c>
      <c r="C229" s="3" t="s">
        <v>918</v>
      </c>
      <c r="D229" s="3" t="s">
        <v>127</v>
      </c>
      <c r="E229" s="3" t="s">
        <v>128</v>
      </c>
      <c r="F229" s="3" t="s">
        <v>990</v>
      </c>
      <c r="G229" s="3" t="s">
        <v>214</v>
      </c>
      <c r="H229" s="3" t="s">
        <v>278</v>
      </c>
      <c r="I229" s="3" t="s">
        <v>980</v>
      </c>
      <c r="J229" s="3" t="s">
        <v>959</v>
      </c>
      <c r="K229" s="3" t="s">
        <v>960</v>
      </c>
      <c r="L229" s="4">
        <f>IF(OR(TRIM(I229)="",TRIM(K229)=""),"",IFERROR((VALUE(LEFT(TRIM(I229),4))-VALUE(LEFT(TRIM(K229),4)))*12+VALUE(MID(TRIM(I229),6,2))-VALUE(MID(TRIM(K229),6,2)),""))</f>
        <v>3</v>
      </c>
      <c r="M229" s="3" t="str">
        <f>IF(TRIM(H229)="","",IFERROR(LOOKUP(2,1/(ISNUMBER(SEARCH('منطق دسته‌بندی'!$A$2:$A$187,H229))),'منطق دسته‌بندی'!$B$2:$B$187),"سایر (نیازمند بررسی دستی)"))</f>
        <v>یخساز - تنظیم/عایق (تعمیر)</v>
      </c>
      <c r="N229" s="3" t="s">
        <v>24</v>
      </c>
      <c r="O229" s="3" t="s">
        <v>25</v>
      </c>
    </row>
    <row r="230" spans="1:15" ht="30" customHeight="1">
      <c r="A230" s="3" t="s">
        <v>991</v>
      </c>
      <c r="B230" s="3" t="s">
        <v>917</v>
      </c>
      <c r="C230" s="3" t="s">
        <v>918</v>
      </c>
      <c r="D230" s="3" t="s">
        <v>1402</v>
      </c>
      <c r="E230" s="3" t="s">
        <v>143</v>
      </c>
      <c r="F230" s="3" t="s">
        <v>992</v>
      </c>
      <c r="G230" s="3" t="s">
        <v>224</v>
      </c>
      <c r="H230" s="3" t="s">
        <v>146</v>
      </c>
      <c r="I230" s="3" t="s">
        <v>993</v>
      </c>
      <c r="J230" s="3" t="s">
        <v>994</v>
      </c>
      <c r="K230" s="3" t="s">
        <v>920</v>
      </c>
      <c r="L230" s="4">
        <f>IF(OR(TRIM(I230)="",TRIM(K230)=""),"",IFERROR((VALUE(LEFT(TRIM(I230),4))-VALUE(LEFT(TRIM(K230),4)))*12+VALUE(MID(TRIM(I230),6,2))-VALUE(MID(TRIM(K230),6,2)),""))</f>
        <v>0</v>
      </c>
      <c r="M230" s="3" t="str">
        <f>IF(TRIM(H230)="","",IFERROR(LOOKUP(2,1/(ISNUMBER(SEARCH('منطق دسته‌بندی'!$A$2:$A$187,H230))),'منطق دسته‌بندی'!$B$2:$B$187),"سایر (نیازمند بررسی دستی)"))</f>
        <v>تراز/لرزش - نصب (رگلاژ پایه)</v>
      </c>
      <c r="N230" s="3" t="s">
        <v>24</v>
      </c>
      <c r="O230" s="3" t="s">
        <v>25</v>
      </c>
    </row>
    <row r="231" spans="1:15">
      <c r="A231" s="3" t="s">
        <v>995</v>
      </c>
      <c r="B231" s="3" t="s">
        <v>917</v>
      </c>
      <c r="C231" s="3" t="s">
        <v>918</v>
      </c>
      <c r="D231" s="3" t="s">
        <v>43</v>
      </c>
      <c r="E231" s="3" t="s">
        <v>44</v>
      </c>
      <c r="F231" s="3" t="s">
        <v>996</v>
      </c>
      <c r="G231" s="3" t="s">
        <v>81</v>
      </c>
      <c r="H231" s="3" t="s">
        <v>82</v>
      </c>
      <c r="I231" s="3" t="s">
        <v>997</v>
      </c>
      <c r="J231" s="3" t="s">
        <v>998</v>
      </c>
      <c r="K231" s="3" t="s">
        <v>700</v>
      </c>
      <c r="L231" s="4">
        <f>IF(OR(TRIM(I231)="",TRIM(K231)=""),"",IFERROR((VALUE(LEFT(TRIM(I231),4))-VALUE(LEFT(TRIM(K231),4)))*12+VALUE(MID(TRIM(I231),6,2))-VALUE(MID(TRIM(K231),6,2)),""))</f>
        <v>5</v>
      </c>
      <c r="M231" s="3" t="str">
        <f>IF(TRIM(H231)="","",IFERROR(LOOKUP(2,1/(ISNUMBER(SEARCH('منطق دسته‌بندی'!$A$2:$A$187,H231))),'منطق دسته‌بندی'!$B$2:$B$187),"سایر (نیازمند بررسی دستی)"))</f>
        <v>نشتی - درب مخزن نمک (تعمیر/آب‌بندی)</v>
      </c>
      <c r="N231" s="3" t="s">
        <v>24</v>
      </c>
      <c r="O231" s="3" t="s">
        <v>25</v>
      </c>
    </row>
    <row r="232" spans="1:15" ht="30" customHeight="1">
      <c r="A232" s="3" t="s">
        <v>999</v>
      </c>
      <c r="B232" s="3" t="s">
        <v>917</v>
      </c>
      <c r="C232" s="3" t="s">
        <v>918</v>
      </c>
      <c r="D232" s="3" t="s">
        <v>43</v>
      </c>
      <c r="E232" s="3" t="s">
        <v>44</v>
      </c>
      <c r="F232" s="3" t="s">
        <v>1000</v>
      </c>
      <c r="G232" s="3" t="s">
        <v>934</v>
      </c>
      <c r="H232" s="3" t="s">
        <v>944</v>
      </c>
      <c r="I232" s="3" t="s">
        <v>1001</v>
      </c>
      <c r="J232" s="3" t="s">
        <v>1002</v>
      </c>
      <c r="K232" s="3" t="s">
        <v>1003</v>
      </c>
      <c r="L232" s="4">
        <f>IF(OR(TRIM(I232)="",TRIM(K232)=""),"",IFERROR((VALUE(LEFT(TRIM(I232),4))-VALUE(LEFT(TRIM(K232),4)))*12+VALUE(MID(TRIM(I232),6,2))-VALUE(MID(TRIM(K232),6,2)),""))</f>
        <v>9</v>
      </c>
      <c r="M232" s="3" t="str">
        <f>IF(TRIM(H232)="","",IFERROR(LOOKUP(2,1/(ISNUMBER(SEARCH('منطق دسته‌بندی'!$A$2:$A$187,H232))),'منطق دسته‌بندی'!$B$2:$B$187),"سایر (نیازمند بررسی دستی)"))</f>
        <v>خرابی - برد الکترونیک (تعویض)</v>
      </c>
      <c r="N232" s="3" t="s">
        <v>948</v>
      </c>
      <c r="O232" s="3" t="s">
        <v>25</v>
      </c>
    </row>
    <row r="233" spans="1:15" ht="30" customHeight="1">
      <c r="A233" s="3" t="s">
        <v>1004</v>
      </c>
      <c r="B233" s="3" t="s">
        <v>917</v>
      </c>
      <c r="C233" s="3" t="s">
        <v>918</v>
      </c>
      <c r="D233" s="3" t="s">
        <v>127</v>
      </c>
      <c r="E233" s="3" t="s">
        <v>128</v>
      </c>
      <c r="F233" s="3" t="s">
        <v>1005</v>
      </c>
      <c r="G233" s="3" t="s">
        <v>130</v>
      </c>
      <c r="H233" s="3" t="s">
        <v>131</v>
      </c>
      <c r="I233" s="3" t="s">
        <v>1006</v>
      </c>
      <c r="J233" s="3" t="s">
        <v>1007</v>
      </c>
      <c r="K233" s="3" t="s">
        <v>435</v>
      </c>
      <c r="L233" s="4">
        <f>IF(OR(TRIM(I233)="",TRIM(K233)=""),"",IFERROR((VALUE(LEFT(TRIM(I233),4))-VALUE(LEFT(TRIM(K233),4)))*12+VALUE(MID(TRIM(I233),6,2))-VALUE(MID(TRIM(K233),6,2)),""))</f>
        <v>12</v>
      </c>
      <c r="M233" s="3" t="str">
        <f>IF(TRIM(H233)="","",IFERROR(LOOKUP(2,1/(ISNUMBER(SEARCH('منطق دسته‌بندی'!$A$2:$A$187,H233))),'منطق دسته‌بندی'!$B$2:$B$187),"سایر (نیازمند بررسی دستی)"))</f>
        <v>غیرگارانتی/بدون قطعه</v>
      </c>
      <c r="N233" s="3" t="s">
        <v>24</v>
      </c>
      <c r="O233" s="3" t="s">
        <v>25</v>
      </c>
    </row>
    <row r="234" spans="1:15" ht="30" customHeight="1">
      <c r="A234" s="3" t="s">
        <v>1008</v>
      </c>
      <c r="B234" s="3" t="s">
        <v>917</v>
      </c>
      <c r="C234" s="3" t="s">
        <v>918</v>
      </c>
      <c r="D234" s="3" t="s">
        <v>43</v>
      </c>
      <c r="E234" s="3" t="s">
        <v>44</v>
      </c>
      <c r="F234" s="3" t="s">
        <v>1009</v>
      </c>
      <c r="G234" s="3" t="s">
        <v>934</v>
      </c>
      <c r="H234" s="3" t="s">
        <v>944</v>
      </c>
      <c r="I234" s="3" t="s">
        <v>1010</v>
      </c>
      <c r="J234" s="3" t="s">
        <v>1011</v>
      </c>
      <c r="K234" s="3" t="s">
        <v>579</v>
      </c>
      <c r="L234" s="4">
        <f>IF(OR(TRIM(I234)="",TRIM(K234)=""),"",IFERROR((VALUE(LEFT(TRIM(I234),4))-VALUE(LEFT(TRIM(K234),4)))*12+VALUE(MID(TRIM(I234),6,2))-VALUE(MID(TRIM(K234),6,2)),""))</f>
        <v>2</v>
      </c>
      <c r="M234" s="3" t="str">
        <f>IF(TRIM(H234)="","",IFERROR(LOOKUP(2,1/(ISNUMBER(SEARCH('منطق دسته‌بندی'!$A$2:$A$187,H234))),'منطق دسته‌بندی'!$B$2:$B$187),"سایر (نیازمند بررسی دستی)"))</f>
        <v>خرابی - برد الکترونیک (تعویض)</v>
      </c>
      <c r="N234" s="3" t="s">
        <v>948</v>
      </c>
      <c r="O234" s="3" t="s">
        <v>25</v>
      </c>
    </row>
    <row r="235" spans="1:15" ht="30" customHeight="1">
      <c r="A235" s="3" t="s">
        <v>1012</v>
      </c>
      <c r="B235" s="3" t="s">
        <v>917</v>
      </c>
      <c r="C235" s="3" t="s">
        <v>918</v>
      </c>
      <c r="D235" s="3" t="s">
        <v>127</v>
      </c>
      <c r="E235" s="3" t="s">
        <v>128</v>
      </c>
      <c r="F235" s="3" t="s">
        <v>1013</v>
      </c>
      <c r="G235" s="3" t="s">
        <v>130</v>
      </c>
      <c r="H235" s="3" t="s">
        <v>131</v>
      </c>
      <c r="I235" s="3" t="s">
        <v>1010</v>
      </c>
      <c r="J235" s="3" t="s">
        <v>504</v>
      </c>
      <c r="K235" s="3" t="s">
        <v>1014</v>
      </c>
      <c r="L235" s="4">
        <f>IF(OR(TRIM(I235)="",TRIM(K235)=""),"",IFERROR((VALUE(LEFT(TRIM(I235),4))-VALUE(LEFT(TRIM(K235),4)))*12+VALUE(MID(TRIM(I235),6,2))-VALUE(MID(TRIM(K235),6,2)),""))</f>
        <v>20</v>
      </c>
      <c r="M235" s="3" t="str">
        <f>IF(TRIM(H235)="","",IFERROR(LOOKUP(2,1/(ISNUMBER(SEARCH('منطق دسته‌بندی'!$A$2:$A$187,H235))),'منطق دسته‌بندی'!$B$2:$B$187),"سایر (نیازمند بررسی دستی)"))</f>
        <v>غیرگارانتی/بدون قطعه</v>
      </c>
      <c r="N235" s="3" t="s">
        <v>24</v>
      </c>
      <c r="O235" s="3" t="s">
        <v>25</v>
      </c>
    </row>
    <row r="236" spans="1:15">
      <c r="A236" s="3" t="s">
        <v>1015</v>
      </c>
      <c r="B236" s="3" t="s">
        <v>917</v>
      </c>
      <c r="C236" s="3" t="s">
        <v>918</v>
      </c>
      <c r="D236" s="3" t="s">
        <v>1402</v>
      </c>
      <c r="E236" s="3" t="s">
        <v>18</v>
      </c>
      <c r="F236" s="3" t="s">
        <v>1016</v>
      </c>
      <c r="G236" s="3" t="s">
        <v>186</v>
      </c>
      <c r="H236" s="3" t="s">
        <v>323</v>
      </c>
      <c r="I236" s="3" t="s">
        <v>1017</v>
      </c>
      <c r="J236" s="3" t="s">
        <v>1018</v>
      </c>
      <c r="K236" s="3" t="s">
        <v>1019</v>
      </c>
      <c r="L236" s="4">
        <f>IF(OR(TRIM(I236)="",TRIM(K236)=""),"",IFERROR((VALUE(LEFT(TRIM(I236),4))-VALUE(LEFT(TRIM(K236),4)))*12+VALUE(MID(TRIM(I236),6,2))-VALUE(MID(TRIM(K236),6,2)),""))</f>
        <v>25</v>
      </c>
      <c r="M236" s="3" t="str">
        <f>IF(TRIM(H236)="","",IFERROR(LOOKUP(2,1/(ISNUMBER(SEARCH('منطق دسته‌بندی'!$A$2:$A$187,H236))),'منطق دسته‌بندی'!$B$2:$B$187),"سایر (نیازمند بررسی دستی)"))</f>
        <v>نشتی - شیلنگ (تعمیر/آب‌بندی)</v>
      </c>
      <c r="N236" s="3" t="s">
        <v>24</v>
      </c>
      <c r="O236" s="3" t="s">
        <v>25</v>
      </c>
    </row>
    <row r="237" spans="1:15" ht="30" customHeight="1">
      <c r="A237" s="3" t="s">
        <v>1020</v>
      </c>
      <c r="B237" s="3" t="s">
        <v>917</v>
      </c>
      <c r="C237" s="3" t="s">
        <v>918</v>
      </c>
      <c r="D237" s="3" t="s">
        <v>127</v>
      </c>
      <c r="E237" s="3" t="s">
        <v>128</v>
      </c>
      <c r="F237" s="3" t="s">
        <v>1021</v>
      </c>
      <c r="G237" s="3" t="s">
        <v>1022</v>
      </c>
      <c r="H237" s="3" t="s">
        <v>1023</v>
      </c>
      <c r="I237" s="3" t="s">
        <v>1017</v>
      </c>
      <c r="J237" s="3" t="s">
        <v>1024</v>
      </c>
      <c r="K237" s="3" t="s">
        <v>1025</v>
      </c>
      <c r="L237" s="4">
        <f>IF(OR(TRIM(I237)="",TRIM(K237)=""),"",IFERROR((VALUE(LEFT(TRIM(I237),4))-VALUE(LEFT(TRIM(K237),4)))*12+VALUE(MID(TRIM(I237),6,2))-VALUE(MID(TRIM(K237),6,2)),""))</f>
        <v>8</v>
      </c>
      <c r="M237" s="3" t="str">
        <f>IF(TRIM(H237)="","",IFERROR(LOOKUP(2,1/(ISNUMBER(SEARCH('منطق دسته‌بندی'!$A$2:$A$187,H237))),'منطق دسته‌بندی'!$B$2:$B$187),"سایر (نیازمند بررسی دستی)"))</f>
        <v>مکانیزم درب - لولا (تعویض/تنظیم)</v>
      </c>
      <c r="N237" s="3" t="s">
        <v>1026</v>
      </c>
      <c r="O237" s="3" t="s">
        <v>25</v>
      </c>
    </row>
    <row r="238" spans="1:15" ht="45" customHeight="1">
      <c r="A238" s="3" t="s">
        <v>1027</v>
      </c>
      <c r="B238" s="3" t="s">
        <v>917</v>
      </c>
      <c r="C238" s="3" t="s">
        <v>918</v>
      </c>
      <c r="D238" s="3" t="s">
        <v>127</v>
      </c>
      <c r="E238" s="3" t="s">
        <v>128</v>
      </c>
      <c r="F238" s="3" t="s">
        <v>1028</v>
      </c>
      <c r="G238" s="3" t="s">
        <v>1029</v>
      </c>
      <c r="H238" s="3" t="s">
        <v>1030</v>
      </c>
      <c r="I238" s="3" t="s">
        <v>1031</v>
      </c>
      <c r="J238" s="3" t="s">
        <v>1032</v>
      </c>
      <c r="K238" s="3" t="s">
        <v>442</v>
      </c>
      <c r="L238" s="4">
        <f>IF(OR(TRIM(I238)="",TRIM(K238)=""),"",IFERROR((VALUE(LEFT(TRIM(I238),4))-VALUE(LEFT(TRIM(K238),4)))*12+VALUE(MID(TRIM(I238),6,2))-VALUE(MID(TRIM(K238),6,2)),""))</f>
        <v>17</v>
      </c>
      <c r="M238" s="3" t="str">
        <f>IF(TRIM(H238)="","",IFERROR(LOOKUP(2,1/(ISNUMBER(SEARCH('منطق دسته‌بندی'!$A$2:$A$187,H238))),'منطق دسته‌بندی'!$B$2:$B$187),"سایر (نیازمند بررسی دستی)"))</f>
        <v>خرابی - برد الکترونیک (تعویض)</v>
      </c>
      <c r="N238" s="3" t="s">
        <v>283</v>
      </c>
      <c r="O238" s="3" t="s">
        <v>25</v>
      </c>
    </row>
    <row r="239" spans="1:15" ht="30" customHeight="1">
      <c r="A239" s="3" t="s">
        <v>1033</v>
      </c>
      <c r="B239" s="3" t="s">
        <v>917</v>
      </c>
      <c r="C239" s="3" t="s">
        <v>918</v>
      </c>
      <c r="D239" s="3" t="s">
        <v>127</v>
      </c>
      <c r="E239" s="3" t="s">
        <v>128</v>
      </c>
      <c r="F239" s="3" t="s">
        <v>1034</v>
      </c>
      <c r="G239" s="3" t="s">
        <v>214</v>
      </c>
      <c r="H239" s="3" t="s">
        <v>278</v>
      </c>
      <c r="I239" s="3" t="s">
        <v>1035</v>
      </c>
      <c r="J239" s="3" t="s">
        <v>447</v>
      </c>
      <c r="K239" s="3" t="s">
        <v>1036</v>
      </c>
      <c r="L239" s="4">
        <f>IF(OR(TRIM(I239)="",TRIM(K239)=""),"",IFERROR((VALUE(LEFT(TRIM(I239),4))-VALUE(LEFT(TRIM(K239),4)))*12+VALUE(MID(TRIM(I239),6,2))-VALUE(MID(TRIM(K239),6,2)),""))</f>
        <v>6</v>
      </c>
      <c r="M239" s="3" t="str">
        <f>IF(TRIM(H239)="","",IFERROR(LOOKUP(2,1/(ISNUMBER(SEARCH('منطق دسته‌بندی'!$A$2:$A$187,H239))),'منطق دسته‌بندی'!$B$2:$B$187),"سایر (نیازمند بررسی دستی)"))</f>
        <v>یخساز - تنظیم/عایق (تعمیر)</v>
      </c>
      <c r="N239" s="3" t="s">
        <v>24</v>
      </c>
      <c r="O239" s="3" t="s">
        <v>25</v>
      </c>
    </row>
    <row r="240" spans="1:15" ht="30" customHeight="1">
      <c r="A240" s="3" t="s">
        <v>1037</v>
      </c>
      <c r="B240" s="3" t="s">
        <v>917</v>
      </c>
      <c r="C240" s="3" t="s">
        <v>918</v>
      </c>
      <c r="D240" s="3" t="s">
        <v>43</v>
      </c>
      <c r="E240" s="3" t="s">
        <v>52</v>
      </c>
      <c r="F240" s="3" t="s">
        <v>1038</v>
      </c>
      <c r="G240" s="3" t="s">
        <v>272</v>
      </c>
      <c r="H240" s="3" t="s">
        <v>574</v>
      </c>
      <c r="I240" s="3" t="s">
        <v>1039</v>
      </c>
      <c r="J240" s="3" t="s">
        <v>1040</v>
      </c>
      <c r="K240" s="3" t="s">
        <v>1041</v>
      </c>
      <c r="L240" s="4">
        <f>IF(OR(TRIM(I240)="",TRIM(K240)=""),"",IFERROR((VALUE(LEFT(TRIM(I240),4))-VALUE(LEFT(TRIM(K240),4)))*12+VALUE(MID(TRIM(I240),6,2))-VALUE(MID(TRIM(K240),6,2)),""))</f>
        <v>23</v>
      </c>
      <c r="M240" s="3" t="str">
        <f>IF(TRIM(H240)="","",IFERROR(LOOKUP(2,1/(ISNUMBER(SEARCH('منطق دسته‌بندی'!$A$2:$A$187,H240))),'منطق دسته‌بندی'!$B$2:$B$187),"سایر (نیازمند بررسی دستی)"))</f>
        <v>نشتی - پمپ تخلیه (تعمیر/آب‌بندی)</v>
      </c>
      <c r="N240" s="3" t="s">
        <v>233</v>
      </c>
      <c r="O240" s="3" t="s">
        <v>25</v>
      </c>
    </row>
    <row r="241" spans="1:15" ht="30" customHeight="1">
      <c r="A241" s="3" t="s">
        <v>1042</v>
      </c>
      <c r="B241" s="3" t="s">
        <v>917</v>
      </c>
      <c r="C241" s="3" t="s">
        <v>918</v>
      </c>
      <c r="D241" s="3" t="s">
        <v>43</v>
      </c>
      <c r="E241" s="3" t="s">
        <v>44</v>
      </c>
      <c r="F241" s="3" t="s">
        <v>1043</v>
      </c>
      <c r="G241" s="3" t="s">
        <v>1044</v>
      </c>
      <c r="H241" s="3" t="s">
        <v>198</v>
      </c>
      <c r="I241" s="3" t="s">
        <v>1039</v>
      </c>
      <c r="J241" s="3" t="s">
        <v>1045</v>
      </c>
      <c r="K241" s="3" t="s">
        <v>452</v>
      </c>
      <c r="L241" s="4">
        <f>IF(OR(TRIM(I241)="",TRIM(K241)=""),"",IFERROR((VALUE(LEFT(TRIM(I241),4))-VALUE(LEFT(TRIM(K241),4)))*12+VALUE(MID(TRIM(I241),6,2))-VALUE(MID(TRIM(K241),6,2)),""))</f>
        <v>9</v>
      </c>
      <c r="M241" s="3" t="str">
        <f>IF(TRIM(H241)="","",IFERROR(LOOKUP(2,1/(ISNUMBER(SEARCH('منطق دسته‌بندی'!$A$2:$A$187,H241))),'منطق دسته‌بندی'!$B$2:$B$187),"سایر (نیازمند بررسی دستی)"))</f>
        <v>نشتی - مقسم آب (تعمیر/آب‌بندی)</v>
      </c>
      <c r="N241" s="3" t="s">
        <v>24</v>
      </c>
      <c r="O241" s="3" t="s">
        <v>25</v>
      </c>
    </row>
    <row r="242" spans="1:15" ht="30" customHeight="1">
      <c r="A242" s="3" t="s">
        <v>1046</v>
      </c>
      <c r="B242" s="3" t="s">
        <v>917</v>
      </c>
      <c r="C242" s="3" t="s">
        <v>918</v>
      </c>
      <c r="D242" s="3" t="s">
        <v>43</v>
      </c>
      <c r="E242" s="3" t="s">
        <v>44</v>
      </c>
      <c r="F242" s="3" t="s">
        <v>1047</v>
      </c>
      <c r="G242" s="3" t="s">
        <v>640</v>
      </c>
      <c r="H242" s="3" t="s">
        <v>69</v>
      </c>
      <c r="I242" s="3" t="s">
        <v>1048</v>
      </c>
      <c r="J242" s="3" t="s">
        <v>1049</v>
      </c>
      <c r="K242" s="3" t="s">
        <v>1050</v>
      </c>
      <c r="L242" s="4">
        <f>IF(OR(TRIM(I242)="",TRIM(K242)=""),"",IFERROR((VALUE(LEFT(TRIM(I242),4))-VALUE(LEFT(TRIM(K242),4)))*12+VALUE(MID(TRIM(I242),6,2))-VALUE(MID(TRIM(K242),6,2)),""))</f>
        <v>0</v>
      </c>
      <c r="M242" s="3" t="str">
        <f>IF(TRIM(H242)="","",IFERROR(LOOKUP(2,1/(ISNUMBER(SEARCH('منطق دسته‌بندی'!$A$2:$A$187,H242))),'منطق دسته‌بندی'!$B$2:$B$187),"سایر (نیازمند بررسی دستی)"))</f>
        <v>مکانیزم درب - میکروسوئیچ/قلاب (تعویض/تنظیم)</v>
      </c>
      <c r="N242" s="3" t="s">
        <v>77</v>
      </c>
      <c r="O242" s="3" t="s">
        <v>25</v>
      </c>
    </row>
    <row r="243" spans="1:15" ht="30" customHeight="1">
      <c r="A243" s="3" t="s">
        <v>1051</v>
      </c>
      <c r="B243" s="3" t="s">
        <v>1052</v>
      </c>
      <c r="C243" s="3" t="s">
        <v>1053</v>
      </c>
      <c r="D243" s="3" t="s">
        <v>127</v>
      </c>
      <c r="E243" s="3" t="s">
        <v>128</v>
      </c>
      <c r="F243" s="3" t="s">
        <v>1054</v>
      </c>
      <c r="G243" s="3" t="s">
        <v>1055</v>
      </c>
      <c r="H243" s="3" t="s">
        <v>278</v>
      </c>
      <c r="I243" s="3" t="s">
        <v>1056</v>
      </c>
      <c r="J243" s="3" t="s">
        <v>1057</v>
      </c>
      <c r="K243" s="3" t="s">
        <v>1058</v>
      </c>
      <c r="L243" s="4">
        <f>IF(OR(TRIM(I243)="",TRIM(K243)=""),"",IFERROR((VALUE(LEFT(TRIM(I243),4))-VALUE(LEFT(TRIM(K243),4)))*12+VALUE(MID(TRIM(I243),6,2))-VALUE(MID(TRIM(K243),6,2)),""))</f>
        <v>1</v>
      </c>
      <c r="M243" s="3" t="str">
        <f>IF(TRIM(H243)="","",IFERROR(LOOKUP(2,1/(ISNUMBER(SEARCH('منطق دسته‌بندی'!$A$2:$A$187,H243))),'منطق دسته‌بندی'!$B$2:$B$187),"سایر (نیازمند بررسی دستی)"))</f>
        <v>یخساز - تنظیم/عایق (تعمیر)</v>
      </c>
      <c r="N243" s="3" t="s">
        <v>24</v>
      </c>
      <c r="O243" s="3" t="s">
        <v>25</v>
      </c>
    </row>
    <row r="244" spans="1:15" ht="30" customHeight="1">
      <c r="A244" s="3" t="s">
        <v>1059</v>
      </c>
      <c r="B244" s="3" t="s">
        <v>1052</v>
      </c>
      <c r="C244" s="3" t="s">
        <v>1053</v>
      </c>
      <c r="D244" s="3" t="s">
        <v>127</v>
      </c>
      <c r="E244" s="3" t="s">
        <v>128</v>
      </c>
      <c r="F244" s="3" t="s">
        <v>1060</v>
      </c>
      <c r="G244" s="3" t="s">
        <v>1061</v>
      </c>
      <c r="H244" s="3" t="s">
        <v>1062</v>
      </c>
      <c r="I244" s="3" t="s">
        <v>1063</v>
      </c>
      <c r="J244" s="3" t="s">
        <v>1064</v>
      </c>
      <c r="K244" s="3" t="s">
        <v>1065</v>
      </c>
      <c r="L244" s="4">
        <f>IF(OR(TRIM(I244)="",TRIM(K244)=""),"",IFERROR((VALUE(LEFT(TRIM(I244),4))-VALUE(LEFT(TRIM(K244),4)))*12+VALUE(MID(TRIM(I244),6,2))-VALUE(MID(TRIM(K244),6,2)),""))</f>
        <v>18</v>
      </c>
      <c r="M244" s="3" t="str">
        <f>IF(TRIM(H244)="","",IFERROR(LOOKUP(2,1/(ISNUMBER(SEARCH('منطق دسته‌بندی'!$A$2:$A$187,H244))),'منطق دسته‌بندی'!$B$2:$B$187),"سایر (نیازمند بررسی دستی)"))</f>
        <v>خرابی - شیربرقی (تعویض)</v>
      </c>
      <c r="N244" s="3" t="s">
        <v>1066</v>
      </c>
      <c r="O244" s="3" t="s">
        <v>25</v>
      </c>
    </row>
    <row r="245" spans="1:15" ht="30" customHeight="1">
      <c r="A245" s="3" t="s">
        <v>1067</v>
      </c>
      <c r="B245" s="3" t="s">
        <v>1052</v>
      </c>
      <c r="C245" s="3" t="s">
        <v>1053</v>
      </c>
      <c r="D245" s="3" t="s">
        <v>127</v>
      </c>
      <c r="E245" s="3" t="s">
        <v>128</v>
      </c>
      <c r="F245" s="3" t="s">
        <v>1068</v>
      </c>
      <c r="G245" s="3" t="s">
        <v>130</v>
      </c>
      <c r="H245" s="3" t="s">
        <v>131</v>
      </c>
      <c r="I245" s="3" t="s">
        <v>1069</v>
      </c>
      <c r="J245" s="3" t="s">
        <v>1041</v>
      </c>
      <c r="K245" s="3" t="s">
        <v>1070</v>
      </c>
      <c r="L245" s="4">
        <f>IF(OR(TRIM(I245)="",TRIM(K245)=""),"",IFERROR((VALUE(LEFT(TRIM(I245),4))-VALUE(LEFT(TRIM(K245),4)))*12+VALUE(MID(TRIM(I245),6,2))-VALUE(MID(TRIM(K245),6,2)),""))</f>
        <v>17</v>
      </c>
      <c r="M245" s="3" t="str">
        <f>IF(TRIM(H245)="","",IFERROR(LOOKUP(2,1/(ISNUMBER(SEARCH('منطق دسته‌بندی'!$A$2:$A$187,H245))),'منطق دسته‌بندی'!$B$2:$B$187),"سایر (نیازمند بررسی دستی)"))</f>
        <v>غیرگارانتی/بدون قطعه</v>
      </c>
      <c r="N245" s="3" t="s">
        <v>24</v>
      </c>
      <c r="O245" s="3" t="s">
        <v>25</v>
      </c>
    </row>
    <row r="246" spans="1:15" ht="30" customHeight="1">
      <c r="A246" s="3" t="s">
        <v>1071</v>
      </c>
      <c r="B246" s="3" t="s">
        <v>1052</v>
      </c>
      <c r="C246" s="3" t="s">
        <v>1053</v>
      </c>
      <c r="D246" s="3" t="s">
        <v>127</v>
      </c>
      <c r="E246" s="3" t="s">
        <v>128</v>
      </c>
      <c r="F246" s="3" t="s">
        <v>1072</v>
      </c>
      <c r="G246" s="3" t="s">
        <v>265</v>
      </c>
      <c r="H246" s="3" t="s">
        <v>278</v>
      </c>
      <c r="I246" s="3" t="s">
        <v>1073</v>
      </c>
      <c r="J246" s="3" t="s">
        <v>1074</v>
      </c>
      <c r="K246" s="3" t="s">
        <v>1075</v>
      </c>
      <c r="L246" s="4">
        <f>IF(OR(TRIM(I246)="",TRIM(K246)=""),"",IFERROR((VALUE(LEFT(TRIM(I246),4))-VALUE(LEFT(TRIM(K246),4)))*12+VALUE(MID(TRIM(I246),6,2))-VALUE(MID(TRIM(K246),6,2)),""))</f>
        <v>20</v>
      </c>
      <c r="M246" s="3" t="str">
        <f>IF(TRIM(H246)="","",IFERROR(LOOKUP(2,1/(ISNUMBER(SEARCH('منطق دسته‌بندی'!$A$2:$A$187,H246))),'منطق دسته‌بندی'!$B$2:$B$187),"سایر (نیازمند بررسی دستی)"))</f>
        <v>یخساز - تنظیم/عایق (تعمیر)</v>
      </c>
      <c r="N246" s="3" t="s">
        <v>24</v>
      </c>
      <c r="O246" s="3" t="s">
        <v>25</v>
      </c>
    </row>
    <row r="247" spans="1:15" ht="30" customHeight="1">
      <c r="A247" s="3" t="s">
        <v>1076</v>
      </c>
      <c r="B247" s="3" t="s">
        <v>1077</v>
      </c>
      <c r="C247" s="3" t="s">
        <v>1078</v>
      </c>
      <c r="D247" s="3" t="s">
        <v>43</v>
      </c>
      <c r="E247" s="3" t="s">
        <v>1079</v>
      </c>
      <c r="F247" s="3" t="s">
        <v>1080</v>
      </c>
      <c r="G247" s="3" t="s">
        <v>573</v>
      </c>
      <c r="H247" s="3" t="s">
        <v>198</v>
      </c>
      <c r="I247" s="3" t="s">
        <v>1081</v>
      </c>
      <c r="J247" s="3" t="s">
        <v>551</v>
      </c>
      <c r="K247" s="3" t="s">
        <v>1082</v>
      </c>
      <c r="L247" s="4">
        <f>IF(OR(TRIM(I247)="",TRIM(K247)=""),"",IFERROR((VALUE(LEFT(TRIM(I247),4))-VALUE(LEFT(TRIM(K247),4)))*12+VALUE(MID(TRIM(I247),6,2))-VALUE(MID(TRIM(K247),6,2)),""))</f>
        <v>26</v>
      </c>
      <c r="M247" s="3" t="str">
        <f>IF(TRIM(H247)="","",IFERROR(LOOKUP(2,1/(ISNUMBER(SEARCH('منطق دسته‌بندی'!$A$2:$A$187,H247))),'منطق دسته‌بندی'!$B$2:$B$187),"سایر (نیازمند بررسی دستی)"))</f>
        <v>نشتی - مقسم آب (تعمیر/آب‌بندی)</v>
      </c>
      <c r="N247" s="3" t="s">
        <v>1083</v>
      </c>
      <c r="O247" s="3" t="s">
        <v>25</v>
      </c>
    </row>
    <row r="248" spans="1:15">
      <c r="A248" s="3" t="s">
        <v>1084</v>
      </c>
      <c r="B248" s="3" t="s">
        <v>1077</v>
      </c>
      <c r="C248" s="3" t="s">
        <v>1078</v>
      </c>
      <c r="D248" s="3" t="s">
        <v>1402</v>
      </c>
      <c r="E248" s="3" t="s">
        <v>1085</v>
      </c>
      <c r="F248" s="3" t="s">
        <v>1086</v>
      </c>
      <c r="G248" s="3" t="s">
        <v>1087</v>
      </c>
      <c r="H248" s="3" t="s">
        <v>1088</v>
      </c>
      <c r="I248" s="3" t="s">
        <v>1081</v>
      </c>
      <c r="J248" s="3" t="s">
        <v>1089</v>
      </c>
      <c r="K248" s="3" t="s">
        <v>1090</v>
      </c>
      <c r="L248" s="4">
        <f>IF(OR(TRIM(I248)="",TRIM(K248)=""),"",IFERROR((VALUE(LEFT(TRIM(I248),4))-VALUE(LEFT(TRIM(K248),4)))*12+VALUE(MID(TRIM(I248),6,2))-VALUE(MID(TRIM(K248),6,2)),""))</f>
        <v>5</v>
      </c>
      <c r="M248" s="3" t="str">
        <f>IF(TRIM(H248)="","",IFERROR(LOOKUP(2,1/(ISNUMBER(SEARCH('منطق دسته‌بندی'!$A$2:$A$187,H248))),'منطق دسته‌بندی'!$B$2:$B$187),"سایر (نیازمند بررسی دستی)"))</f>
        <v>سیم‌کشی/اتصالات (تعمیر/تنظیم)</v>
      </c>
      <c r="N248" s="3" t="s">
        <v>24</v>
      </c>
      <c r="O248" s="3" t="s">
        <v>25</v>
      </c>
    </row>
    <row r="249" spans="1:15" ht="30" customHeight="1">
      <c r="A249" s="3" t="s">
        <v>1091</v>
      </c>
      <c r="B249" s="3" t="s">
        <v>1077</v>
      </c>
      <c r="C249" s="3" t="s">
        <v>1078</v>
      </c>
      <c r="D249" s="3" t="s">
        <v>43</v>
      </c>
      <c r="E249" s="3" t="s">
        <v>379</v>
      </c>
      <c r="F249" s="3" t="s">
        <v>1092</v>
      </c>
      <c r="G249" s="3" t="s">
        <v>640</v>
      </c>
      <c r="H249" s="3" t="s">
        <v>1093</v>
      </c>
      <c r="I249" s="3" t="s">
        <v>1081</v>
      </c>
      <c r="J249" s="3" t="s">
        <v>763</v>
      </c>
      <c r="K249" s="3" t="s">
        <v>994</v>
      </c>
      <c r="L249" s="4">
        <f>IF(OR(TRIM(I249)="",TRIM(K249)=""),"",IFERROR((VALUE(LEFT(TRIM(I249),4))-VALUE(LEFT(TRIM(K249),4)))*12+VALUE(MID(TRIM(I249),6,2))-VALUE(MID(TRIM(K249),6,2)),""))</f>
        <v>12</v>
      </c>
      <c r="M249" s="3" t="str">
        <f>IF(TRIM(H249)="","",IFERROR(LOOKUP(2,1/(ISNUMBER(SEARCH('منطق دسته‌بندی'!$A$2:$A$187,H249))),'منطق دسته‌بندی'!$B$2:$B$187),"سایر (نیازمند بررسی دستی)"))</f>
        <v>سایر اجزای درب (بازبینی)</v>
      </c>
      <c r="N249" s="3" t="s">
        <v>24</v>
      </c>
      <c r="O249" s="3" t="s">
        <v>25</v>
      </c>
    </row>
    <row r="250" spans="1:15" ht="60" customHeight="1">
      <c r="A250" s="3" t="s">
        <v>1094</v>
      </c>
      <c r="B250" s="3" t="s">
        <v>1077</v>
      </c>
      <c r="C250" s="3" t="s">
        <v>1078</v>
      </c>
      <c r="D250" s="3" t="s">
        <v>43</v>
      </c>
      <c r="E250" s="3" t="s">
        <v>1095</v>
      </c>
      <c r="F250" s="3" t="s">
        <v>1096</v>
      </c>
      <c r="G250" s="3" t="s">
        <v>954</v>
      </c>
      <c r="H250" s="3" t="s">
        <v>69</v>
      </c>
      <c r="I250" s="3" t="s">
        <v>1081</v>
      </c>
      <c r="J250" s="3" t="s">
        <v>151</v>
      </c>
      <c r="K250" s="3" t="s">
        <v>691</v>
      </c>
      <c r="L250" s="4">
        <f>IF(OR(TRIM(I250)="",TRIM(K250)=""),"",IFERROR((VALUE(LEFT(TRIM(I250),4))-VALUE(LEFT(TRIM(K250),4)))*12+VALUE(MID(TRIM(I250),6,2))-VALUE(MID(TRIM(K250),6,2)),""))</f>
        <v>17</v>
      </c>
      <c r="M250" s="3" t="str">
        <f>IF(TRIM(H250)="","",IFERROR(LOOKUP(2,1/(ISNUMBER(SEARCH('منطق دسته‌بندی'!$A$2:$A$187,H250))),'منطق دسته‌بندی'!$B$2:$B$187),"سایر (نیازمند بررسی دستی)"))</f>
        <v>مکانیزم درب - میکروسوئیچ/قلاب (تعویض/تنظیم)</v>
      </c>
      <c r="N250" s="3" t="s">
        <v>1097</v>
      </c>
      <c r="O250" s="3" t="s">
        <v>25</v>
      </c>
    </row>
    <row r="251" spans="1:15" ht="30" customHeight="1">
      <c r="A251" s="3" t="s">
        <v>1098</v>
      </c>
      <c r="B251" s="3" t="s">
        <v>1077</v>
      </c>
      <c r="C251" s="3" t="s">
        <v>1078</v>
      </c>
      <c r="D251" s="3" t="s">
        <v>1402</v>
      </c>
      <c r="E251" s="3" t="s">
        <v>1085</v>
      </c>
      <c r="F251" s="3" t="s">
        <v>1099</v>
      </c>
      <c r="G251" s="3" t="s">
        <v>1100</v>
      </c>
      <c r="H251" s="3" t="s">
        <v>566</v>
      </c>
      <c r="I251" s="3" t="s">
        <v>1081</v>
      </c>
      <c r="J251" s="3" t="s">
        <v>1101</v>
      </c>
      <c r="K251" s="3" t="s">
        <v>1102</v>
      </c>
      <c r="L251" s="4">
        <f>IF(OR(TRIM(I251)="",TRIM(K251)=""),"",IFERROR((VALUE(LEFT(TRIM(I251),4))-VALUE(LEFT(TRIM(K251),4)))*12+VALUE(MID(TRIM(I251),6,2))-VALUE(MID(TRIM(K251),6,2)),""))</f>
        <v>13</v>
      </c>
      <c r="M251" s="3" t="str">
        <f>IF(TRIM(H251)="","",IFERROR(LOOKUP(2,1/(ISNUMBER(SEARCH('منطق دسته‌بندی'!$A$2:$A$187,H251))),'منطق دسته‌بندی'!$B$2:$B$187),"سایر (نیازمند بررسی دستی)"))</f>
        <v>خرابی - برد الکترونیک (تعویض)</v>
      </c>
      <c r="N251" s="3" t="s">
        <v>1103</v>
      </c>
      <c r="O251" s="3" t="s">
        <v>25</v>
      </c>
    </row>
    <row r="252" spans="1:15" ht="30" customHeight="1">
      <c r="A252" s="3" t="s">
        <v>1104</v>
      </c>
      <c r="B252" s="3" t="s">
        <v>1077</v>
      </c>
      <c r="C252" s="3" t="s">
        <v>1078</v>
      </c>
      <c r="D252" s="3" t="s">
        <v>108</v>
      </c>
      <c r="E252" s="3" t="s">
        <v>884</v>
      </c>
      <c r="F252" s="3" t="s">
        <v>1105</v>
      </c>
      <c r="G252" s="3" t="s">
        <v>1106</v>
      </c>
      <c r="H252" s="3" t="s">
        <v>1107</v>
      </c>
      <c r="I252" s="3" t="s">
        <v>710</v>
      </c>
      <c r="J252" s="3" t="s">
        <v>1108</v>
      </c>
      <c r="K252" s="3"/>
      <c r="L252" s="4" t="str">
        <f>IF(OR(TRIM(I252)="",TRIM(K252)=""),"",IFERROR((VALUE(LEFT(TRIM(I252),4))-VALUE(LEFT(TRIM(K252),4)))*12+VALUE(MID(TRIM(I252),6,2))-VALUE(MID(TRIM(K252),6,2)),""))</f>
        <v/>
      </c>
      <c r="M252" s="3" t="str">
        <f>IF(TRIM(H252)="","",IFERROR(LOOKUP(2,1/(ISNUMBER(SEARCH('منطق دسته‌بندی'!$A$2:$A$187,H252))),'منطق دسته‌بندی'!$B$2:$B$187),"سایر (نیازمند بررسی دستی)"))</f>
        <v>مکانیزم درب - دستگیره (تعویض)</v>
      </c>
      <c r="N252" s="3" t="s">
        <v>1109</v>
      </c>
      <c r="O252" s="3" t="s">
        <v>25</v>
      </c>
    </row>
    <row r="253" spans="1:15" ht="30" customHeight="1">
      <c r="A253" s="3" t="s">
        <v>1110</v>
      </c>
      <c r="B253" s="3" t="s">
        <v>1077</v>
      </c>
      <c r="C253" s="3" t="s">
        <v>1078</v>
      </c>
      <c r="D253" s="3" t="s">
        <v>127</v>
      </c>
      <c r="E253" s="3" t="s">
        <v>128</v>
      </c>
      <c r="F253" s="3" t="s">
        <v>1111</v>
      </c>
      <c r="G253" s="3" t="s">
        <v>1112</v>
      </c>
      <c r="H253" s="3" t="s">
        <v>1113</v>
      </c>
      <c r="I253" s="3" t="s">
        <v>1114</v>
      </c>
      <c r="J253" s="3" t="s">
        <v>1115</v>
      </c>
      <c r="K253" s="3"/>
      <c r="L253" s="4" t="str">
        <f>IF(OR(TRIM(I253)="",TRIM(K253)=""),"",IFERROR((VALUE(LEFT(TRIM(I253),4))-VALUE(LEFT(TRIM(K253),4)))*12+VALUE(MID(TRIM(I253),6,2))-VALUE(MID(TRIM(K253),6,2)),""))</f>
        <v/>
      </c>
      <c r="M253" s="3" t="str">
        <f>IF(TRIM(H253)="","",IFERROR(LOOKUP(2,1/(ISNUMBER(SEARCH('منطق دسته‌بندی'!$A$2:$A$187,H253))),'منطق دسته‌بندی'!$B$2:$B$187),"سایر (نیازمند بررسی دستی)"))</f>
        <v>یخساز - قالب/کاور (تعویض/بازبینی)</v>
      </c>
      <c r="N253" s="3" t="s">
        <v>1116</v>
      </c>
      <c r="O253" s="3" t="s">
        <v>25</v>
      </c>
    </row>
    <row r="254" spans="1:15" ht="30" customHeight="1">
      <c r="A254" s="3" t="s">
        <v>1117</v>
      </c>
      <c r="B254" s="3" t="s">
        <v>1077</v>
      </c>
      <c r="C254" s="3" t="s">
        <v>1078</v>
      </c>
      <c r="D254" s="3" t="s">
        <v>43</v>
      </c>
      <c r="E254" s="3" t="s">
        <v>379</v>
      </c>
      <c r="F254" s="3" t="s">
        <v>1009</v>
      </c>
      <c r="G254" s="3" t="s">
        <v>155</v>
      </c>
      <c r="H254" s="3" t="s">
        <v>566</v>
      </c>
      <c r="I254" s="3" t="s">
        <v>1114</v>
      </c>
      <c r="J254" s="3" t="s">
        <v>1011</v>
      </c>
      <c r="K254" s="3" t="s">
        <v>579</v>
      </c>
      <c r="L254" s="4">
        <f>IF(OR(TRIM(I254)="",TRIM(K254)=""),"",IFERROR((VALUE(LEFT(TRIM(I254),4))-VALUE(LEFT(TRIM(K254),4)))*12+VALUE(MID(TRIM(I254),6,2))-VALUE(MID(TRIM(K254),6,2)),""))</f>
        <v>4</v>
      </c>
      <c r="M254" s="3" t="str">
        <f>IF(TRIM(H254)="","",IFERROR(LOOKUP(2,1/(ISNUMBER(SEARCH('منطق دسته‌بندی'!$A$2:$A$187,H254))),'منطق دسته‌بندی'!$B$2:$B$187),"سایر (نیازمند بررسی دستی)"))</f>
        <v>خرابی - برد الکترونیک (تعویض)</v>
      </c>
      <c r="N254" s="3" t="s">
        <v>1118</v>
      </c>
      <c r="O254" s="3" t="s">
        <v>78</v>
      </c>
    </row>
    <row r="255" spans="1:15" ht="30" customHeight="1">
      <c r="A255" s="3" t="s">
        <v>1119</v>
      </c>
      <c r="B255" s="3" t="s">
        <v>1077</v>
      </c>
      <c r="C255" s="3" t="s">
        <v>1078</v>
      </c>
      <c r="D255" s="3" t="s">
        <v>43</v>
      </c>
      <c r="E255" s="3" t="s">
        <v>1095</v>
      </c>
      <c r="F255" s="3" t="s">
        <v>1120</v>
      </c>
      <c r="G255" s="3" t="s">
        <v>1121</v>
      </c>
      <c r="H255" s="3" t="s">
        <v>1122</v>
      </c>
      <c r="I255" s="3" t="s">
        <v>1114</v>
      </c>
      <c r="J255" s="3" t="s">
        <v>597</v>
      </c>
      <c r="K255" s="3" t="s">
        <v>40</v>
      </c>
      <c r="L255" s="4">
        <f>IF(OR(TRIM(I255)="",TRIM(K255)=""),"",IFERROR((VALUE(LEFT(TRIM(I255),4))-VALUE(LEFT(TRIM(K255),4)))*12+VALUE(MID(TRIM(I255),6,2))-VALUE(MID(TRIM(K255),6,2)),""))</f>
        <v>10</v>
      </c>
      <c r="M255" s="3" t="str">
        <f>IF(TRIM(H255)="","",IFERROR(LOOKUP(2,1/(ISNUMBER(SEARCH('منطق دسته‌بندی'!$A$2:$A$187,H255))),'منطق دسته‌بندی'!$B$2:$B$187),"سایر (نیازمند بررسی دستی)"))</f>
        <v>زنگ‌زدگی بدنه/قطعه (تعویض)</v>
      </c>
      <c r="N255" s="3" t="s">
        <v>1123</v>
      </c>
      <c r="O255" s="3" t="s">
        <v>25</v>
      </c>
    </row>
    <row r="256" spans="1:15" ht="45" customHeight="1">
      <c r="A256" s="3" t="s">
        <v>1124</v>
      </c>
      <c r="B256" s="3" t="s">
        <v>1077</v>
      </c>
      <c r="C256" s="3" t="s">
        <v>1078</v>
      </c>
      <c r="D256" s="3" t="s">
        <v>127</v>
      </c>
      <c r="E256" s="3" t="s">
        <v>128</v>
      </c>
      <c r="F256" s="3" t="s">
        <v>1125</v>
      </c>
      <c r="G256" s="3" t="s">
        <v>822</v>
      </c>
      <c r="H256" s="3" t="s">
        <v>823</v>
      </c>
      <c r="I256" s="3" t="s">
        <v>1114</v>
      </c>
      <c r="J256" s="3"/>
      <c r="K256" s="3"/>
      <c r="L256" s="4" t="str">
        <f>IF(OR(TRIM(I256)="",TRIM(K256)=""),"",IFERROR((VALUE(LEFT(TRIM(I256),4))-VALUE(LEFT(TRIM(K256),4)))*12+VALUE(MID(TRIM(I256),6,2))-VALUE(MID(TRIM(K256),6,2)),""))</f>
        <v/>
      </c>
      <c r="M256" s="3" t="str">
        <f>IF(TRIM(H256)="","",IFERROR(LOOKUP(2,1/(ISNUMBER(SEARCH('منطق دسته‌بندی'!$A$2:$A$187,H256))),'منطق دسته‌بندی'!$B$2:$B$187),"سایر (نیازمند بررسی دستی)"))</f>
        <v>خرابی - کمپرسور (تعویض)</v>
      </c>
      <c r="N256" s="3" t="s">
        <v>1126</v>
      </c>
      <c r="O256" s="3" t="s">
        <v>25</v>
      </c>
    </row>
    <row r="257" spans="1:15">
      <c r="A257" s="3" t="s">
        <v>1127</v>
      </c>
      <c r="B257" s="3" t="s">
        <v>1077</v>
      </c>
      <c r="C257" s="3" t="s">
        <v>1078</v>
      </c>
      <c r="D257" s="3" t="s">
        <v>1402</v>
      </c>
      <c r="E257" s="3" t="s">
        <v>1085</v>
      </c>
      <c r="F257" s="3" t="s">
        <v>1128</v>
      </c>
      <c r="G257" s="3" t="s">
        <v>1129</v>
      </c>
      <c r="H257" s="3" t="s">
        <v>146</v>
      </c>
      <c r="I257" s="3" t="s">
        <v>1130</v>
      </c>
      <c r="J257" s="3" t="s">
        <v>409</v>
      </c>
      <c r="K257" s="3"/>
      <c r="L257" s="4" t="str">
        <f>IF(OR(TRIM(I257)="",TRIM(K257)=""),"",IFERROR((VALUE(LEFT(TRIM(I257),4))-VALUE(LEFT(TRIM(K257),4)))*12+VALUE(MID(TRIM(I257),6,2))-VALUE(MID(TRIM(K257),6,2)),""))</f>
        <v/>
      </c>
      <c r="M257" s="3" t="str">
        <f>IF(TRIM(H257)="","",IFERROR(LOOKUP(2,1/(ISNUMBER(SEARCH('منطق دسته‌بندی'!$A$2:$A$187,H257))),'منطق دسته‌بندی'!$B$2:$B$187),"سایر (نیازمند بررسی دستی)"))</f>
        <v>تراز/لرزش - نصب (رگلاژ پایه)</v>
      </c>
      <c r="N257" s="3" t="s">
        <v>24</v>
      </c>
      <c r="O257" s="3" t="s">
        <v>25</v>
      </c>
    </row>
    <row r="258" spans="1:15">
      <c r="A258" s="3" t="s">
        <v>1131</v>
      </c>
      <c r="B258" s="3" t="s">
        <v>1077</v>
      </c>
      <c r="C258" s="3" t="s">
        <v>1078</v>
      </c>
      <c r="D258" s="3" t="s">
        <v>43</v>
      </c>
      <c r="E258" s="3" t="s">
        <v>379</v>
      </c>
      <c r="F258" s="3" t="s">
        <v>1132</v>
      </c>
      <c r="G258" s="3" t="s">
        <v>1133</v>
      </c>
      <c r="H258" s="3" t="s">
        <v>1134</v>
      </c>
      <c r="I258" s="3" t="s">
        <v>1130</v>
      </c>
      <c r="J258" s="3" t="s">
        <v>1049</v>
      </c>
      <c r="K258" s="3" t="s">
        <v>1135</v>
      </c>
      <c r="L258" s="4">
        <f>IF(OR(TRIM(I258)="",TRIM(K258)=""),"",IFERROR((VALUE(LEFT(TRIM(I258),4))-VALUE(LEFT(TRIM(K258),4)))*12+VALUE(MID(TRIM(I258),6,2))-VALUE(MID(TRIM(K258),6,2)),""))</f>
        <v>12</v>
      </c>
      <c r="M258" s="3" t="str">
        <f>IF(TRIM(H258)="","",IFERROR(LOOKUP(2,1/(ISNUMBER(SEARCH('منطق دسته‌بندی'!$A$2:$A$187,H258))),'منطق دسته‌بندی'!$B$2:$B$187),"سایر (نیازمند بررسی دستی)"))</f>
        <v>غیرگارانتی/بدون قطعه</v>
      </c>
      <c r="N258" s="3" t="s">
        <v>24</v>
      </c>
      <c r="O258" s="3" t="s">
        <v>25</v>
      </c>
    </row>
    <row r="259" spans="1:15" ht="30" customHeight="1">
      <c r="A259" s="3" t="s">
        <v>1136</v>
      </c>
      <c r="B259" s="3" t="s">
        <v>1077</v>
      </c>
      <c r="C259" s="3" t="s">
        <v>1078</v>
      </c>
      <c r="D259" s="3" t="s">
        <v>108</v>
      </c>
      <c r="E259" s="3" t="s">
        <v>1137</v>
      </c>
      <c r="F259" s="3" t="s">
        <v>1138</v>
      </c>
      <c r="G259" s="3" t="s">
        <v>1139</v>
      </c>
      <c r="H259" s="3" t="s">
        <v>792</v>
      </c>
      <c r="I259" s="3" t="s">
        <v>1130</v>
      </c>
      <c r="J259" s="3"/>
      <c r="K259" s="3"/>
      <c r="L259" s="4" t="str">
        <f>IF(OR(TRIM(I259)="",TRIM(K259)=""),"",IFERROR((VALUE(LEFT(TRIM(I259),4))-VALUE(LEFT(TRIM(K259),4)))*12+VALUE(MID(TRIM(I259),6,2))-VALUE(MID(TRIM(K259),6,2)),""))</f>
        <v/>
      </c>
      <c r="M259" s="3" t="str">
        <f>IF(TRIM(H259)="","",IFERROR(LOOKUP(2,1/(ISNUMBER(SEARCH('منطق دسته‌بندی'!$A$2:$A$187,H259))),'منطق دسته‌بندی'!$B$2:$B$187),"سایر (نیازمند بررسی دستی)"))</f>
        <v>خرابی - لامپ/LED داخلی (تعویض)</v>
      </c>
      <c r="N259" s="3" t="s">
        <v>1140</v>
      </c>
      <c r="O259" s="3" t="s">
        <v>25</v>
      </c>
    </row>
    <row r="260" spans="1:15" ht="30" customHeight="1">
      <c r="A260" s="3" t="s">
        <v>1141</v>
      </c>
      <c r="B260" s="3" t="s">
        <v>1077</v>
      </c>
      <c r="C260" s="3" t="s">
        <v>1078</v>
      </c>
      <c r="D260" s="3" t="s">
        <v>108</v>
      </c>
      <c r="E260" s="3" t="s">
        <v>884</v>
      </c>
      <c r="F260" s="3" t="s">
        <v>1142</v>
      </c>
      <c r="G260" s="3" t="s">
        <v>791</v>
      </c>
      <c r="H260" s="3" t="s">
        <v>792</v>
      </c>
      <c r="I260" s="3" t="s">
        <v>1130</v>
      </c>
      <c r="J260" s="3" t="s">
        <v>1143</v>
      </c>
      <c r="K260" s="3" t="s">
        <v>468</v>
      </c>
      <c r="L260" s="4">
        <f>IF(OR(TRIM(I260)="",TRIM(K260)=""),"",IFERROR((VALUE(LEFT(TRIM(I260),4))-VALUE(LEFT(TRIM(K260),4)))*12+VALUE(MID(TRIM(I260),6,2))-VALUE(MID(TRIM(K260),6,2)),""))</f>
        <v>9</v>
      </c>
      <c r="M260" s="3" t="str">
        <f>IF(TRIM(H260)="","",IFERROR(LOOKUP(2,1/(ISNUMBER(SEARCH('منطق دسته‌بندی'!$A$2:$A$187,H260))),'منطق دسته‌بندی'!$B$2:$B$187),"سایر (نیازمند بررسی دستی)"))</f>
        <v>خرابی - لامپ/LED داخلی (تعویض)</v>
      </c>
      <c r="N260" s="3" t="s">
        <v>1140</v>
      </c>
      <c r="O260" s="3" t="s">
        <v>25</v>
      </c>
    </row>
    <row r="261" spans="1:15" ht="30" customHeight="1">
      <c r="A261" s="3" t="s">
        <v>1144</v>
      </c>
      <c r="B261" s="3" t="s">
        <v>1077</v>
      </c>
      <c r="C261" s="3" t="s">
        <v>1078</v>
      </c>
      <c r="D261" s="3" t="s">
        <v>1402</v>
      </c>
      <c r="E261" s="3" t="s">
        <v>1145</v>
      </c>
      <c r="F261" s="3" t="s">
        <v>1146</v>
      </c>
      <c r="G261" s="3" t="s">
        <v>406</v>
      </c>
      <c r="H261" s="3" t="s">
        <v>146</v>
      </c>
      <c r="I261" s="3" t="s">
        <v>1130</v>
      </c>
      <c r="J261" s="3" t="s">
        <v>680</v>
      </c>
      <c r="K261" s="3" t="s">
        <v>1147</v>
      </c>
      <c r="L261" s="4">
        <f>IF(OR(TRIM(I261)="",TRIM(K261)=""),"",IFERROR((VALUE(LEFT(TRIM(I261),4))-VALUE(LEFT(TRIM(K261),4)))*12+VALUE(MID(TRIM(I261),6,2))-VALUE(MID(TRIM(K261),6,2)),""))</f>
        <v>14</v>
      </c>
      <c r="M261" s="3" t="str">
        <f>IF(TRIM(H261)="","",IFERROR(LOOKUP(2,1/(ISNUMBER(SEARCH('منطق دسته‌بندی'!$A$2:$A$187,H261))),'منطق دسته‌بندی'!$B$2:$B$187),"سایر (نیازمند بررسی دستی)"))</f>
        <v>تراز/لرزش - نصب (رگلاژ پایه)</v>
      </c>
      <c r="N261" s="3" t="s">
        <v>24</v>
      </c>
      <c r="O261" s="3" t="s">
        <v>25</v>
      </c>
    </row>
    <row r="262" spans="1:15" ht="45" customHeight="1">
      <c r="A262" s="3" t="s">
        <v>1148</v>
      </c>
      <c r="B262" s="3" t="s">
        <v>1077</v>
      </c>
      <c r="C262" s="3" t="s">
        <v>1078</v>
      </c>
      <c r="D262" s="3" t="s">
        <v>1402</v>
      </c>
      <c r="E262" s="3" t="s">
        <v>1149</v>
      </c>
      <c r="F262" s="3" t="s">
        <v>1150</v>
      </c>
      <c r="G262" s="3" t="s">
        <v>1151</v>
      </c>
      <c r="H262" s="3" t="s">
        <v>1152</v>
      </c>
      <c r="I262" s="3" t="s">
        <v>1130</v>
      </c>
      <c r="J262" s="3" t="s">
        <v>580</v>
      </c>
      <c r="K262" s="3" t="s">
        <v>1130</v>
      </c>
      <c r="L262" s="4">
        <f>IF(OR(TRIM(I262)="",TRIM(K262)=""),"",IFERROR((VALUE(LEFT(TRIM(I262),4))-VALUE(LEFT(TRIM(K262),4)))*12+VALUE(MID(TRIM(I262),6,2))-VALUE(MID(TRIM(K262),6,2)),""))</f>
        <v>0</v>
      </c>
      <c r="M262" s="3" t="str">
        <f>IF(TRIM(H262)="","",IFERROR(LOOKUP(2,1/(ISNUMBER(SEARCH('منطق دسته‌بندی'!$A$2:$A$187,H262))),'منطق دسته‌بندی'!$B$2:$B$187),"سایر (نیازمند بررسی دستی)"))</f>
        <v>کسری اقلام بسته‌بندی</v>
      </c>
      <c r="N262" s="3" t="s">
        <v>1153</v>
      </c>
      <c r="O262" s="3" t="s">
        <v>25</v>
      </c>
    </row>
    <row r="263" spans="1:15">
      <c r="A263" s="3" t="s">
        <v>1154</v>
      </c>
      <c r="B263" s="3" t="s">
        <v>1077</v>
      </c>
      <c r="C263" s="3" t="s">
        <v>1078</v>
      </c>
      <c r="D263" s="3" t="s">
        <v>43</v>
      </c>
      <c r="E263" s="3" t="s">
        <v>1155</v>
      </c>
      <c r="F263" s="3" t="s">
        <v>1156</v>
      </c>
      <c r="G263" s="3" t="s">
        <v>1157</v>
      </c>
      <c r="H263" s="3" t="s">
        <v>531</v>
      </c>
      <c r="I263" s="3" t="s">
        <v>1130</v>
      </c>
      <c r="J263" s="3" t="s">
        <v>580</v>
      </c>
      <c r="K263" s="3" t="s">
        <v>708</v>
      </c>
      <c r="L263" s="4">
        <f>IF(OR(TRIM(I263)="",TRIM(K263)=""),"",IFERROR((VALUE(LEFT(TRIM(I263),4))-VALUE(LEFT(TRIM(K263),4)))*12+VALUE(MID(TRIM(I263),6,2))-VALUE(MID(TRIM(K263),6,2)),""))</f>
        <v>3</v>
      </c>
      <c r="M263" s="3" t="str">
        <f>IF(TRIM(H263)="","",IFERROR(LOOKUP(2,1/(ISNUMBER(SEARCH('منطق دسته‌بندی'!$A$2:$A$187,H263))),'منطق دسته‌بندی'!$B$2:$B$187),"سایر (نیازمند بررسی دستی)"))</f>
        <v>نشتی - شیلنگ (تعمیر/آب‌بندی)</v>
      </c>
      <c r="N263" s="3" t="s">
        <v>24</v>
      </c>
      <c r="O263" s="3" t="s">
        <v>25</v>
      </c>
    </row>
    <row r="264" spans="1:15" ht="30" customHeight="1">
      <c r="A264" s="3" t="s">
        <v>1158</v>
      </c>
      <c r="B264" s="3" t="s">
        <v>1077</v>
      </c>
      <c r="C264" s="3" t="s">
        <v>1078</v>
      </c>
      <c r="D264" s="3" t="s">
        <v>108</v>
      </c>
      <c r="E264" s="3" t="s">
        <v>884</v>
      </c>
      <c r="F264" s="3" t="s">
        <v>1159</v>
      </c>
      <c r="G264" s="3" t="s">
        <v>791</v>
      </c>
      <c r="H264" s="3" t="s">
        <v>1160</v>
      </c>
      <c r="I264" s="3" t="s">
        <v>1130</v>
      </c>
      <c r="J264" s="3" t="s">
        <v>1161</v>
      </c>
      <c r="K264" s="3" t="s">
        <v>1162</v>
      </c>
      <c r="L264" s="4">
        <f>IF(OR(TRIM(I264)="",TRIM(K264)=""),"",IFERROR((VALUE(LEFT(TRIM(I264),4))-VALUE(LEFT(TRIM(K264),4)))*12+VALUE(MID(TRIM(I264),6,2))-VALUE(MID(TRIM(K264),6,2)),""))</f>
        <v>1</v>
      </c>
      <c r="M264" s="3" t="str">
        <f>IF(TRIM(H264)="","",IFERROR(LOOKUP(2,1/(ISNUMBER(SEARCH('منطق دسته‌بندی'!$A$2:$A$187,H264))),'منطق دسته‌بندی'!$B$2:$B$187),"سایر (نیازمند بررسی دستی)"))</f>
        <v>کلید فشاری (تعویض/بازبینی)</v>
      </c>
      <c r="N264" s="3" t="s">
        <v>1160</v>
      </c>
      <c r="O264" s="3" t="s">
        <v>25</v>
      </c>
    </row>
    <row r="265" spans="1:15" ht="60" customHeight="1">
      <c r="A265" s="3" t="s">
        <v>1163</v>
      </c>
      <c r="B265" s="3" t="s">
        <v>1077</v>
      </c>
      <c r="C265" s="3" t="s">
        <v>1078</v>
      </c>
      <c r="D265" s="3" t="s">
        <v>43</v>
      </c>
      <c r="E265" s="3" t="s">
        <v>1079</v>
      </c>
      <c r="F265" s="3" t="s">
        <v>1164</v>
      </c>
      <c r="G265" s="3" t="s">
        <v>1165</v>
      </c>
      <c r="H265" s="3" t="s">
        <v>69</v>
      </c>
      <c r="I265" s="3" t="s">
        <v>1166</v>
      </c>
      <c r="J265" s="3" t="s">
        <v>442</v>
      </c>
      <c r="K265" s="3" t="s">
        <v>1167</v>
      </c>
      <c r="L265" s="4">
        <f>IF(OR(TRIM(I265)="",TRIM(K265)=""),"",IFERROR((VALUE(LEFT(TRIM(I265),4))-VALUE(LEFT(TRIM(K265),4)))*12+VALUE(MID(TRIM(I265),6,2))-VALUE(MID(TRIM(K265),6,2)),""))</f>
        <v>13</v>
      </c>
      <c r="M265" s="3" t="str">
        <f>IF(TRIM(H265)="","",IFERROR(LOOKUP(2,1/(ISNUMBER(SEARCH('منطق دسته‌بندی'!$A$2:$A$187,H265))),'منطق دسته‌بندی'!$B$2:$B$187),"سایر (نیازمند بررسی دستی)"))</f>
        <v>مکانیزم درب - میکروسوئیچ/قلاب (تعویض/تنظیم)</v>
      </c>
      <c r="N265" s="3" t="s">
        <v>1097</v>
      </c>
      <c r="O265" s="3" t="s">
        <v>25</v>
      </c>
    </row>
    <row r="266" spans="1:15" ht="30" customHeight="1">
      <c r="A266" s="3" t="s">
        <v>1168</v>
      </c>
      <c r="B266" s="3" t="s">
        <v>1077</v>
      </c>
      <c r="C266" s="3" t="s">
        <v>1078</v>
      </c>
      <c r="D266" s="3" t="s">
        <v>43</v>
      </c>
      <c r="E266" s="3" t="s">
        <v>1095</v>
      </c>
      <c r="F266" s="3" t="s">
        <v>1169</v>
      </c>
      <c r="G266" s="3" t="s">
        <v>1170</v>
      </c>
      <c r="H266" s="3" t="s">
        <v>1093</v>
      </c>
      <c r="I266" s="3" t="s">
        <v>1166</v>
      </c>
      <c r="J266" s="3" t="s">
        <v>247</v>
      </c>
      <c r="K266" s="3" t="s">
        <v>1039</v>
      </c>
      <c r="L266" s="4">
        <f>IF(OR(TRIM(I266)="",TRIM(K266)=""),"",IFERROR((VALUE(LEFT(TRIM(I266),4))-VALUE(LEFT(TRIM(K266),4)))*12+VALUE(MID(TRIM(I266),6,2))-VALUE(MID(TRIM(K266),6,2)),""))</f>
        <v>2</v>
      </c>
      <c r="M266" s="3" t="str">
        <f>IF(TRIM(H266)="","",IFERROR(LOOKUP(2,1/(ISNUMBER(SEARCH('منطق دسته‌بندی'!$A$2:$A$187,H266))),'منطق دسته‌بندی'!$B$2:$B$187),"سایر (نیازمند بررسی دستی)"))</f>
        <v>سایر اجزای درب (بازبینی)</v>
      </c>
      <c r="N266" s="3" t="s">
        <v>24</v>
      </c>
      <c r="O266" s="3" t="s">
        <v>25</v>
      </c>
    </row>
    <row r="267" spans="1:15" ht="30" customHeight="1">
      <c r="A267" s="3" t="s">
        <v>1171</v>
      </c>
      <c r="B267" s="3" t="s">
        <v>1077</v>
      </c>
      <c r="C267" s="3" t="s">
        <v>1078</v>
      </c>
      <c r="D267" s="3" t="s">
        <v>127</v>
      </c>
      <c r="E267" s="3" t="s">
        <v>128</v>
      </c>
      <c r="F267" s="3" t="s">
        <v>1172</v>
      </c>
      <c r="G267" s="3" t="s">
        <v>265</v>
      </c>
      <c r="H267" s="3" t="s">
        <v>278</v>
      </c>
      <c r="I267" s="3" t="s">
        <v>1166</v>
      </c>
      <c r="J267" s="3" t="s">
        <v>1173</v>
      </c>
      <c r="K267" s="3" t="s">
        <v>1174</v>
      </c>
      <c r="L267" s="4">
        <f>IF(OR(TRIM(I267)="",TRIM(K267)=""),"",IFERROR((VALUE(LEFT(TRIM(I267),4))-VALUE(LEFT(TRIM(K267),4)))*12+VALUE(MID(TRIM(I267),6,2))-VALUE(MID(TRIM(K267),6,2)),""))</f>
        <v>21</v>
      </c>
      <c r="M267" s="3" t="str">
        <f>IF(TRIM(H267)="","",IFERROR(LOOKUP(2,1/(ISNUMBER(SEARCH('منطق دسته‌بندی'!$A$2:$A$187,H267))),'منطق دسته‌بندی'!$B$2:$B$187),"سایر (نیازمند بررسی دستی)"))</f>
        <v>یخساز - تنظیم/عایق (تعمیر)</v>
      </c>
      <c r="N267" s="3" t="s">
        <v>24</v>
      </c>
      <c r="O267" s="3" t="s">
        <v>25</v>
      </c>
    </row>
    <row r="268" spans="1:15" ht="30" customHeight="1">
      <c r="A268" s="3" t="s">
        <v>1175</v>
      </c>
      <c r="B268" s="3" t="s">
        <v>1077</v>
      </c>
      <c r="C268" s="3" t="s">
        <v>1078</v>
      </c>
      <c r="D268" s="3" t="s">
        <v>43</v>
      </c>
      <c r="E268" s="3" t="s">
        <v>1095</v>
      </c>
      <c r="F268" s="3" t="s">
        <v>1176</v>
      </c>
      <c r="G268" s="3" t="s">
        <v>1177</v>
      </c>
      <c r="H268" s="3" t="s">
        <v>1093</v>
      </c>
      <c r="I268" s="3" t="s">
        <v>1166</v>
      </c>
      <c r="J268" s="3" t="s">
        <v>415</v>
      </c>
      <c r="K268" s="3" t="s">
        <v>1178</v>
      </c>
      <c r="L268" s="4">
        <f>IF(OR(TRIM(I268)="",TRIM(K268)=""),"",IFERROR((VALUE(LEFT(TRIM(I268),4))-VALUE(LEFT(TRIM(K268),4)))*12+VALUE(MID(TRIM(I268),6,2))-VALUE(MID(TRIM(K268),6,2)),""))</f>
        <v>18</v>
      </c>
      <c r="M268" s="3" t="str">
        <f>IF(TRIM(H268)="","",IFERROR(LOOKUP(2,1/(ISNUMBER(SEARCH('منطق دسته‌بندی'!$A$2:$A$187,H268))),'منطق دسته‌بندی'!$B$2:$B$187),"سایر (نیازمند بررسی دستی)"))</f>
        <v>سایر اجزای درب (بازبینی)</v>
      </c>
      <c r="N268" s="3" t="s">
        <v>24</v>
      </c>
      <c r="O268" s="3" t="s">
        <v>25</v>
      </c>
    </row>
    <row r="269" spans="1:15" ht="60" customHeight="1">
      <c r="A269" s="3" t="s">
        <v>1179</v>
      </c>
      <c r="B269" s="3" t="s">
        <v>1077</v>
      </c>
      <c r="C269" s="3" t="s">
        <v>1078</v>
      </c>
      <c r="D269" s="3" t="s">
        <v>43</v>
      </c>
      <c r="E269" s="3" t="s">
        <v>1095</v>
      </c>
      <c r="F269" s="3" t="s">
        <v>1180</v>
      </c>
      <c r="G269" s="3" t="s">
        <v>272</v>
      </c>
      <c r="H269" s="3" t="s">
        <v>69</v>
      </c>
      <c r="I269" s="3" t="s">
        <v>1166</v>
      </c>
      <c r="J269" s="3" t="s">
        <v>1181</v>
      </c>
      <c r="K269" s="3" t="s">
        <v>1182</v>
      </c>
      <c r="L269" s="4">
        <f>IF(OR(TRIM(I269)="",TRIM(K269)=""),"",IFERROR((VALUE(LEFT(TRIM(I269),4))-VALUE(LEFT(TRIM(K269),4)))*12+VALUE(MID(TRIM(I269),6,2))-VALUE(MID(TRIM(K269),6,2)),""))</f>
        <v>17</v>
      </c>
      <c r="M269" s="3" t="str">
        <f>IF(TRIM(H269)="","",IFERROR(LOOKUP(2,1/(ISNUMBER(SEARCH('منطق دسته‌بندی'!$A$2:$A$187,H269))),'منطق دسته‌بندی'!$B$2:$B$187),"سایر (نیازمند بررسی دستی)"))</f>
        <v>مکانیزم درب - میکروسوئیچ/قلاب (تعویض/تنظیم)</v>
      </c>
      <c r="N269" s="3" t="s">
        <v>1097</v>
      </c>
      <c r="O269" s="3" t="s">
        <v>25</v>
      </c>
    </row>
    <row r="270" spans="1:15" ht="45" customHeight="1">
      <c r="A270" s="3" t="s">
        <v>1183</v>
      </c>
      <c r="B270" s="3" t="s">
        <v>1077</v>
      </c>
      <c r="C270" s="3" t="s">
        <v>1078</v>
      </c>
      <c r="D270" s="3" t="s">
        <v>108</v>
      </c>
      <c r="E270" s="3" t="s">
        <v>884</v>
      </c>
      <c r="F270" s="3" t="s">
        <v>1184</v>
      </c>
      <c r="G270" s="3" t="s">
        <v>1151</v>
      </c>
      <c r="H270" s="3" t="s">
        <v>1185</v>
      </c>
      <c r="I270" s="3" t="s">
        <v>1166</v>
      </c>
      <c r="J270" s="3" t="s">
        <v>1089</v>
      </c>
      <c r="K270" s="3" t="s">
        <v>1114</v>
      </c>
      <c r="L270" s="4">
        <f>IF(OR(TRIM(I270)="",TRIM(K270)=""),"",IFERROR((VALUE(LEFT(TRIM(I270),4))-VALUE(LEFT(TRIM(K270),4)))*12+VALUE(MID(TRIM(I270),6,2))-VALUE(MID(TRIM(K270),6,2)),""))</f>
        <v>0</v>
      </c>
      <c r="M270" s="3" t="str">
        <f>IF(TRIM(H270)="","",IFERROR(LOOKUP(2,1/(ISNUMBER(SEARCH('منطق دسته‌بندی'!$A$2:$A$187,H270))),'منطق دسته‌بندی'!$B$2:$B$187),"سایر (نیازمند بررسی دستی)"))</f>
        <v>قطعات تزئینی - شکستگی/کسری (تعویض)</v>
      </c>
      <c r="N270" s="3" t="s">
        <v>1186</v>
      </c>
      <c r="O270" s="3" t="s">
        <v>25</v>
      </c>
    </row>
    <row r="271" spans="1:15" ht="60" customHeight="1">
      <c r="A271" s="3" t="s">
        <v>1187</v>
      </c>
      <c r="B271" s="3" t="s">
        <v>1077</v>
      </c>
      <c r="C271" s="3" t="s">
        <v>1078</v>
      </c>
      <c r="D271" s="3" t="s">
        <v>43</v>
      </c>
      <c r="E271" s="3" t="s">
        <v>1095</v>
      </c>
      <c r="F271" s="3" t="s">
        <v>1188</v>
      </c>
      <c r="G271" s="3" t="s">
        <v>1189</v>
      </c>
      <c r="H271" s="3" t="s">
        <v>69</v>
      </c>
      <c r="I271" s="3" t="s">
        <v>1166</v>
      </c>
      <c r="J271" s="3" t="s">
        <v>292</v>
      </c>
      <c r="K271" s="3" t="s">
        <v>1190</v>
      </c>
      <c r="L271" s="4">
        <f>IF(OR(TRIM(I271)="",TRIM(K271)=""),"",IFERROR((VALUE(LEFT(TRIM(I271),4))-VALUE(LEFT(TRIM(K271),4)))*12+VALUE(MID(TRIM(I271),6,2))-VALUE(MID(TRIM(K271),6,2)),""))</f>
        <v>7</v>
      </c>
      <c r="M271" s="3" t="str">
        <f>IF(TRIM(H271)="","",IFERROR(LOOKUP(2,1/(ISNUMBER(SEARCH('منطق دسته‌بندی'!$A$2:$A$187,H271))),'منطق دسته‌بندی'!$B$2:$B$187),"سایر (نیازمند بررسی دستی)"))</f>
        <v>مکانیزم درب - میکروسوئیچ/قلاب (تعویض/تنظیم)</v>
      </c>
      <c r="N271" s="3" t="s">
        <v>1097</v>
      </c>
      <c r="O271" s="3" t="s">
        <v>25</v>
      </c>
    </row>
    <row r="272" spans="1:15" ht="30" customHeight="1">
      <c r="A272" s="3" t="s">
        <v>1191</v>
      </c>
      <c r="B272" s="3" t="s">
        <v>1077</v>
      </c>
      <c r="C272" s="3" t="s">
        <v>1078</v>
      </c>
      <c r="D272" s="3" t="s">
        <v>1402</v>
      </c>
      <c r="E272" s="3" t="s">
        <v>1192</v>
      </c>
      <c r="F272" s="3" t="s">
        <v>1193</v>
      </c>
      <c r="G272" s="3" t="s">
        <v>406</v>
      </c>
      <c r="H272" s="3" t="s">
        <v>146</v>
      </c>
      <c r="I272" s="3" t="s">
        <v>1194</v>
      </c>
      <c r="J272" s="3"/>
      <c r="K272" s="3"/>
      <c r="L272" s="4" t="str">
        <f>IF(OR(TRIM(I272)="",TRIM(K272)=""),"",IFERROR((VALUE(LEFT(TRIM(I272),4))-VALUE(LEFT(TRIM(K272),4)))*12+VALUE(MID(TRIM(I272),6,2))-VALUE(MID(TRIM(K272),6,2)),""))</f>
        <v/>
      </c>
      <c r="M272" s="3" t="str">
        <f>IF(TRIM(H272)="","",IFERROR(LOOKUP(2,1/(ISNUMBER(SEARCH('منطق دسته‌بندی'!$A$2:$A$187,H272))),'منطق دسته‌بندی'!$B$2:$B$187),"سایر (نیازمند بررسی دستی)"))</f>
        <v>تراز/لرزش - نصب (رگلاژ پایه)</v>
      </c>
      <c r="N272" s="3" t="s">
        <v>24</v>
      </c>
      <c r="O272" s="3" t="s">
        <v>25</v>
      </c>
    </row>
    <row r="273" spans="1:15" ht="30" customHeight="1">
      <c r="A273" s="3" t="s">
        <v>1195</v>
      </c>
      <c r="B273" s="3" t="s">
        <v>1077</v>
      </c>
      <c r="C273" s="3" t="s">
        <v>1078</v>
      </c>
      <c r="D273" s="3" t="s">
        <v>127</v>
      </c>
      <c r="E273" s="3" t="s">
        <v>128</v>
      </c>
      <c r="F273" s="3" t="s">
        <v>1196</v>
      </c>
      <c r="G273" s="3" t="s">
        <v>265</v>
      </c>
      <c r="H273" s="3" t="s">
        <v>278</v>
      </c>
      <c r="I273" s="3" t="s">
        <v>1197</v>
      </c>
      <c r="J273" s="3" t="s">
        <v>136</v>
      </c>
      <c r="K273" s="3" t="s">
        <v>709</v>
      </c>
      <c r="L273" s="4">
        <f>IF(OR(TRIM(I273)="",TRIM(K273)=""),"",IFERROR((VALUE(LEFT(TRIM(I273),4))-VALUE(LEFT(TRIM(K273),4)))*12+VALUE(MID(TRIM(I273),6,2))-VALUE(MID(TRIM(K273),6,2)),""))</f>
        <v>12</v>
      </c>
      <c r="M273" s="3" t="str">
        <f>IF(TRIM(H273)="","",IFERROR(LOOKUP(2,1/(ISNUMBER(SEARCH('منطق دسته‌بندی'!$A$2:$A$187,H273))),'منطق دسته‌بندی'!$B$2:$B$187),"سایر (نیازمند بررسی دستی)"))</f>
        <v>یخساز - تنظیم/عایق (تعمیر)</v>
      </c>
      <c r="N273" s="3" t="s">
        <v>1198</v>
      </c>
      <c r="O273" s="3" t="s">
        <v>25</v>
      </c>
    </row>
    <row r="274" spans="1:15" ht="30" customHeight="1">
      <c r="A274" s="3" t="s">
        <v>1199</v>
      </c>
      <c r="B274" s="3" t="s">
        <v>1077</v>
      </c>
      <c r="C274" s="3" t="s">
        <v>1078</v>
      </c>
      <c r="D274" s="3" t="s">
        <v>127</v>
      </c>
      <c r="E274" s="3" t="s">
        <v>128</v>
      </c>
      <c r="F274" s="3" t="s">
        <v>1200</v>
      </c>
      <c r="G274" s="3" t="s">
        <v>265</v>
      </c>
      <c r="H274" s="3" t="s">
        <v>215</v>
      </c>
      <c r="I274" s="3" t="s">
        <v>1197</v>
      </c>
      <c r="J274" s="3" t="s">
        <v>1201</v>
      </c>
      <c r="K274" s="3" t="s">
        <v>501</v>
      </c>
      <c r="L274" s="4">
        <f>IF(OR(TRIM(I274)="",TRIM(K274)=""),"",IFERROR((VALUE(LEFT(TRIM(I274),4))-VALUE(LEFT(TRIM(K274),4)))*12+VALUE(MID(TRIM(I274),6,2))-VALUE(MID(TRIM(K274),6,2)),""))</f>
        <v>12</v>
      </c>
      <c r="M274" s="3" t="str">
        <f>IF(TRIM(H274)="","",IFERROR(LOOKUP(2,1/(ISNUMBER(SEARCH('منطق دسته‌بندی'!$A$2:$A$187,H274))),'منطق دسته‌بندی'!$B$2:$B$187),"سایر (نیازمند بررسی دستی)"))</f>
        <v>یخساز - تنظیم/عایق (تعمیر)</v>
      </c>
      <c r="N274" s="3" t="s">
        <v>1202</v>
      </c>
      <c r="O274" s="3" t="s">
        <v>25</v>
      </c>
    </row>
    <row r="275" spans="1:15" ht="60" customHeight="1">
      <c r="A275" s="3" t="s">
        <v>1203</v>
      </c>
      <c r="B275" s="3" t="s">
        <v>1077</v>
      </c>
      <c r="C275" s="3" t="s">
        <v>1078</v>
      </c>
      <c r="D275" s="3" t="s">
        <v>43</v>
      </c>
      <c r="E275" s="3" t="s">
        <v>379</v>
      </c>
      <c r="F275" s="3" t="s">
        <v>1204</v>
      </c>
      <c r="G275" s="3" t="s">
        <v>640</v>
      </c>
      <c r="H275" s="3" t="s">
        <v>69</v>
      </c>
      <c r="I275" s="3" t="s">
        <v>1197</v>
      </c>
      <c r="J275" s="3" t="s">
        <v>204</v>
      </c>
      <c r="K275" s="3" t="s">
        <v>1001</v>
      </c>
      <c r="L275" s="4">
        <f>IF(OR(TRIM(I275)="",TRIM(K275)=""),"",IFERROR((VALUE(LEFT(TRIM(I275),4))-VALUE(LEFT(TRIM(K275),4)))*12+VALUE(MID(TRIM(I275),6,2))-VALUE(MID(TRIM(K275),6,2)),""))</f>
        <v>2</v>
      </c>
      <c r="M275" s="3" t="str">
        <f>IF(TRIM(H275)="","",IFERROR(LOOKUP(2,1/(ISNUMBER(SEARCH('منطق دسته‌بندی'!$A$2:$A$187,H275))),'منطق دسته‌بندی'!$B$2:$B$187),"سایر (نیازمند بررسی دستی)"))</f>
        <v>مکانیزم درب - میکروسوئیچ/قلاب (تعویض/تنظیم)</v>
      </c>
      <c r="N275" s="3" t="s">
        <v>1097</v>
      </c>
      <c r="O275" s="3" t="s">
        <v>25</v>
      </c>
    </row>
    <row r="276" spans="1:15" ht="30" customHeight="1">
      <c r="A276" s="3" t="s">
        <v>1205</v>
      </c>
      <c r="B276" s="3" t="s">
        <v>1077</v>
      </c>
      <c r="C276" s="3" t="s">
        <v>1078</v>
      </c>
      <c r="D276" s="3" t="s">
        <v>127</v>
      </c>
      <c r="E276" s="3" t="s">
        <v>128</v>
      </c>
      <c r="F276" s="3" t="s">
        <v>1206</v>
      </c>
      <c r="G276" s="3" t="s">
        <v>822</v>
      </c>
      <c r="H276" s="3" t="s">
        <v>823</v>
      </c>
      <c r="I276" s="3" t="s">
        <v>1197</v>
      </c>
      <c r="J276" s="3" t="s">
        <v>1207</v>
      </c>
      <c r="K276" s="3" t="s">
        <v>1208</v>
      </c>
      <c r="L276" s="4">
        <f>IF(OR(TRIM(I276)="",TRIM(K276)=""),"",IFERROR((VALUE(LEFT(TRIM(I276),4))-VALUE(LEFT(TRIM(K276),4)))*12+VALUE(MID(TRIM(I276),6,2))-VALUE(MID(TRIM(K276),6,2)),""))</f>
        <v>20</v>
      </c>
      <c r="M276" s="3" t="str">
        <f>IF(TRIM(H276)="","",IFERROR(LOOKUP(2,1/(ISNUMBER(SEARCH('منطق دسته‌بندی'!$A$2:$A$187,H276))),'منطق دسته‌بندی'!$B$2:$B$187),"سایر (نیازمند بررسی دستی)"))</f>
        <v>خرابی - کمپرسور (تعویض)</v>
      </c>
      <c r="N276" s="3" t="s">
        <v>1209</v>
      </c>
      <c r="O276" s="3" t="s">
        <v>25</v>
      </c>
    </row>
    <row r="277" spans="1:15" ht="30" customHeight="1">
      <c r="A277" s="3" t="s">
        <v>1210</v>
      </c>
      <c r="B277" s="3" t="s">
        <v>1077</v>
      </c>
      <c r="C277" s="3" t="s">
        <v>1078</v>
      </c>
      <c r="D277" s="3" t="s">
        <v>43</v>
      </c>
      <c r="E277" s="3" t="s">
        <v>1095</v>
      </c>
      <c r="F277" s="3" t="s">
        <v>1211</v>
      </c>
      <c r="G277" s="3" t="s">
        <v>640</v>
      </c>
      <c r="H277" s="3" t="s">
        <v>1093</v>
      </c>
      <c r="I277" s="3" t="s">
        <v>1197</v>
      </c>
      <c r="J277" s="3" t="s">
        <v>601</v>
      </c>
      <c r="K277" s="3" t="s">
        <v>182</v>
      </c>
      <c r="L277" s="4">
        <f>IF(OR(TRIM(I277)="",TRIM(K277)=""),"",IFERROR((VALUE(LEFT(TRIM(I277),4))-VALUE(LEFT(TRIM(K277),4)))*12+VALUE(MID(TRIM(I277),6,2))-VALUE(MID(TRIM(K277),6,2)),""))</f>
        <v>5</v>
      </c>
      <c r="M277" s="3" t="str">
        <f>IF(TRIM(H277)="","",IFERROR(LOOKUP(2,1/(ISNUMBER(SEARCH('منطق دسته‌بندی'!$A$2:$A$187,H277))),'منطق دسته‌بندی'!$B$2:$B$187),"سایر (نیازمند بررسی دستی)"))</f>
        <v>سایر اجزای درب (بازبینی)</v>
      </c>
      <c r="N277" s="3" t="s">
        <v>24</v>
      </c>
      <c r="O277" s="3" t="s">
        <v>25</v>
      </c>
    </row>
    <row r="278" spans="1:15" ht="30" customHeight="1">
      <c r="A278" s="3" t="s">
        <v>1212</v>
      </c>
      <c r="B278" s="3" t="s">
        <v>1077</v>
      </c>
      <c r="C278" s="3" t="s">
        <v>1078</v>
      </c>
      <c r="D278" s="3" t="s">
        <v>43</v>
      </c>
      <c r="E278" s="3" t="s">
        <v>1095</v>
      </c>
      <c r="F278" s="3" t="s">
        <v>1213</v>
      </c>
      <c r="G278" s="3" t="s">
        <v>640</v>
      </c>
      <c r="H278" s="3" t="s">
        <v>1093</v>
      </c>
      <c r="I278" s="3" t="s">
        <v>1214</v>
      </c>
      <c r="J278" s="3" t="s">
        <v>1215</v>
      </c>
      <c r="K278" s="3" t="s">
        <v>801</v>
      </c>
      <c r="L278" s="4">
        <f>IF(OR(TRIM(I278)="",TRIM(K278)=""),"",IFERROR((VALUE(LEFT(TRIM(I278),4))-VALUE(LEFT(TRIM(K278),4)))*12+VALUE(MID(TRIM(I278),6,2))-VALUE(MID(TRIM(K278),6,2)),""))</f>
        <v>8</v>
      </c>
      <c r="M278" s="3" t="str">
        <f>IF(TRIM(H278)="","",IFERROR(LOOKUP(2,1/(ISNUMBER(SEARCH('منطق دسته‌بندی'!$A$2:$A$187,H278))),'منطق دسته‌بندی'!$B$2:$B$187),"سایر (نیازمند بررسی دستی)"))</f>
        <v>سایر اجزای درب (بازبینی)</v>
      </c>
      <c r="N278" s="3" t="s">
        <v>24</v>
      </c>
      <c r="O278" s="3" t="s">
        <v>25</v>
      </c>
    </row>
    <row r="279" spans="1:15" ht="30" customHeight="1">
      <c r="A279" s="3" t="s">
        <v>1216</v>
      </c>
      <c r="B279" s="3" t="s">
        <v>1077</v>
      </c>
      <c r="C279" s="3" t="s">
        <v>1078</v>
      </c>
      <c r="D279" s="3" t="s">
        <v>127</v>
      </c>
      <c r="E279" s="3" t="s">
        <v>128</v>
      </c>
      <c r="F279" s="3" t="s">
        <v>1217</v>
      </c>
      <c r="G279" s="3" t="s">
        <v>640</v>
      </c>
      <c r="H279" s="3" t="s">
        <v>1218</v>
      </c>
      <c r="I279" s="3" t="s">
        <v>1214</v>
      </c>
      <c r="J279" s="3" t="s">
        <v>932</v>
      </c>
      <c r="K279" s="3" t="s">
        <v>665</v>
      </c>
      <c r="L279" s="4">
        <f>IF(OR(TRIM(I279)="",TRIM(K279)=""),"",IFERROR((VALUE(LEFT(TRIM(I279),4))-VALUE(LEFT(TRIM(K279),4)))*12+VALUE(MID(TRIM(I279),6,2))-VALUE(MID(TRIM(K279),6,2)),""))</f>
        <v>12</v>
      </c>
      <c r="M279" s="3" t="str">
        <f>IF(TRIM(H279)="","",IFERROR(LOOKUP(2,1/(ISNUMBER(SEARCH('منطق دسته‌بندی'!$A$2:$A$187,H279))),'منطق دسته‌بندی'!$B$2:$B$187),"سایر (نیازمند بررسی دستی)"))</f>
        <v>سایر اجزای درب (بازبینی)</v>
      </c>
      <c r="N279" s="3" t="s">
        <v>24</v>
      </c>
      <c r="O279" s="3" t="s">
        <v>25</v>
      </c>
    </row>
    <row r="280" spans="1:15" ht="30" customHeight="1">
      <c r="A280" s="3" t="s">
        <v>1219</v>
      </c>
      <c r="B280" s="3" t="s">
        <v>1077</v>
      </c>
      <c r="C280" s="3" t="s">
        <v>1078</v>
      </c>
      <c r="D280" s="3" t="s">
        <v>1402</v>
      </c>
      <c r="E280" s="3" t="s">
        <v>1145</v>
      </c>
      <c r="F280" s="3" t="s">
        <v>992</v>
      </c>
      <c r="G280" s="3" t="s">
        <v>224</v>
      </c>
      <c r="H280" s="3" t="s">
        <v>146</v>
      </c>
      <c r="I280" s="3" t="s">
        <v>1214</v>
      </c>
      <c r="J280" s="3" t="s">
        <v>994</v>
      </c>
      <c r="K280" s="3" t="s">
        <v>920</v>
      </c>
      <c r="L280" s="4">
        <f>IF(OR(TRIM(I280)="",TRIM(K280)=""),"",IFERROR((VALUE(LEFT(TRIM(I280),4))-VALUE(LEFT(TRIM(K280),4)))*12+VALUE(MID(TRIM(I280),6,2))-VALUE(MID(TRIM(K280),6,2)),""))</f>
        <v>2</v>
      </c>
      <c r="M280" s="3" t="str">
        <f>IF(TRIM(H280)="","",IFERROR(LOOKUP(2,1/(ISNUMBER(SEARCH('منطق دسته‌بندی'!$A$2:$A$187,H280))),'منطق دسته‌بندی'!$B$2:$B$187),"سایر (نیازمند بررسی دستی)"))</f>
        <v>تراز/لرزش - نصب (رگلاژ پایه)</v>
      </c>
      <c r="N280" s="3" t="s">
        <v>24</v>
      </c>
      <c r="O280" s="3" t="s">
        <v>78</v>
      </c>
    </row>
    <row r="281" spans="1:15" ht="30" customHeight="1">
      <c r="A281" s="3" t="s">
        <v>1220</v>
      </c>
      <c r="B281" s="3" t="s">
        <v>1077</v>
      </c>
      <c r="C281" s="3" t="s">
        <v>1078</v>
      </c>
      <c r="D281" s="3" t="s">
        <v>1402</v>
      </c>
      <c r="E281" s="3" t="s">
        <v>1145</v>
      </c>
      <c r="F281" s="3" t="s">
        <v>1221</v>
      </c>
      <c r="G281" s="3" t="s">
        <v>636</v>
      </c>
      <c r="H281" s="3" t="s">
        <v>1222</v>
      </c>
      <c r="I281" s="3" t="s">
        <v>1223</v>
      </c>
      <c r="J281" s="3" t="s">
        <v>1224</v>
      </c>
      <c r="K281" s="3" t="s">
        <v>1225</v>
      </c>
      <c r="L281" s="4">
        <f>IF(OR(TRIM(I281)="",TRIM(K281)=""),"",IFERROR((VALUE(LEFT(TRIM(I281),4))-VALUE(LEFT(TRIM(K281),4)))*12+VALUE(MID(TRIM(I281),6,2))-VALUE(MID(TRIM(K281),6,2)),""))</f>
        <v>11</v>
      </c>
      <c r="M281" s="3" t="str">
        <f>IF(TRIM(H281)="","",IFERROR(LOOKUP(2,1/(ISNUMBER(SEARCH('منطق دسته‌بندی'!$A$2:$A$187,H281))),'منطق دسته‌بندی'!$B$2:$B$187),"سایر (نیازمند بررسی دستی)"))</f>
        <v>لاستیک درزگیر - دفرمگی/پارگی (تعویض)</v>
      </c>
      <c r="N281" s="3" t="s">
        <v>1226</v>
      </c>
      <c r="O281" s="3" t="s">
        <v>25</v>
      </c>
    </row>
    <row r="282" spans="1:15" ht="30" customHeight="1">
      <c r="A282" s="3" t="s">
        <v>1227</v>
      </c>
      <c r="B282" s="3" t="s">
        <v>1077</v>
      </c>
      <c r="C282" s="3" t="s">
        <v>1078</v>
      </c>
      <c r="D282" s="3" t="s">
        <v>127</v>
      </c>
      <c r="E282" s="3" t="s">
        <v>128</v>
      </c>
      <c r="F282" s="3" t="s">
        <v>1228</v>
      </c>
      <c r="G282" s="3" t="s">
        <v>1229</v>
      </c>
      <c r="H282" s="3" t="s">
        <v>1230</v>
      </c>
      <c r="I282" s="3" t="s">
        <v>1223</v>
      </c>
      <c r="J282" s="3" t="s">
        <v>1231</v>
      </c>
      <c r="K282" s="3" t="s">
        <v>1232</v>
      </c>
      <c r="L282" s="4">
        <f>IF(OR(TRIM(I282)="",TRIM(K282)=""),"",IFERROR((VALUE(LEFT(TRIM(I282),4))-VALUE(LEFT(TRIM(K282),4)))*12+VALUE(MID(TRIM(I282),6,2))-VALUE(MID(TRIM(K282),6,2)),""))</f>
        <v>19</v>
      </c>
      <c r="M282" s="3" t="str">
        <f>IF(TRIM(H282)="","",IFERROR(LOOKUP(2,1/(ISNUMBER(SEARCH('منطق دسته‌بندی'!$A$2:$A$187,H282))),'منطق دسته‌بندی'!$B$2:$B$187),"سایر (نیازمند بررسی دستی)"))</f>
        <v>قطعات تزئینی - شکستگی/کسری (تعویض)</v>
      </c>
      <c r="N282" s="3" t="s">
        <v>24</v>
      </c>
      <c r="O282" s="3" t="s">
        <v>25</v>
      </c>
    </row>
    <row r="283" spans="1:15" ht="30" customHeight="1">
      <c r="A283" s="3" t="s">
        <v>1233</v>
      </c>
      <c r="B283" s="3" t="s">
        <v>1077</v>
      </c>
      <c r="C283" s="3" t="s">
        <v>1078</v>
      </c>
      <c r="D283" s="3" t="s">
        <v>1402</v>
      </c>
      <c r="E283" s="3" t="s">
        <v>1234</v>
      </c>
      <c r="F283" s="3" t="s">
        <v>1235</v>
      </c>
      <c r="G283" s="3" t="s">
        <v>28</v>
      </c>
      <c r="H283" s="3" t="s">
        <v>146</v>
      </c>
      <c r="I283" s="3" t="s">
        <v>1223</v>
      </c>
      <c r="J283" s="3" t="s">
        <v>389</v>
      </c>
      <c r="K283" s="3" t="s">
        <v>292</v>
      </c>
      <c r="L283" s="4">
        <f>IF(OR(TRIM(I283)="",TRIM(K283)=""),"",IFERROR((VALUE(LEFT(TRIM(I283),4))-VALUE(LEFT(TRIM(K283),4)))*12+VALUE(MID(TRIM(I283),6,2))-VALUE(MID(TRIM(K283),6,2)),""))</f>
        <v>12</v>
      </c>
      <c r="M283" s="3" t="str">
        <f>IF(TRIM(H283)="","",IFERROR(LOOKUP(2,1/(ISNUMBER(SEARCH('منطق دسته‌بندی'!$A$2:$A$187,H283))),'منطق دسته‌بندی'!$B$2:$B$187),"سایر (نیازمند بررسی دستی)"))</f>
        <v>تراز/لرزش - نصب (رگلاژ پایه)</v>
      </c>
      <c r="N283" s="3" t="s">
        <v>24</v>
      </c>
      <c r="O283" s="3" t="s">
        <v>25</v>
      </c>
    </row>
    <row r="284" spans="1:15" ht="30" customHeight="1">
      <c r="A284" s="3" t="s">
        <v>1236</v>
      </c>
      <c r="B284" s="3" t="s">
        <v>1077</v>
      </c>
      <c r="C284" s="3" t="s">
        <v>1078</v>
      </c>
      <c r="D284" s="3" t="s">
        <v>127</v>
      </c>
      <c r="E284" s="3" t="s">
        <v>128</v>
      </c>
      <c r="F284" s="3" t="s">
        <v>1237</v>
      </c>
      <c r="G284" s="3" t="s">
        <v>621</v>
      </c>
      <c r="H284" s="3" t="s">
        <v>1238</v>
      </c>
      <c r="I284" s="3" t="s">
        <v>1223</v>
      </c>
      <c r="J284" s="3" t="s">
        <v>1024</v>
      </c>
      <c r="K284" s="3"/>
      <c r="L284" s="4" t="str">
        <f>IF(OR(TRIM(I284)="",TRIM(K284)=""),"",IFERROR((VALUE(LEFT(TRIM(I284),4))-VALUE(LEFT(TRIM(K284),4)))*12+VALUE(MID(TRIM(I284),6,2))-VALUE(MID(TRIM(K284),6,2)),""))</f>
        <v/>
      </c>
      <c r="M284" s="3" t="str">
        <f>IF(TRIM(H284)="","",IFERROR(LOOKUP(2,1/(ISNUMBER(SEARCH('منطق دسته‌بندی'!$A$2:$A$187,H284))),'منطق دسته‌بندی'!$B$2:$B$187),"سایر (نیازمند بررسی دستی)"))</f>
        <v>شیلنگ - برخورد/لهیدگی (بازبینی)</v>
      </c>
      <c r="N284" s="3" t="s">
        <v>24</v>
      </c>
      <c r="O284" s="3" t="s">
        <v>25</v>
      </c>
    </row>
    <row r="285" spans="1:15" ht="30" customHeight="1">
      <c r="A285" s="3" t="s">
        <v>1239</v>
      </c>
      <c r="B285" s="3" t="s">
        <v>1077</v>
      </c>
      <c r="C285" s="3" t="s">
        <v>1078</v>
      </c>
      <c r="D285" s="3" t="s">
        <v>108</v>
      </c>
      <c r="E285" s="3" t="s">
        <v>487</v>
      </c>
      <c r="F285" s="3" t="s">
        <v>1240</v>
      </c>
      <c r="G285" s="3" t="s">
        <v>1139</v>
      </c>
      <c r="H285" s="3" t="s">
        <v>792</v>
      </c>
      <c r="I285" s="3" t="s">
        <v>1223</v>
      </c>
      <c r="J285" s="3" t="s">
        <v>1241</v>
      </c>
      <c r="K285" s="3" t="s">
        <v>241</v>
      </c>
      <c r="L285" s="4">
        <f>IF(OR(TRIM(I285)="",TRIM(K285)=""),"",IFERROR((VALUE(LEFT(TRIM(I285),4))-VALUE(LEFT(TRIM(K285),4)))*12+VALUE(MID(TRIM(I285),6,2))-VALUE(MID(TRIM(K285),6,2)),""))</f>
        <v>16</v>
      </c>
      <c r="M285" s="3" t="str">
        <f>IF(TRIM(H285)="","",IFERROR(LOOKUP(2,1/(ISNUMBER(SEARCH('منطق دسته‌بندی'!$A$2:$A$187,H285))),'منطق دسته‌بندی'!$B$2:$B$187),"سایر (نیازمند بررسی دستی)"))</f>
        <v>خرابی - لامپ/LED داخلی (تعویض)</v>
      </c>
      <c r="N285" s="3" t="s">
        <v>1140</v>
      </c>
      <c r="O285" s="3" t="s">
        <v>25</v>
      </c>
    </row>
    <row r="286" spans="1:15" ht="30" customHeight="1">
      <c r="A286" s="3" t="s">
        <v>1242</v>
      </c>
      <c r="B286" s="3" t="s">
        <v>1077</v>
      </c>
      <c r="C286" s="3" t="s">
        <v>1078</v>
      </c>
      <c r="D286" s="3" t="s">
        <v>1402</v>
      </c>
      <c r="E286" s="3" t="s">
        <v>1234</v>
      </c>
      <c r="F286" s="3" t="s">
        <v>1243</v>
      </c>
      <c r="G286" s="3" t="s">
        <v>1244</v>
      </c>
      <c r="H286" s="3" t="s">
        <v>1245</v>
      </c>
      <c r="I286" s="3" t="s">
        <v>1223</v>
      </c>
      <c r="J286" s="3" t="s">
        <v>848</v>
      </c>
      <c r="K286" s="3" t="s">
        <v>1194</v>
      </c>
      <c r="L286" s="4">
        <f>IF(OR(TRIM(I286)="",TRIM(K286)=""),"",IFERROR((VALUE(LEFT(TRIM(I286),4))-VALUE(LEFT(TRIM(K286),4)))*12+VALUE(MID(TRIM(I286),6,2))-VALUE(MID(TRIM(K286),6,2)),""))</f>
        <v>0</v>
      </c>
      <c r="M286" s="3" t="str">
        <f>IF(TRIM(H286)="","",IFERROR(LOOKUP(2,1/(ISNUMBER(SEARCH('منطق دسته‌بندی'!$A$2:$A$187,H286))),'منطق دسته‌بندی'!$B$2:$B$187),"سایر (نیازمند بررسی دستی)"))</f>
        <v>خرابی - موتور (تعویض)</v>
      </c>
      <c r="N286" s="3" t="s">
        <v>1246</v>
      </c>
      <c r="O286" s="3" t="s">
        <v>25</v>
      </c>
    </row>
    <row r="287" spans="1:15" ht="60" customHeight="1">
      <c r="A287" s="3" t="s">
        <v>1247</v>
      </c>
      <c r="B287" s="3" t="s">
        <v>1077</v>
      </c>
      <c r="C287" s="3" t="s">
        <v>1078</v>
      </c>
      <c r="D287" s="3" t="s">
        <v>43</v>
      </c>
      <c r="E287" s="3" t="s">
        <v>1095</v>
      </c>
      <c r="F287" s="3"/>
      <c r="G287" s="3" t="s">
        <v>1248</v>
      </c>
      <c r="H287" s="3" t="s">
        <v>69</v>
      </c>
      <c r="I287" s="3" t="s">
        <v>1223</v>
      </c>
      <c r="J287" s="3"/>
      <c r="K287" s="3"/>
      <c r="L287" s="4" t="str">
        <f>IF(OR(TRIM(I287)="",TRIM(K287)=""),"",IFERROR((VALUE(LEFT(TRIM(I287),4))-VALUE(LEFT(TRIM(K287),4)))*12+VALUE(MID(TRIM(I287),6,2))-VALUE(MID(TRIM(K287),6,2)),""))</f>
        <v/>
      </c>
      <c r="M287" s="3" t="str">
        <f>IF(TRIM(H287)="","",IFERROR(LOOKUP(2,1/(ISNUMBER(SEARCH('منطق دسته‌بندی'!$A$2:$A$187,H287))),'منطق دسته‌بندی'!$B$2:$B$187),"سایر (نیازمند بررسی دستی)"))</f>
        <v>مکانیزم درب - میکروسوئیچ/قلاب (تعویض/تنظیم)</v>
      </c>
      <c r="N287" s="3" t="s">
        <v>1097</v>
      </c>
      <c r="O287" s="3" t="s">
        <v>25</v>
      </c>
    </row>
    <row r="288" spans="1:15" ht="30" customHeight="1">
      <c r="A288" s="3" t="s">
        <v>1249</v>
      </c>
      <c r="B288" s="3" t="s">
        <v>1077</v>
      </c>
      <c r="C288" s="3" t="s">
        <v>1078</v>
      </c>
      <c r="D288" s="3" t="s">
        <v>127</v>
      </c>
      <c r="E288" s="3" t="s">
        <v>128</v>
      </c>
      <c r="F288" s="3" t="s">
        <v>1250</v>
      </c>
      <c r="G288" s="3" t="s">
        <v>1251</v>
      </c>
      <c r="H288" s="3" t="s">
        <v>131</v>
      </c>
      <c r="I288" s="3" t="s">
        <v>1223</v>
      </c>
      <c r="J288" s="3" t="s">
        <v>1041</v>
      </c>
      <c r="K288" s="3" t="s">
        <v>818</v>
      </c>
      <c r="L288" s="4">
        <f>IF(OR(TRIM(I288)="",TRIM(K288)=""),"",IFERROR((VALUE(LEFT(TRIM(I288),4))-VALUE(LEFT(TRIM(K288),4)))*12+VALUE(MID(TRIM(I288),6,2))-VALUE(MID(TRIM(K288),6,2)),""))</f>
        <v>18</v>
      </c>
      <c r="M288" s="3" t="str">
        <f>IF(TRIM(H288)="","",IFERROR(LOOKUP(2,1/(ISNUMBER(SEARCH('منطق دسته‌بندی'!$A$2:$A$187,H288))),'منطق دسته‌بندی'!$B$2:$B$187),"سایر (نیازمند بررسی دستی)"))</f>
        <v>غیرگارانتی/بدون قطعه</v>
      </c>
      <c r="N288" s="3" t="s">
        <v>24</v>
      </c>
      <c r="O288" s="3" t="s">
        <v>25</v>
      </c>
    </row>
    <row r="289" spans="1:15">
      <c r="A289" s="3" t="s">
        <v>1252</v>
      </c>
      <c r="B289" s="3" t="s">
        <v>1077</v>
      </c>
      <c r="C289" s="3" t="s">
        <v>1078</v>
      </c>
      <c r="D289" s="3" t="s">
        <v>43</v>
      </c>
      <c r="E289" s="3" t="s">
        <v>1095</v>
      </c>
      <c r="F289" s="3" t="s">
        <v>1253</v>
      </c>
      <c r="G289" s="3" t="s">
        <v>573</v>
      </c>
      <c r="H289" s="3" t="s">
        <v>206</v>
      </c>
      <c r="I289" s="3" t="s">
        <v>1254</v>
      </c>
      <c r="J289" s="3" t="s">
        <v>1255</v>
      </c>
      <c r="K289" s="3" t="s">
        <v>671</v>
      </c>
      <c r="L289" s="4">
        <f>IF(OR(TRIM(I289)="",TRIM(K289)=""),"",IFERROR((VALUE(LEFT(TRIM(I289),4))-VALUE(LEFT(TRIM(K289),4)))*12+VALUE(MID(TRIM(I289),6,2))-VALUE(MID(TRIM(K289),6,2)),""))</f>
        <v>21</v>
      </c>
      <c r="M289" s="3" t="str">
        <f>IF(TRIM(H289)="","",IFERROR(LOOKUP(2,1/(ISNUMBER(SEARCH('منطق دسته‌بندی'!$A$2:$A$187,H289))),'منطق دسته‌بندی'!$B$2:$B$187),"سایر (نیازمند بررسی دستی)"))</f>
        <v>نشتی آب - محل نامشخص (نیازمند بازدید)</v>
      </c>
      <c r="N289" s="3" t="s">
        <v>24</v>
      </c>
      <c r="O289" s="3" t="s">
        <v>25</v>
      </c>
    </row>
    <row r="290" spans="1:15" ht="30" customHeight="1">
      <c r="A290" s="3" t="s">
        <v>1256</v>
      </c>
      <c r="B290" s="3" t="s">
        <v>1077</v>
      </c>
      <c r="C290" s="3" t="s">
        <v>1078</v>
      </c>
      <c r="D290" s="3" t="s">
        <v>127</v>
      </c>
      <c r="E290" s="3" t="s">
        <v>128</v>
      </c>
      <c r="F290" s="3" t="s">
        <v>1257</v>
      </c>
      <c r="G290" s="3" t="s">
        <v>265</v>
      </c>
      <c r="H290" s="3" t="s">
        <v>215</v>
      </c>
      <c r="I290" s="3" t="s">
        <v>1254</v>
      </c>
      <c r="J290" s="3" t="s">
        <v>899</v>
      </c>
      <c r="K290" s="3" t="s">
        <v>684</v>
      </c>
      <c r="L290" s="4">
        <f>IF(OR(TRIM(I290)="",TRIM(K290)=""),"",IFERROR((VALUE(LEFT(TRIM(I290),4))-VALUE(LEFT(TRIM(K290),4)))*12+VALUE(MID(TRIM(I290),6,2))-VALUE(MID(TRIM(K290),6,2)),""))</f>
        <v>15</v>
      </c>
      <c r="M290" s="3" t="str">
        <f>IF(TRIM(H290)="","",IFERROR(LOOKUP(2,1/(ISNUMBER(SEARCH('منطق دسته‌بندی'!$A$2:$A$187,H290))),'منطق دسته‌بندی'!$B$2:$B$187),"سایر (نیازمند بررسی دستی)"))</f>
        <v>یخساز - تنظیم/عایق (تعمیر)</v>
      </c>
      <c r="N290" s="3" t="s">
        <v>24</v>
      </c>
      <c r="O290" s="3" t="s">
        <v>25</v>
      </c>
    </row>
    <row r="291" spans="1:15" ht="30" customHeight="1">
      <c r="A291" s="3" t="s">
        <v>1258</v>
      </c>
      <c r="B291" s="3" t="s">
        <v>1077</v>
      </c>
      <c r="C291" s="3" t="s">
        <v>1078</v>
      </c>
      <c r="D291" s="3" t="s">
        <v>108</v>
      </c>
      <c r="E291" s="3" t="s">
        <v>1137</v>
      </c>
      <c r="F291" s="3" t="s">
        <v>1138</v>
      </c>
      <c r="G291" s="3" t="s">
        <v>1259</v>
      </c>
      <c r="H291" s="3" t="s">
        <v>792</v>
      </c>
      <c r="I291" s="3" t="s">
        <v>1260</v>
      </c>
      <c r="J291" s="3" t="s">
        <v>1261</v>
      </c>
      <c r="K291" s="3" t="s">
        <v>1262</v>
      </c>
      <c r="L291" s="4">
        <f>IF(OR(TRIM(I291)="",TRIM(K291)=""),"",IFERROR((VALUE(LEFT(TRIM(I291),4))-VALUE(LEFT(TRIM(K291),4)))*12+VALUE(MID(TRIM(I291),6,2))-VALUE(MID(TRIM(K291),6,2)),""))</f>
        <v>9</v>
      </c>
      <c r="M291" s="3" t="str">
        <f>IF(TRIM(H291)="","",IFERROR(LOOKUP(2,1/(ISNUMBER(SEARCH('منطق دسته‌بندی'!$A$2:$A$187,H291))),'منطق دسته‌بندی'!$B$2:$B$187),"سایر (نیازمند بررسی دستی)"))</f>
        <v>خرابی - لامپ/LED داخلی (تعویض)</v>
      </c>
      <c r="N291" s="3" t="s">
        <v>1140</v>
      </c>
      <c r="O291" s="3" t="s">
        <v>78</v>
      </c>
    </row>
    <row r="292" spans="1:15" ht="30" customHeight="1">
      <c r="A292" s="3" t="s">
        <v>1263</v>
      </c>
      <c r="B292" s="3" t="s">
        <v>1077</v>
      </c>
      <c r="C292" s="3" t="s">
        <v>1078</v>
      </c>
      <c r="D292" s="3" t="s">
        <v>1402</v>
      </c>
      <c r="E292" s="3" t="s">
        <v>1192</v>
      </c>
      <c r="F292" s="3" t="s">
        <v>1264</v>
      </c>
      <c r="G292" s="3" t="s">
        <v>1265</v>
      </c>
      <c r="H292" s="3" t="s">
        <v>1266</v>
      </c>
      <c r="I292" s="3" t="s">
        <v>1260</v>
      </c>
      <c r="J292" s="3" t="s">
        <v>1261</v>
      </c>
      <c r="K292" s="3" t="s">
        <v>882</v>
      </c>
      <c r="L292" s="4">
        <f>IF(OR(TRIM(I292)="",TRIM(K292)=""),"",IFERROR((VALUE(LEFT(TRIM(I292),4))-VALUE(LEFT(TRIM(K292),4)))*12+VALUE(MID(TRIM(I292),6,2))-VALUE(MID(TRIM(K292),6,2)),""))</f>
        <v>3</v>
      </c>
      <c r="M292" s="3" t="str">
        <f>IF(TRIM(H292)="","",IFERROR(LOOKUP(2,1/(ISNUMBER(SEARCH('منطق دسته‌بندی'!$A$2:$A$187,H292))),'منطق دسته‌بندی'!$B$2:$B$187),"سایر (نیازمند بررسی دستی)"))</f>
        <v>خرابی - برد الکترونیک (تعویض)</v>
      </c>
      <c r="N292" s="3" t="s">
        <v>1267</v>
      </c>
      <c r="O292" s="3" t="s">
        <v>25</v>
      </c>
    </row>
    <row r="293" spans="1:15" ht="30" customHeight="1">
      <c r="A293" s="3" t="s">
        <v>1268</v>
      </c>
      <c r="B293" s="3" t="s">
        <v>1077</v>
      </c>
      <c r="C293" s="3" t="s">
        <v>1078</v>
      </c>
      <c r="D293" s="3" t="s">
        <v>108</v>
      </c>
      <c r="E293" s="3" t="s">
        <v>335</v>
      </c>
      <c r="F293" s="3" t="s">
        <v>1269</v>
      </c>
      <c r="G293" s="3" t="s">
        <v>103</v>
      </c>
      <c r="H293" s="3" t="s">
        <v>427</v>
      </c>
      <c r="I293" s="3" t="s">
        <v>1260</v>
      </c>
      <c r="J293" s="3" t="s">
        <v>442</v>
      </c>
      <c r="K293" s="3"/>
      <c r="L293" s="4" t="str">
        <f>IF(OR(TRIM(I293)="",TRIM(K293)=""),"",IFERROR((VALUE(LEFT(TRIM(I293),4))-VALUE(LEFT(TRIM(K293),4)))*12+VALUE(MID(TRIM(I293),6,2))-VALUE(MID(TRIM(K293),6,2)),""))</f>
        <v/>
      </c>
      <c r="M293" s="3" t="str">
        <f>IF(TRIM(H293)="","",IFERROR(LOOKUP(2,1/(ISNUMBER(SEARCH('منطق دسته‌بندی'!$A$2:$A$187,H293))),'منطق دسته‌بندی'!$B$2:$B$187),"سایر (نیازمند بررسی دستی)"))</f>
        <v>خرابی - ترموستات/سنسور دما (تعویض)</v>
      </c>
      <c r="N293" s="3" t="s">
        <v>1270</v>
      </c>
      <c r="O293" s="3" t="s">
        <v>25</v>
      </c>
    </row>
    <row r="294" spans="1:15" ht="30" customHeight="1">
      <c r="A294" s="3" t="s">
        <v>1271</v>
      </c>
      <c r="B294" s="3" t="s">
        <v>1077</v>
      </c>
      <c r="C294" s="3" t="s">
        <v>1078</v>
      </c>
      <c r="D294" s="3" t="s">
        <v>43</v>
      </c>
      <c r="E294" s="3" t="s">
        <v>1095</v>
      </c>
      <c r="F294" s="3" t="s">
        <v>1272</v>
      </c>
      <c r="G294" s="3" t="s">
        <v>1273</v>
      </c>
      <c r="H294" s="3" t="s">
        <v>1122</v>
      </c>
      <c r="I294" s="3" t="s">
        <v>1260</v>
      </c>
      <c r="J294" s="3" t="s">
        <v>1178</v>
      </c>
      <c r="K294" s="3" t="s">
        <v>195</v>
      </c>
      <c r="L294" s="4">
        <f>IF(OR(TRIM(I294)="",TRIM(K294)=""),"",IFERROR((VALUE(LEFT(TRIM(I294),4))-VALUE(LEFT(TRIM(K294),4)))*12+VALUE(MID(TRIM(I294),6,2))-VALUE(MID(TRIM(K294),6,2)),""))</f>
        <v>15</v>
      </c>
      <c r="M294" s="3" t="str">
        <f>IF(TRIM(H294)="","",IFERROR(LOOKUP(2,1/(ISNUMBER(SEARCH('منطق دسته‌بندی'!$A$2:$A$187,H294))),'منطق دسته‌بندی'!$B$2:$B$187),"سایر (نیازمند بررسی دستی)"))</f>
        <v>زنگ‌زدگی بدنه/قطعه (تعویض)</v>
      </c>
      <c r="N294" s="3" t="s">
        <v>1123</v>
      </c>
      <c r="O294" s="3" t="s">
        <v>25</v>
      </c>
    </row>
    <row r="295" spans="1:15" ht="30" customHeight="1">
      <c r="A295" s="3" t="s">
        <v>1274</v>
      </c>
      <c r="B295" s="3" t="s">
        <v>1077</v>
      </c>
      <c r="C295" s="3" t="s">
        <v>1078</v>
      </c>
      <c r="D295" s="3" t="s">
        <v>127</v>
      </c>
      <c r="E295" s="3" t="s">
        <v>128</v>
      </c>
      <c r="F295" s="3" t="s">
        <v>1275</v>
      </c>
      <c r="G295" s="3" t="s">
        <v>265</v>
      </c>
      <c r="H295" s="3" t="s">
        <v>963</v>
      </c>
      <c r="I295" s="3" t="s">
        <v>1276</v>
      </c>
      <c r="J295" s="3" t="s">
        <v>921</v>
      </c>
      <c r="K295" s="3" t="s">
        <v>330</v>
      </c>
      <c r="L295" s="4">
        <f>IF(OR(TRIM(I295)="",TRIM(K295)=""),"",IFERROR((VALUE(LEFT(TRIM(I295),4))-VALUE(LEFT(TRIM(K295),4)))*12+VALUE(MID(TRIM(I295),6,2))-VALUE(MID(TRIM(K295),6,2)),""))</f>
        <v>13</v>
      </c>
      <c r="M295" s="3" t="str">
        <f>IF(TRIM(H295)="","",IFERROR(LOOKUP(2,1/(ISNUMBER(SEARCH('منطق دسته‌بندی'!$A$2:$A$187,H295))),'منطق دسته‌بندی'!$B$2:$B$187),"سایر (نیازمند بررسی دستی)"))</f>
        <v>یخساز - خرابی سنسور (تعویض)</v>
      </c>
      <c r="N295" s="3" t="s">
        <v>1277</v>
      </c>
      <c r="O295" s="3" t="s">
        <v>25</v>
      </c>
    </row>
    <row r="296" spans="1:15" ht="45" customHeight="1">
      <c r="A296" s="3" t="s">
        <v>1278</v>
      </c>
      <c r="B296" s="3" t="s">
        <v>1077</v>
      </c>
      <c r="C296" s="3" t="s">
        <v>1078</v>
      </c>
      <c r="D296" s="3" t="s">
        <v>127</v>
      </c>
      <c r="E296" s="3" t="s">
        <v>128</v>
      </c>
      <c r="F296" s="3" t="s">
        <v>1279</v>
      </c>
      <c r="G296" s="3" t="s">
        <v>1061</v>
      </c>
      <c r="H296" s="3" t="s">
        <v>278</v>
      </c>
      <c r="I296" s="3" t="s">
        <v>1280</v>
      </c>
      <c r="J296" s="3" t="s">
        <v>1064</v>
      </c>
      <c r="K296" s="3" t="s">
        <v>76</v>
      </c>
      <c r="L296" s="4">
        <f>IF(OR(TRIM(I296)="",TRIM(K296)=""),"",IFERROR((VALUE(LEFT(TRIM(I296),4))-VALUE(LEFT(TRIM(K296),4)))*12+VALUE(MID(TRIM(I296),6,2))-VALUE(MID(TRIM(K296),6,2)),""))</f>
        <v>18</v>
      </c>
      <c r="M296" s="3" t="str">
        <f>IF(TRIM(H296)="","",IFERROR(LOOKUP(2,1/(ISNUMBER(SEARCH('منطق دسته‌بندی'!$A$2:$A$187,H296))),'منطق دسته‌بندی'!$B$2:$B$187),"سایر (نیازمند بررسی دستی)"))</f>
        <v>یخساز - تنظیم/عایق (تعمیر)</v>
      </c>
      <c r="N296" s="3" t="s">
        <v>1281</v>
      </c>
      <c r="O296" s="3" t="s">
        <v>25</v>
      </c>
    </row>
    <row r="297" spans="1:15" ht="30" customHeight="1">
      <c r="A297" s="3" t="s">
        <v>1282</v>
      </c>
      <c r="B297" s="3" t="s">
        <v>1077</v>
      </c>
      <c r="C297" s="3" t="s">
        <v>1078</v>
      </c>
      <c r="D297" s="3" t="s">
        <v>1402</v>
      </c>
      <c r="E297" s="3" t="s">
        <v>1283</v>
      </c>
      <c r="F297" s="3" t="s">
        <v>1284</v>
      </c>
      <c r="G297" s="3" t="s">
        <v>28</v>
      </c>
      <c r="H297" s="3" t="s">
        <v>1285</v>
      </c>
      <c r="I297" s="3" t="s">
        <v>1280</v>
      </c>
      <c r="J297" s="3" t="s">
        <v>164</v>
      </c>
      <c r="K297" s="3" t="s">
        <v>1286</v>
      </c>
      <c r="L297" s="4">
        <f>IF(OR(TRIM(I297)="",TRIM(K297)=""),"",IFERROR((VALUE(LEFT(TRIM(I297),4))-VALUE(LEFT(TRIM(K297),4)))*12+VALUE(MID(TRIM(I297),6,2))-VALUE(MID(TRIM(K297),6,2)),""))</f>
        <v>11</v>
      </c>
      <c r="M297" s="3" t="str">
        <f>IF(TRIM(H297)="","",IFERROR(LOOKUP(2,1/(ISNUMBER(SEARCH('منطق دسته‌بندی'!$A$2:$A$187,H297))),'منطق دسته‌بندی'!$B$2:$B$187),"سایر (نیازمند بررسی دستی)"))</f>
        <v>عایق‌کاری/اصلاح (تعمیر)</v>
      </c>
      <c r="N297" s="3" t="s">
        <v>24</v>
      </c>
      <c r="O297" s="3" t="s">
        <v>25</v>
      </c>
    </row>
    <row r="298" spans="1:15" ht="30" customHeight="1">
      <c r="A298" s="3" t="s">
        <v>1287</v>
      </c>
      <c r="B298" s="3" t="s">
        <v>1077</v>
      </c>
      <c r="C298" s="3" t="s">
        <v>1078</v>
      </c>
      <c r="D298" s="3" t="s">
        <v>1402</v>
      </c>
      <c r="E298" s="3" t="s">
        <v>1283</v>
      </c>
      <c r="F298" s="3" t="s">
        <v>1288</v>
      </c>
      <c r="G298" s="3" t="s">
        <v>1289</v>
      </c>
      <c r="H298" s="3" t="s">
        <v>170</v>
      </c>
      <c r="I298" s="3" t="s">
        <v>1280</v>
      </c>
      <c r="J298" s="3" t="s">
        <v>1290</v>
      </c>
      <c r="K298" s="3" t="s">
        <v>1291</v>
      </c>
      <c r="L298" s="4">
        <f>IF(OR(TRIM(I298)="",TRIM(K298)=""),"",IFERROR((VALUE(LEFT(TRIM(I298),4))-VALUE(LEFT(TRIM(K298),4)))*12+VALUE(MID(TRIM(I298),6,2))-VALUE(MID(TRIM(K298),6,2)),""))</f>
        <v>24</v>
      </c>
      <c r="M298" s="3" t="str">
        <f>IF(TRIM(H298)="","",IFERROR(LOOKUP(2,1/(ISNUMBER(SEARCH('منطق دسته‌بندی'!$A$2:$A$187,H298))),'منطق دسته‌بندی'!$B$2:$B$187),"سایر (نیازمند بررسی دستی)"))</f>
        <v>خرابی - پمپ تخلیه (تعویض)</v>
      </c>
      <c r="N298" s="3" t="s">
        <v>1292</v>
      </c>
      <c r="O298" s="3" t="s">
        <v>25</v>
      </c>
    </row>
    <row r="299" spans="1:15" ht="30" customHeight="1">
      <c r="A299" s="3" t="s">
        <v>1293</v>
      </c>
      <c r="B299" s="3" t="s">
        <v>1077</v>
      </c>
      <c r="C299" s="3" t="s">
        <v>1078</v>
      </c>
      <c r="D299" s="3" t="s">
        <v>127</v>
      </c>
      <c r="E299" s="3" t="s">
        <v>128</v>
      </c>
      <c r="F299" s="3" t="s">
        <v>1294</v>
      </c>
      <c r="G299" s="3" t="s">
        <v>265</v>
      </c>
      <c r="H299" s="3" t="s">
        <v>156</v>
      </c>
      <c r="I299" s="3" t="s">
        <v>1280</v>
      </c>
      <c r="J299" s="3" t="s">
        <v>1295</v>
      </c>
      <c r="K299" s="3" t="s">
        <v>1296</v>
      </c>
      <c r="L299" s="4">
        <f>IF(OR(TRIM(I299)="",TRIM(K299)=""),"",IFERROR((VALUE(LEFT(TRIM(I299),4))-VALUE(LEFT(TRIM(K299),4)))*12+VALUE(MID(TRIM(I299),6,2))-VALUE(MID(TRIM(K299),6,2)),""))</f>
        <v>15</v>
      </c>
      <c r="M299" s="3" t="str">
        <f>IF(TRIM(H299)="","",IFERROR(LOOKUP(2,1/(ISNUMBER(SEARCH('منطق دسته‌بندی'!$A$2:$A$187,H299))),'منطق دسته‌بندی'!$B$2:$B$187),"سایر (نیازمند بررسی دستی)"))</f>
        <v>خرابی - شیربرقی (تعویض)</v>
      </c>
      <c r="N299" s="3" t="s">
        <v>1297</v>
      </c>
      <c r="O299" s="3" t="s">
        <v>25</v>
      </c>
    </row>
    <row r="300" spans="1:15" ht="30" customHeight="1">
      <c r="A300" s="3" t="s">
        <v>1298</v>
      </c>
      <c r="B300" s="3" t="s">
        <v>1077</v>
      </c>
      <c r="C300" s="3" t="s">
        <v>1078</v>
      </c>
      <c r="D300" s="3" t="s">
        <v>108</v>
      </c>
      <c r="E300" s="3" t="s">
        <v>391</v>
      </c>
      <c r="F300" s="3" t="s">
        <v>1299</v>
      </c>
      <c r="G300" s="3" t="s">
        <v>393</v>
      </c>
      <c r="H300" s="3" t="s">
        <v>1300</v>
      </c>
      <c r="I300" s="3" t="s">
        <v>1301</v>
      </c>
      <c r="J300" s="3" t="s">
        <v>152</v>
      </c>
      <c r="K300" s="3" t="s">
        <v>469</v>
      </c>
      <c r="L300" s="4">
        <f>IF(OR(TRIM(I300)="",TRIM(K300)=""),"",IFERROR((VALUE(LEFT(TRIM(I300),4))-VALUE(LEFT(TRIM(K300),4)))*12+VALUE(MID(TRIM(I300),6,2))-VALUE(MID(TRIM(K300),6,2)),""))</f>
        <v>8</v>
      </c>
      <c r="M300" s="3" t="str">
        <f>IF(TRIM(H300)="","",IFERROR(LOOKUP(2,1/(ISNUMBER(SEARCH('منطق دسته‌بندی'!$A$2:$A$187,H300))),'منطق دسته‌بندی'!$B$2:$B$187),"سایر (نیازمند بررسی دستی)"))</f>
        <v>خرابی - کمپرسور (تعویض)</v>
      </c>
      <c r="N300" s="3" t="s">
        <v>1302</v>
      </c>
      <c r="O300" s="3" t="s">
        <v>25</v>
      </c>
    </row>
    <row r="301" spans="1:15" ht="30" customHeight="1">
      <c r="A301" s="3" t="s">
        <v>1303</v>
      </c>
      <c r="B301" s="3" t="s">
        <v>1077</v>
      </c>
      <c r="C301" s="3" t="s">
        <v>1078</v>
      </c>
      <c r="D301" s="3" t="s">
        <v>59</v>
      </c>
      <c r="E301" s="3" t="s">
        <v>60</v>
      </c>
      <c r="F301" s="3" t="s">
        <v>1304</v>
      </c>
      <c r="G301" s="3" t="s">
        <v>62</v>
      </c>
      <c r="H301" s="3" t="s">
        <v>63</v>
      </c>
      <c r="I301" s="3" t="s">
        <v>1301</v>
      </c>
      <c r="J301" s="3" t="s">
        <v>1305</v>
      </c>
      <c r="K301" s="3" t="s">
        <v>354</v>
      </c>
      <c r="L301" s="4">
        <f>IF(OR(TRIM(I301)="",TRIM(K301)=""),"",IFERROR((VALUE(LEFT(TRIM(I301),4))-VALUE(LEFT(TRIM(K301),4)))*12+VALUE(MID(TRIM(I301),6,2))-VALUE(MID(TRIM(K301),6,2)),""))</f>
        <v>16</v>
      </c>
      <c r="M301" s="3" t="str">
        <f>IF(TRIM(H301)="","",IFERROR(LOOKUP(2,1/(ISNUMBER(SEARCH('منطق دسته‌بندی'!$A$2:$A$187,H301))),'منطق دسته‌بندی'!$B$2:$B$187),"سایر (نیازمند بررسی دستی)"))</f>
        <v>ریموت کنترل (تعویض/تعمیر)</v>
      </c>
      <c r="N301" s="3" t="s">
        <v>1306</v>
      </c>
      <c r="O301" s="3" t="s">
        <v>25</v>
      </c>
    </row>
    <row r="302" spans="1:15">
      <c r="A302" s="3" t="s">
        <v>1307</v>
      </c>
      <c r="B302" s="3" t="s">
        <v>1077</v>
      </c>
      <c r="C302" s="3" t="s">
        <v>1078</v>
      </c>
      <c r="D302" s="3" t="s">
        <v>43</v>
      </c>
      <c r="E302" s="3" t="s">
        <v>379</v>
      </c>
      <c r="F302" s="3" t="s">
        <v>1308</v>
      </c>
      <c r="G302" s="3" t="s">
        <v>81</v>
      </c>
      <c r="H302" s="3" t="s">
        <v>531</v>
      </c>
      <c r="I302" s="3" t="s">
        <v>1301</v>
      </c>
      <c r="J302" s="3" t="s">
        <v>1309</v>
      </c>
      <c r="K302" s="3" t="s">
        <v>366</v>
      </c>
      <c r="L302" s="4">
        <f>IF(OR(TRIM(I302)="",TRIM(K302)=""),"",IFERROR((VALUE(LEFT(TRIM(I302),4))-VALUE(LEFT(TRIM(K302),4)))*12+VALUE(MID(TRIM(I302),6,2))-VALUE(MID(TRIM(K302),6,2)),""))</f>
        <v>9</v>
      </c>
      <c r="M302" s="3" t="str">
        <f>IF(TRIM(H302)="","",IFERROR(LOOKUP(2,1/(ISNUMBER(SEARCH('منطق دسته‌بندی'!$A$2:$A$187,H302))),'منطق دسته‌بندی'!$B$2:$B$187),"سایر (نیازمند بررسی دستی)"))</f>
        <v>نشتی - شیلنگ (تعمیر/آب‌بندی)</v>
      </c>
      <c r="N302" s="3" t="s">
        <v>24</v>
      </c>
      <c r="O302" s="3" t="s">
        <v>25</v>
      </c>
    </row>
    <row r="303" spans="1:15" ht="30" customHeight="1">
      <c r="A303" s="3" t="s">
        <v>1310</v>
      </c>
      <c r="B303" s="3" t="s">
        <v>1077</v>
      </c>
      <c r="C303" s="3" t="s">
        <v>1078</v>
      </c>
      <c r="D303" s="3" t="s">
        <v>127</v>
      </c>
      <c r="E303" s="3" t="s">
        <v>128</v>
      </c>
      <c r="F303" s="3" t="s">
        <v>1125</v>
      </c>
      <c r="G303" s="3" t="s">
        <v>265</v>
      </c>
      <c r="H303" s="3" t="s">
        <v>1311</v>
      </c>
      <c r="I303" s="3" t="s">
        <v>1301</v>
      </c>
      <c r="J303" s="3" t="s">
        <v>1312</v>
      </c>
      <c r="K303" s="3" t="s">
        <v>657</v>
      </c>
      <c r="L303" s="4">
        <f>IF(OR(TRIM(I303)="",TRIM(K303)=""),"",IFERROR((VALUE(LEFT(TRIM(I303),4))-VALUE(LEFT(TRIM(K303),4)))*12+VALUE(MID(TRIM(I303),6,2))-VALUE(MID(TRIM(K303),6,2)),""))</f>
        <v>18</v>
      </c>
      <c r="M303" s="3" t="str">
        <f>IF(TRIM(H303)="","",IFERROR(LOOKUP(2,1/(ISNUMBER(SEARCH('منطق دسته‌بندی'!$A$2:$A$187,H303))),'منطق دسته‌بندی'!$B$2:$B$187),"سایر (نیازمند بررسی دستی)"))</f>
        <v>یخساز - خرابی موتور (تعویض)</v>
      </c>
      <c r="N303" s="3" t="s">
        <v>1313</v>
      </c>
      <c r="O303" s="3" t="s">
        <v>78</v>
      </c>
    </row>
    <row r="304" spans="1:15" ht="30" customHeight="1">
      <c r="A304" s="3" t="s">
        <v>1314</v>
      </c>
      <c r="B304" s="3" t="s">
        <v>1077</v>
      </c>
      <c r="C304" s="3" t="s">
        <v>1078</v>
      </c>
      <c r="D304" s="3" t="s">
        <v>43</v>
      </c>
      <c r="E304" s="3" t="s">
        <v>379</v>
      </c>
      <c r="F304" s="3" t="s">
        <v>1315</v>
      </c>
      <c r="G304" s="3" t="s">
        <v>1316</v>
      </c>
      <c r="H304" s="3" t="s">
        <v>231</v>
      </c>
      <c r="I304" s="3" t="s">
        <v>1317</v>
      </c>
      <c r="J304" s="3" t="s">
        <v>222</v>
      </c>
      <c r="K304" s="3" t="s">
        <v>536</v>
      </c>
      <c r="L304" s="4">
        <f>IF(OR(TRIM(I304)="",TRIM(K304)=""),"",IFERROR((VALUE(LEFT(TRIM(I304),4))-VALUE(LEFT(TRIM(K304),4)))*12+VALUE(MID(TRIM(I304),6,2))-VALUE(MID(TRIM(K304),6,2)),""))</f>
        <v>8</v>
      </c>
      <c r="M304" s="3" t="str">
        <f>IF(TRIM(H304)="","",IFERROR(LOOKUP(2,1/(ISNUMBER(SEARCH('منطق دسته‌بندی'!$A$2:$A$187,H304))),'منطق دسته‌بندی'!$B$2:$B$187),"سایر (نیازمند بررسی دستی)"))</f>
        <v>نشتی - پمپ تخلیه (تعمیر/آب‌بندی)</v>
      </c>
      <c r="N304" s="3" t="s">
        <v>1318</v>
      </c>
      <c r="O304" s="3" t="s">
        <v>25</v>
      </c>
    </row>
    <row r="305" spans="1:15">
      <c r="A305" s="3" t="s">
        <v>1319</v>
      </c>
      <c r="B305" s="3" t="s">
        <v>1077</v>
      </c>
      <c r="C305" s="3" t="s">
        <v>1078</v>
      </c>
      <c r="D305" s="3" t="s">
        <v>127</v>
      </c>
      <c r="E305" s="3" t="s">
        <v>128</v>
      </c>
      <c r="F305" s="3" t="s">
        <v>1320</v>
      </c>
      <c r="G305" s="3" t="s">
        <v>1251</v>
      </c>
      <c r="H305" s="3" t="s">
        <v>1321</v>
      </c>
      <c r="I305" s="3" t="s">
        <v>1322</v>
      </c>
      <c r="J305" s="3" t="s">
        <v>915</v>
      </c>
      <c r="K305" s="3" t="s">
        <v>1323</v>
      </c>
      <c r="L305" s="4">
        <f>IF(OR(TRIM(I305)="",TRIM(K305)=""),"",IFERROR((VALUE(LEFT(TRIM(I305),4))-VALUE(LEFT(TRIM(K305),4)))*12+VALUE(MID(TRIM(I305),6,2))-VALUE(MID(TRIM(K305),6,2)),""))</f>
        <v>18</v>
      </c>
      <c r="M305" s="3" t="str">
        <f>IF(TRIM(H305)="","",IFERROR(LOOKUP(2,1/(ISNUMBER(SEARCH('منطق دسته‌بندی'!$A$2:$A$187,H305))),'منطق دسته‌بندی'!$B$2:$B$187),"سایر (نیازمند بررسی دستی)"))</f>
        <v>وان/کابین - ترک (نیازمند تعویض/بررسی)</v>
      </c>
      <c r="N305" s="3" t="s">
        <v>24</v>
      </c>
      <c r="O305" s="3" t="s">
        <v>25</v>
      </c>
    </row>
    <row r="306" spans="1:15" ht="30" customHeight="1">
      <c r="A306" s="3" t="s">
        <v>1324</v>
      </c>
      <c r="B306" s="3" t="s">
        <v>1077</v>
      </c>
      <c r="C306" s="3" t="s">
        <v>1078</v>
      </c>
      <c r="D306" s="3" t="s">
        <v>127</v>
      </c>
      <c r="E306" s="3" t="s">
        <v>128</v>
      </c>
      <c r="F306" s="3" t="s">
        <v>1325</v>
      </c>
      <c r="G306" s="3" t="s">
        <v>214</v>
      </c>
      <c r="H306" s="3" t="s">
        <v>1326</v>
      </c>
      <c r="I306" s="3" t="s">
        <v>1322</v>
      </c>
      <c r="J306" s="3" t="s">
        <v>282</v>
      </c>
      <c r="K306" s="3" t="s">
        <v>1327</v>
      </c>
      <c r="L306" s="4">
        <f>IF(OR(TRIM(I306)="",TRIM(K306)=""),"",IFERROR((VALUE(LEFT(TRIM(I306),4))-VALUE(LEFT(TRIM(K306),4)))*12+VALUE(MID(TRIM(I306),6,2))-VALUE(MID(TRIM(K306),6,2)),""))</f>
        <v>6</v>
      </c>
      <c r="M306" s="3" t="str">
        <f>IF(TRIM(H306)="","",IFERROR(LOOKUP(2,1/(ISNUMBER(SEARCH('منطق دسته‌بندی'!$A$2:$A$187,H306))),'منطق دسته‌بندی'!$B$2:$B$187),"سایر (نیازمند بررسی دستی)"))</f>
        <v>یخساز - خرابی سنسور (تعویض)</v>
      </c>
      <c r="N306" s="3" t="s">
        <v>24</v>
      </c>
      <c r="O306" s="3" t="s">
        <v>25</v>
      </c>
    </row>
    <row r="307" spans="1:15" ht="30" customHeight="1">
      <c r="A307" s="3" t="s">
        <v>1328</v>
      </c>
      <c r="B307" s="3" t="s">
        <v>1077</v>
      </c>
      <c r="C307" s="3" t="s">
        <v>1078</v>
      </c>
      <c r="D307" s="3" t="s">
        <v>127</v>
      </c>
      <c r="E307" s="3" t="s">
        <v>128</v>
      </c>
      <c r="F307" s="3" t="s">
        <v>1329</v>
      </c>
      <c r="G307" s="3" t="s">
        <v>1330</v>
      </c>
      <c r="H307" s="3" t="s">
        <v>1331</v>
      </c>
      <c r="I307" s="3" t="s">
        <v>1322</v>
      </c>
      <c r="J307" s="3" t="s">
        <v>333</v>
      </c>
      <c r="K307" s="3"/>
      <c r="L307" s="4" t="str">
        <f>IF(OR(TRIM(I307)="",TRIM(K307)=""),"",IFERROR((VALUE(LEFT(TRIM(I307),4))-VALUE(LEFT(TRIM(K307),4)))*12+VALUE(MID(TRIM(I307),6,2))-VALUE(MID(TRIM(K307),6,2)),""))</f>
        <v/>
      </c>
      <c r="M307" s="3" t="str">
        <f>IF(TRIM(H307)="","",IFERROR(LOOKUP(2,1/(ISNUMBER(SEARCH('منطق دسته‌بندی'!$A$2:$A$187,H307))),'منطق دسته‌بندی'!$B$2:$B$187),"سایر (نیازمند بررسی دستی)"))</f>
        <v>آرام‌بند درب (تعویض)</v>
      </c>
      <c r="N307" s="3" t="s">
        <v>1332</v>
      </c>
      <c r="O307" s="3" t="s">
        <v>25</v>
      </c>
    </row>
    <row r="308" spans="1:15" ht="30" customHeight="1">
      <c r="A308" s="3" t="s">
        <v>1333</v>
      </c>
      <c r="B308" s="3" t="s">
        <v>1077</v>
      </c>
      <c r="C308" s="3" t="s">
        <v>1078</v>
      </c>
      <c r="D308" s="3" t="s">
        <v>127</v>
      </c>
      <c r="E308" s="3" t="s">
        <v>128</v>
      </c>
      <c r="F308" s="3" t="s">
        <v>444</v>
      </c>
      <c r="G308" s="3" t="s">
        <v>265</v>
      </c>
      <c r="H308" s="3" t="s">
        <v>1334</v>
      </c>
      <c r="I308" s="3" t="s">
        <v>1322</v>
      </c>
      <c r="J308" s="3" t="s">
        <v>447</v>
      </c>
      <c r="K308" s="3" t="s">
        <v>448</v>
      </c>
      <c r="L308" s="4">
        <f>IF(OR(TRIM(I308)="",TRIM(K308)=""),"",IFERROR((VALUE(LEFT(TRIM(I308),4))-VALUE(LEFT(TRIM(K308),4)))*12+VALUE(MID(TRIM(I308),6,2))-VALUE(MID(TRIM(K308),6,2)),""))</f>
        <v>14</v>
      </c>
      <c r="M308" s="3" t="str">
        <f>IF(TRIM(H308)="","",IFERROR(LOOKUP(2,1/(ISNUMBER(SEARCH('منطق دسته‌بندی'!$A$2:$A$187,H308))),'منطق دسته‌بندی'!$B$2:$B$187),"سایر (نیازمند بررسی دستی)"))</f>
        <v>یخساز - قالب/کاور (تعویض/بازبینی)</v>
      </c>
      <c r="N308" s="3" t="s">
        <v>1116</v>
      </c>
      <c r="O308" s="3" t="s">
        <v>78</v>
      </c>
    </row>
    <row r="309" spans="1:15" ht="30" customHeight="1">
      <c r="A309" s="3" t="s">
        <v>1335</v>
      </c>
      <c r="B309" s="3" t="s">
        <v>1077</v>
      </c>
      <c r="C309" s="3" t="s">
        <v>1078</v>
      </c>
      <c r="D309" s="3" t="s">
        <v>108</v>
      </c>
      <c r="E309" s="3" t="s">
        <v>891</v>
      </c>
      <c r="F309" s="3" t="s">
        <v>1336</v>
      </c>
      <c r="G309" s="3" t="s">
        <v>1337</v>
      </c>
      <c r="H309" s="3" t="s">
        <v>1338</v>
      </c>
      <c r="I309" s="3" t="s">
        <v>1322</v>
      </c>
      <c r="J309" s="3" t="s">
        <v>1339</v>
      </c>
      <c r="K309" s="3" t="s">
        <v>1340</v>
      </c>
      <c r="L309" s="4">
        <f>IF(OR(TRIM(I309)="",TRIM(K309)=""),"",IFERROR((VALUE(LEFT(TRIM(I309),4))-VALUE(LEFT(TRIM(K309),4)))*12+VALUE(MID(TRIM(I309),6,2))-VALUE(MID(TRIM(K309),6,2)),""))</f>
        <v>1</v>
      </c>
      <c r="M309" s="3" t="str">
        <f>IF(TRIM(H309)="","",IFERROR(LOOKUP(2,1/(ISNUMBER(SEARCH('منطق دسته‌بندی'!$A$2:$A$187,H309))),'منطق دسته‌بندی'!$B$2:$B$187),"سایر (نیازمند بررسی دستی)"))</f>
        <v>کلید فشاری (تعویض/بازبینی)</v>
      </c>
      <c r="N309" s="3" t="s">
        <v>1160</v>
      </c>
      <c r="O309" s="3" t="s">
        <v>25</v>
      </c>
    </row>
    <row r="310" spans="1:15" ht="30" customHeight="1">
      <c r="A310" s="3" t="s">
        <v>1341</v>
      </c>
      <c r="B310" s="3" t="s">
        <v>1077</v>
      </c>
      <c r="C310" s="3" t="s">
        <v>1078</v>
      </c>
      <c r="D310" s="3" t="s">
        <v>43</v>
      </c>
      <c r="E310" s="3" t="s">
        <v>1095</v>
      </c>
      <c r="F310" s="3" t="s">
        <v>1342</v>
      </c>
      <c r="G310" s="3" t="s">
        <v>640</v>
      </c>
      <c r="H310" s="3" t="s">
        <v>1093</v>
      </c>
      <c r="I310" s="3" t="s">
        <v>1343</v>
      </c>
      <c r="J310" s="3" t="s">
        <v>148</v>
      </c>
      <c r="K310" s="3" t="s">
        <v>358</v>
      </c>
      <c r="L310" s="4">
        <f>IF(OR(TRIM(I310)="",TRIM(K310)=""),"",IFERROR((VALUE(LEFT(TRIM(I310),4))-VALUE(LEFT(TRIM(K310),4)))*12+VALUE(MID(TRIM(I310),6,2))-VALUE(MID(TRIM(K310),6,2)),""))</f>
        <v>7</v>
      </c>
      <c r="M310" s="3" t="str">
        <f>IF(TRIM(H310)="","",IFERROR(LOOKUP(2,1/(ISNUMBER(SEARCH('منطق دسته‌بندی'!$A$2:$A$187,H310))),'منطق دسته‌بندی'!$B$2:$B$187),"سایر (نیازمند بررسی دستی)"))</f>
        <v>سایر اجزای درب (بازبینی)</v>
      </c>
      <c r="N310" s="3" t="s">
        <v>24</v>
      </c>
      <c r="O310" s="3" t="s">
        <v>25</v>
      </c>
    </row>
    <row r="311" spans="1:15" ht="30" customHeight="1">
      <c r="A311" s="3" t="s">
        <v>1344</v>
      </c>
      <c r="B311" s="3" t="s">
        <v>1077</v>
      </c>
      <c r="C311" s="3" t="s">
        <v>1078</v>
      </c>
      <c r="D311" s="3" t="s">
        <v>127</v>
      </c>
      <c r="E311" s="3" t="s">
        <v>128</v>
      </c>
      <c r="F311" s="3" t="s">
        <v>624</v>
      </c>
      <c r="G311" s="3" t="s">
        <v>214</v>
      </c>
      <c r="H311" s="3" t="s">
        <v>1311</v>
      </c>
      <c r="I311" s="3" t="s">
        <v>1343</v>
      </c>
      <c r="J311" s="3"/>
      <c r="K311" s="3"/>
      <c r="L311" s="4" t="str">
        <f>IF(OR(TRIM(I311)="",TRIM(K311)=""),"",IFERROR((VALUE(LEFT(TRIM(I311),4))-VALUE(LEFT(TRIM(K311),4)))*12+VALUE(MID(TRIM(I311),6,2))-VALUE(MID(TRIM(K311),6,2)),""))</f>
        <v/>
      </c>
      <c r="M311" s="3" t="str">
        <f>IF(TRIM(H311)="","",IFERROR(LOOKUP(2,1/(ISNUMBER(SEARCH('منطق دسته‌بندی'!$A$2:$A$187,H311))),'منطق دسته‌بندی'!$B$2:$B$187),"سایر (نیازمند بررسی دستی)"))</f>
        <v>یخساز - خرابی موتور (تعویض)</v>
      </c>
      <c r="N311" s="3" t="s">
        <v>1313</v>
      </c>
      <c r="O311" s="3" t="s">
        <v>78</v>
      </c>
    </row>
    <row r="312" spans="1:15" ht="30" customHeight="1">
      <c r="A312" s="3" t="s">
        <v>1345</v>
      </c>
      <c r="B312" s="3" t="s">
        <v>1077</v>
      </c>
      <c r="C312" s="3" t="s">
        <v>1078</v>
      </c>
      <c r="D312" s="3" t="s">
        <v>108</v>
      </c>
      <c r="E312" s="3" t="s">
        <v>884</v>
      </c>
      <c r="F312" s="3" t="s">
        <v>1346</v>
      </c>
      <c r="G312" s="3" t="s">
        <v>791</v>
      </c>
      <c r="H312" s="3" t="s">
        <v>792</v>
      </c>
      <c r="I312" s="3" t="s">
        <v>1347</v>
      </c>
      <c r="J312" s="3" t="s">
        <v>1348</v>
      </c>
      <c r="K312" s="3" t="s">
        <v>1349</v>
      </c>
      <c r="L312" s="4">
        <f>IF(OR(TRIM(I312)="",TRIM(K312)=""),"",IFERROR((VALUE(LEFT(TRIM(I312),4))-VALUE(LEFT(TRIM(K312),4)))*12+VALUE(MID(TRIM(I312),6,2))-VALUE(MID(TRIM(K312),6,2)),""))</f>
        <v>10</v>
      </c>
      <c r="M312" s="3" t="str">
        <f>IF(TRIM(H312)="","",IFERROR(LOOKUP(2,1/(ISNUMBER(SEARCH('منطق دسته‌بندی'!$A$2:$A$187,H312))),'منطق دسته‌بندی'!$B$2:$B$187),"سایر (نیازمند بررسی دستی)"))</f>
        <v>خرابی - لامپ/LED داخلی (تعویض)</v>
      </c>
      <c r="N312" s="3" t="s">
        <v>1140</v>
      </c>
      <c r="O312" s="3" t="s">
        <v>25</v>
      </c>
    </row>
    <row r="313" spans="1:15" ht="30" customHeight="1">
      <c r="A313" s="3" t="s">
        <v>1350</v>
      </c>
      <c r="B313" s="3" t="s">
        <v>1077</v>
      </c>
      <c r="C313" s="3" t="s">
        <v>1078</v>
      </c>
      <c r="D313" s="3" t="s">
        <v>1402</v>
      </c>
      <c r="E313" s="3" t="s">
        <v>1192</v>
      </c>
      <c r="F313" s="3" t="s">
        <v>1351</v>
      </c>
      <c r="G313" s="3" t="s">
        <v>694</v>
      </c>
      <c r="H313" s="3" t="s">
        <v>1266</v>
      </c>
      <c r="I313" s="3" t="s">
        <v>1347</v>
      </c>
      <c r="J313" s="3" t="s">
        <v>1261</v>
      </c>
      <c r="K313" s="3" t="s">
        <v>1352</v>
      </c>
      <c r="L313" s="4">
        <f>IF(OR(TRIM(I313)="",TRIM(K313)=""),"",IFERROR((VALUE(LEFT(TRIM(I313),4))-VALUE(LEFT(TRIM(K313),4)))*12+VALUE(MID(TRIM(I313),6,2))-VALUE(MID(TRIM(K313),6,2)),""))</f>
        <v>10</v>
      </c>
      <c r="M313" s="3" t="str">
        <f>IF(TRIM(H313)="","",IFERROR(LOOKUP(2,1/(ISNUMBER(SEARCH('منطق دسته‌بندی'!$A$2:$A$187,H313))),'منطق دسته‌بندی'!$B$2:$B$187),"سایر (نیازمند بررسی دستی)"))</f>
        <v>خرابی - برد الکترونیک (تعویض)</v>
      </c>
      <c r="N313" s="3" t="s">
        <v>1267</v>
      </c>
      <c r="O313" s="3" t="s">
        <v>25</v>
      </c>
    </row>
    <row r="314" spans="1:15" ht="30" customHeight="1">
      <c r="A314" s="3" t="s">
        <v>1353</v>
      </c>
      <c r="B314" s="3" t="s">
        <v>1077</v>
      </c>
      <c r="C314" s="3" t="s">
        <v>1078</v>
      </c>
      <c r="D314" s="3" t="s">
        <v>43</v>
      </c>
      <c r="E314" s="3" t="s">
        <v>1354</v>
      </c>
      <c r="F314" s="3" t="s">
        <v>1355</v>
      </c>
      <c r="G314" s="3" t="s">
        <v>1273</v>
      </c>
      <c r="H314" s="3" t="s">
        <v>1122</v>
      </c>
      <c r="I314" s="3" t="s">
        <v>1347</v>
      </c>
      <c r="J314" s="3" t="s">
        <v>1356</v>
      </c>
      <c r="K314" s="3" t="s">
        <v>1357</v>
      </c>
      <c r="L314" s="4">
        <f>IF(OR(TRIM(I314)="",TRIM(K314)=""),"",IFERROR((VALUE(LEFT(TRIM(I314),4))-VALUE(LEFT(TRIM(K314),4)))*12+VALUE(MID(TRIM(I314),6,2))-VALUE(MID(TRIM(K314),6,2)),""))</f>
        <v>29</v>
      </c>
      <c r="M314" s="3" t="str">
        <f>IF(TRIM(H314)="","",IFERROR(LOOKUP(2,1/(ISNUMBER(SEARCH('منطق دسته‌بندی'!$A$2:$A$187,H314))),'منطق دسته‌بندی'!$B$2:$B$187),"سایر (نیازمند بررسی دستی)"))</f>
        <v>زنگ‌زدگی بدنه/قطعه (تعویض)</v>
      </c>
      <c r="N314" s="3" t="s">
        <v>1358</v>
      </c>
      <c r="O314" s="3" t="s">
        <v>25</v>
      </c>
    </row>
    <row r="315" spans="1:15" ht="30" customHeight="1">
      <c r="A315" s="3" t="s">
        <v>1359</v>
      </c>
      <c r="B315" s="3" t="s">
        <v>1077</v>
      </c>
      <c r="C315" s="3" t="s">
        <v>1078</v>
      </c>
      <c r="D315" s="3" t="s">
        <v>127</v>
      </c>
      <c r="E315" s="3" t="s">
        <v>128</v>
      </c>
      <c r="F315" s="3" t="s">
        <v>1360</v>
      </c>
      <c r="G315" s="3" t="s">
        <v>1361</v>
      </c>
      <c r="H315" s="3" t="s">
        <v>131</v>
      </c>
      <c r="I315" s="3" t="s">
        <v>1347</v>
      </c>
      <c r="J315" s="3" t="s">
        <v>1362</v>
      </c>
      <c r="K315" s="3" t="s">
        <v>1363</v>
      </c>
      <c r="L315" s="4">
        <f>IF(OR(TRIM(I315)="",TRIM(K315)=""),"",IFERROR((VALUE(LEFT(TRIM(I315),4))-VALUE(LEFT(TRIM(K315),4)))*12+VALUE(MID(TRIM(I315),6,2))-VALUE(MID(TRIM(K315),6,2)),""))</f>
        <v>20</v>
      </c>
      <c r="M315" s="3" t="str">
        <f>IF(TRIM(H315)="","",IFERROR(LOOKUP(2,1/(ISNUMBER(SEARCH('منطق دسته‌بندی'!$A$2:$A$187,H315))),'منطق دسته‌بندی'!$B$2:$B$187),"سایر (نیازمند بررسی دستی)"))</f>
        <v>غیرگارانتی/بدون قطعه</v>
      </c>
      <c r="N315" s="3" t="s">
        <v>24</v>
      </c>
      <c r="O315" s="3" t="s">
        <v>25</v>
      </c>
    </row>
    <row r="316" spans="1:15" ht="30" customHeight="1">
      <c r="A316" s="3" t="s">
        <v>1364</v>
      </c>
      <c r="B316" s="3" t="s">
        <v>1077</v>
      </c>
      <c r="C316" s="3" t="s">
        <v>1078</v>
      </c>
      <c r="D316" s="3" t="s">
        <v>43</v>
      </c>
      <c r="E316" s="3" t="s">
        <v>379</v>
      </c>
      <c r="F316" s="3" t="s">
        <v>1365</v>
      </c>
      <c r="G316" s="3" t="s">
        <v>155</v>
      </c>
      <c r="H316" s="3" t="s">
        <v>198</v>
      </c>
      <c r="I316" s="3" t="s">
        <v>1347</v>
      </c>
      <c r="J316" s="3" t="s">
        <v>1366</v>
      </c>
      <c r="K316" s="3" t="s">
        <v>973</v>
      </c>
      <c r="L316" s="4">
        <f>IF(OR(TRIM(I316)="",TRIM(K316)=""),"",IFERROR((VALUE(LEFT(TRIM(I316),4))-VALUE(LEFT(TRIM(K316),4)))*12+VALUE(MID(TRIM(I316),6,2))-VALUE(MID(TRIM(K316),6,2)),""))</f>
        <v>2</v>
      </c>
      <c r="M316" s="3" t="str">
        <f>IF(TRIM(H316)="","",IFERROR(LOOKUP(2,1/(ISNUMBER(SEARCH('منطق دسته‌بندی'!$A$2:$A$187,H316))),'منطق دسته‌بندی'!$B$2:$B$187),"سایر (نیازمند بررسی دستی)"))</f>
        <v>نشتی - مقسم آب (تعمیر/آب‌بندی)</v>
      </c>
      <c r="N316" s="3" t="s">
        <v>1083</v>
      </c>
      <c r="O316" s="3" t="s">
        <v>25</v>
      </c>
    </row>
    <row r="317" spans="1:15" ht="30" customHeight="1">
      <c r="A317" s="3" t="s">
        <v>1367</v>
      </c>
      <c r="B317" s="3" t="s">
        <v>1077</v>
      </c>
      <c r="C317" s="3" t="s">
        <v>1078</v>
      </c>
      <c r="D317" s="3" t="s">
        <v>108</v>
      </c>
      <c r="E317" s="3" t="s">
        <v>1368</v>
      </c>
      <c r="F317" s="3" t="s">
        <v>1369</v>
      </c>
      <c r="G317" s="3" t="s">
        <v>75</v>
      </c>
      <c r="H317" s="3" t="s">
        <v>1338</v>
      </c>
      <c r="I317" s="3" t="s">
        <v>1347</v>
      </c>
      <c r="J317" s="3" t="s">
        <v>1370</v>
      </c>
      <c r="K317" s="3"/>
      <c r="L317" s="4" t="str">
        <f>IF(OR(TRIM(I317)="",TRIM(K317)=""),"",IFERROR((VALUE(LEFT(TRIM(I317),4))-VALUE(LEFT(TRIM(K317),4)))*12+VALUE(MID(TRIM(I317),6,2))-VALUE(MID(TRIM(K317),6,2)),""))</f>
        <v/>
      </c>
      <c r="M317" s="3" t="str">
        <f>IF(TRIM(H317)="","",IFERROR(LOOKUP(2,1/(ISNUMBER(SEARCH('منطق دسته‌بندی'!$A$2:$A$187,H317))),'منطق دسته‌بندی'!$B$2:$B$187),"سایر (نیازمند بررسی دستی)"))</f>
        <v>کلید فشاری (تعویض/بازبینی)</v>
      </c>
      <c r="N317" s="3" t="s">
        <v>1160</v>
      </c>
      <c r="O317" s="3" t="s">
        <v>25</v>
      </c>
    </row>
    <row r="318" spans="1:15" ht="45" customHeight="1">
      <c r="A318" s="3" t="s">
        <v>1371</v>
      </c>
      <c r="B318" s="3" t="s">
        <v>1077</v>
      </c>
      <c r="C318" s="3" t="s">
        <v>1078</v>
      </c>
      <c r="D318" s="3" t="s">
        <v>1402</v>
      </c>
      <c r="E318" s="3" t="s">
        <v>1372</v>
      </c>
      <c r="F318" s="3" t="s">
        <v>1373</v>
      </c>
      <c r="G318" s="3" t="s">
        <v>1374</v>
      </c>
      <c r="H318" s="3" t="s">
        <v>1152</v>
      </c>
      <c r="I318" s="3" t="s">
        <v>1347</v>
      </c>
      <c r="J318" s="3" t="s">
        <v>1375</v>
      </c>
      <c r="K318" s="3"/>
      <c r="L318" s="4" t="str">
        <f>IF(OR(TRIM(I318)="",TRIM(K318)=""),"",IFERROR((VALUE(LEFT(TRIM(I318),4))-VALUE(LEFT(TRIM(K318),4)))*12+VALUE(MID(TRIM(I318),6,2))-VALUE(MID(TRIM(K318),6,2)),""))</f>
        <v/>
      </c>
      <c r="M318" s="3" t="str">
        <f>IF(TRIM(H318)="","",IFERROR(LOOKUP(2,1/(ISNUMBER(SEARCH('منطق دسته‌بندی'!$A$2:$A$187,H318))),'منطق دسته‌بندی'!$B$2:$B$187),"سایر (نیازمند بررسی دستی)"))</f>
        <v>کسری اقلام بسته‌بندی</v>
      </c>
      <c r="N318" s="3" t="s">
        <v>1153</v>
      </c>
      <c r="O318" s="3" t="s">
        <v>25</v>
      </c>
    </row>
    <row r="319" spans="1:15" ht="45" customHeight="1">
      <c r="A319" s="3" t="s">
        <v>1376</v>
      </c>
      <c r="B319" s="3" t="s">
        <v>1077</v>
      </c>
      <c r="C319" s="3" t="s">
        <v>1078</v>
      </c>
      <c r="D319" s="3" t="s">
        <v>43</v>
      </c>
      <c r="E319" s="3" t="s">
        <v>1095</v>
      </c>
      <c r="F319" s="3" t="s">
        <v>1377</v>
      </c>
      <c r="G319" s="3" t="s">
        <v>1316</v>
      </c>
      <c r="H319" s="3" t="s">
        <v>170</v>
      </c>
      <c r="I319" s="3" t="s">
        <v>1347</v>
      </c>
      <c r="J319" s="3" t="s">
        <v>316</v>
      </c>
      <c r="K319" s="3" t="s">
        <v>222</v>
      </c>
      <c r="L319" s="4">
        <f>IF(OR(TRIM(I319)="",TRIM(K319)=""),"",IFERROR((VALUE(LEFT(TRIM(I319),4))-VALUE(LEFT(TRIM(K319),4)))*12+VALUE(MID(TRIM(I319),6,2))-VALUE(MID(TRIM(K319),6,2)),""))</f>
        <v>9</v>
      </c>
      <c r="M319" s="3" t="str">
        <f>IF(TRIM(H319)="","",IFERROR(LOOKUP(2,1/(ISNUMBER(SEARCH('منطق دسته‌بندی'!$A$2:$A$187,H319))),'منطق دسته‌بندی'!$B$2:$B$187),"سایر (نیازمند بررسی دستی)"))</f>
        <v>خرابی - پمپ تخلیه (تعویض)</v>
      </c>
      <c r="N319" s="3" t="s">
        <v>1378</v>
      </c>
      <c r="O319" s="3" t="s">
        <v>25</v>
      </c>
    </row>
    <row r="320" spans="1:15" ht="30" customHeight="1">
      <c r="A320" s="3" t="s">
        <v>1379</v>
      </c>
      <c r="B320" s="3" t="s">
        <v>1077</v>
      </c>
      <c r="C320" s="3" t="s">
        <v>1078</v>
      </c>
      <c r="D320" s="3" t="s">
        <v>43</v>
      </c>
      <c r="E320" s="3" t="s">
        <v>379</v>
      </c>
      <c r="F320" s="3" t="s">
        <v>1380</v>
      </c>
      <c r="G320" s="3" t="s">
        <v>117</v>
      </c>
      <c r="H320" s="3" t="s">
        <v>1093</v>
      </c>
      <c r="I320" s="3" t="s">
        <v>1381</v>
      </c>
      <c r="J320" s="3" t="s">
        <v>1382</v>
      </c>
      <c r="K320" s="3" t="s">
        <v>1383</v>
      </c>
      <c r="L320" s="4">
        <f>IF(OR(TRIM(I320)="",TRIM(K320)=""),"",IFERROR((VALUE(LEFT(TRIM(I320),4))-VALUE(LEFT(TRIM(K320),4)))*12+VALUE(MID(TRIM(I320),6,2))-VALUE(MID(TRIM(K320),6,2)),""))</f>
        <v>17</v>
      </c>
      <c r="M320" s="3" t="str">
        <f>IF(TRIM(H320)="","",IFERROR(LOOKUP(2,1/(ISNUMBER(SEARCH('منطق دسته‌بندی'!$A$2:$A$187,H320))),'منطق دسته‌بندی'!$B$2:$B$187),"سایر (نیازمند بررسی دستی)"))</f>
        <v>سایر اجزای درب (بازبینی)</v>
      </c>
      <c r="N320" s="3" t="s">
        <v>24</v>
      </c>
      <c r="O320" s="3" t="s">
        <v>25</v>
      </c>
    </row>
    <row r="321" spans="1:15" ht="30" customHeight="1">
      <c r="A321" s="3" t="s">
        <v>1384</v>
      </c>
      <c r="B321" s="3" t="s">
        <v>1077</v>
      </c>
      <c r="C321" s="3" t="s">
        <v>1078</v>
      </c>
      <c r="D321" s="3" t="s">
        <v>127</v>
      </c>
      <c r="E321" s="3" t="s">
        <v>128</v>
      </c>
      <c r="F321" s="3" t="s">
        <v>1385</v>
      </c>
      <c r="G321" s="3" t="s">
        <v>265</v>
      </c>
      <c r="H321" s="3" t="s">
        <v>278</v>
      </c>
      <c r="I321" s="3" t="s">
        <v>1381</v>
      </c>
      <c r="J321" s="3" t="s">
        <v>329</v>
      </c>
      <c r="K321" s="3" t="s">
        <v>1386</v>
      </c>
      <c r="L321" s="4">
        <f>IF(OR(TRIM(I321)="",TRIM(K321)=""),"",IFERROR((VALUE(LEFT(TRIM(I321),4))-VALUE(LEFT(TRIM(K321),4)))*12+VALUE(MID(TRIM(I321),6,2))-VALUE(MID(TRIM(K321),6,2)),""))</f>
        <v>13</v>
      </c>
      <c r="M321" s="3" t="str">
        <f>IF(TRIM(H321)="","",IFERROR(LOOKUP(2,1/(ISNUMBER(SEARCH('منطق دسته‌بندی'!$A$2:$A$187,H321))),'منطق دسته‌بندی'!$B$2:$B$187),"سایر (نیازمند بررسی دستی)"))</f>
        <v>یخساز - تنظیم/عایق (تعمیر)</v>
      </c>
      <c r="N321" s="3" t="s">
        <v>24</v>
      </c>
      <c r="O321" s="3" t="s">
        <v>25</v>
      </c>
    </row>
    <row r="322" spans="1:15" ht="30" customHeight="1">
      <c r="A322" s="3" t="s">
        <v>1387</v>
      </c>
      <c r="B322" s="3" t="s">
        <v>1077</v>
      </c>
      <c r="C322" s="3" t="s">
        <v>1078</v>
      </c>
      <c r="D322" s="3" t="s">
        <v>1402</v>
      </c>
      <c r="E322" s="3" t="s">
        <v>1192</v>
      </c>
      <c r="F322" s="3" t="s">
        <v>1388</v>
      </c>
      <c r="G322" s="3" t="s">
        <v>636</v>
      </c>
      <c r="H322" s="3" t="s">
        <v>1222</v>
      </c>
      <c r="I322" s="3" t="s">
        <v>1381</v>
      </c>
      <c r="J322" s="3" t="s">
        <v>1261</v>
      </c>
      <c r="K322" s="3" t="s">
        <v>618</v>
      </c>
      <c r="L322" s="4">
        <f>IF(OR(TRIM(I322)="",TRIM(K322)=""),"",IFERROR((VALUE(LEFT(TRIM(I322),4))-VALUE(LEFT(TRIM(K322),4)))*12+VALUE(MID(TRIM(I322),6,2))-VALUE(MID(TRIM(K322),6,2)),""))</f>
        <v>11</v>
      </c>
      <c r="M322" s="3" t="str">
        <f>IF(TRIM(H322)="","",IFERROR(LOOKUP(2,1/(ISNUMBER(SEARCH('منطق دسته‌بندی'!$A$2:$A$187,H322))),'منطق دسته‌بندی'!$B$2:$B$187),"سایر (نیازمند بررسی دستی)"))</f>
        <v>لاستیک درزگیر - دفرمگی/پارگی (تعویض)</v>
      </c>
      <c r="N322" s="3" t="s">
        <v>1226</v>
      </c>
      <c r="O322" s="3" t="s">
        <v>25</v>
      </c>
    </row>
    <row r="323" spans="1:15">
      <c r="A323" s="3" t="s">
        <v>1389</v>
      </c>
      <c r="B323" s="3" t="s">
        <v>1077</v>
      </c>
      <c r="C323" s="3" t="s">
        <v>1078</v>
      </c>
      <c r="D323" s="3" t="s">
        <v>43</v>
      </c>
      <c r="E323" s="3" t="s">
        <v>379</v>
      </c>
      <c r="F323" s="3" t="s">
        <v>1390</v>
      </c>
      <c r="G323" s="3" t="s">
        <v>81</v>
      </c>
      <c r="H323" s="3" t="s">
        <v>1391</v>
      </c>
      <c r="I323" s="3" t="s">
        <v>1381</v>
      </c>
      <c r="J323" s="3" t="s">
        <v>148</v>
      </c>
      <c r="K323" s="3"/>
      <c r="L323" s="4" t="str">
        <f>IF(OR(TRIM(I323)="",TRIM(K323)=""),"",IFERROR((VALUE(LEFT(TRIM(I323),4))-VALUE(LEFT(TRIM(K323),4)))*12+VALUE(MID(TRIM(I323),6,2))-VALUE(MID(TRIM(K323),6,2)),""))</f>
        <v/>
      </c>
      <c r="M323" s="3" t="str">
        <f>IF(TRIM(H323)="","",IFERROR(LOOKUP(2,1/(ISNUMBER(SEARCH('منطق دسته‌بندی'!$A$2:$A$187,H323))),'منطق دسته‌بندی'!$B$2:$B$187),"سایر (نیازمند بررسی دستی)"))</f>
        <v>نشتی آب - محل نامشخص (نیازمند بازدید)</v>
      </c>
      <c r="N323" s="3" t="s">
        <v>24</v>
      </c>
      <c r="O323" s="3" t="s">
        <v>25</v>
      </c>
    </row>
    <row r="324" spans="1:15" ht="30" customHeight="1">
      <c r="A324" s="3" t="s">
        <v>1392</v>
      </c>
      <c r="B324" s="3" t="s">
        <v>1077</v>
      </c>
      <c r="C324" s="3" t="s">
        <v>1078</v>
      </c>
      <c r="D324" s="3" t="s">
        <v>43</v>
      </c>
      <c r="E324" s="3" t="s">
        <v>379</v>
      </c>
      <c r="F324" s="3" t="s">
        <v>1393</v>
      </c>
      <c r="G324" s="3" t="s">
        <v>1394</v>
      </c>
      <c r="H324" s="3" t="s">
        <v>82</v>
      </c>
      <c r="I324" s="3" t="s">
        <v>1381</v>
      </c>
      <c r="J324" s="3" t="s">
        <v>1395</v>
      </c>
      <c r="K324" s="3" t="s">
        <v>1396</v>
      </c>
      <c r="L324" s="4">
        <f>IF(OR(TRIM(I324)="",TRIM(K324)=""),"",IFERROR((VALUE(LEFT(TRIM(I324),4))-VALUE(LEFT(TRIM(K324),4)))*12+VALUE(MID(TRIM(I324),6,2))-VALUE(MID(TRIM(K324),6,2)),""))</f>
        <v>14</v>
      </c>
      <c r="M324" s="3" t="str">
        <f>IF(TRIM(H324)="","",IFERROR(LOOKUP(2,1/(ISNUMBER(SEARCH('منطق دسته‌بندی'!$A$2:$A$187,H324))),'منطق دسته‌بندی'!$B$2:$B$187),"سایر (نیازمند بررسی دستی)"))</f>
        <v>نشتی - درب مخزن نمک (تعمیر/آب‌بندی)</v>
      </c>
      <c r="N324" s="3" t="s">
        <v>24</v>
      </c>
      <c r="O324" s="3" t="s">
        <v>25</v>
      </c>
    </row>
    <row r="325" spans="1:15">
      <c r="A325" s="3" t="s">
        <v>1397</v>
      </c>
      <c r="B325" s="3" t="s">
        <v>1077</v>
      </c>
      <c r="C325" s="3" t="s">
        <v>1078</v>
      </c>
      <c r="D325" s="3" t="s">
        <v>43</v>
      </c>
      <c r="E325" s="3" t="s">
        <v>1398</v>
      </c>
      <c r="F325" s="3" t="s">
        <v>1399</v>
      </c>
      <c r="G325" s="3" t="s">
        <v>81</v>
      </c>
      <c r="H325" s="3" t="s">
        <v>531</v>
      </c>
      <c r="I325" s="3" t="s">
        <v>1381</v>
      </c>
      <c r="J325" s="3" t="s">
        <v>699</v>
      </c>
      <c r="K325" s="3" t="s">
        <v>1370</v>
      </c>
      <c r="L325" s="4">
        <f>IF(OR(TRIM(I325)="",TRIM(K325)=""),"",IFERROR((VALUE(LEFT(TRIM(I325),4))-VALUE(LEFT(TRIM(K325),4)))*12+VALUE(MID(TRIM(I325),6,2))-VALUE(MID(TRIM(K325),6,2)),""))</f>
        <v>1</v>
      </c>
      <c r="M325" s="3" t="str">
        <f>IF(TRIM(H325)="","",IFERROR(LOOKUP(2,1/(ISNUMBER(SEARCH('منطق دسته‌بندی'!$A$2:$A$187,H325))),'منطق دسته‌بندی'!$B$2:$B$187),"سایر (نیازمند بررسی دستی)"))</f>
        <v>نشتی - شیلنگ (تعمیر/آب‌بندی)</v>
      </c>
      <c r="N325" s="3" t="s">
        <v>24</v>
      </c>
      <c r="O325" s="3" t="s">
        <v>25</v>
      </c>
    </row>
    <row r="326" spans="1:15" ht="30" customHeight="1">
      <c r="A326" s="3" t="s">
        <v>1400</v>
      </c>
      <c r="B326" s="3" t="s">
        <v>1077</v>
      </c>
      <c r="C326" s="3" t="s">
        <v>1078</v>
      </c>
      <c r="D326" s="3" t="s">
        <v>43</v>
      </c>
      <c r="E326" s="3" t="s">
        <v>1095</v>
      </c>
      <c r="F326" s="3" t="s">
        <v>1401</v>
      </c>
      <c r="G326" s="3" t="s">
        <v>640</v>
      </c>
      <c r="H326" s="3" t="s">
        <v>1093</v>
      </c>
      <c r="I326" s="3" t="s">
        <v>1381</v>
      </c>
      <c r="J326" s="3" t="s">
        <v>776</v>
      </c>
      <c r="K326" s="3" t="s">
        <v>137</v>
      </c>
      <c r="L326" s="4">
        <f>IF(OR(TRIM(I326)="",TRIM(K326)=""),"",IFERROR((VALUE(LEFT(TRIM(I326),4))-VALUE(LEFT(TRIM(K326),4)))*12+VALUE(MID(TRIM(I326),6,2))-VALUE(MID(TRIM(K326),6,2)),""))</f>
        <v>11</v>
      </c>
      <c r="M326" s="3" t="str">
        <f>IF(TRIM(H326)="","",IFERROR(LOOKUP(2,1/(ISNUMBER(SEARCH('منطق دسته‌بندی'!$A$2:$A$187,H326))),'منطق دسته‌بندی'!$B$2:$B$187),"سایر (نیازمند بررسی دستی)"))</f>
        <v>سایر اجزای درب (بازبینی)</v>
      </c>
      <c r="N326" s="3" t="s">
        <v>24</v>
      </c>
      <c r="O326" s="3" t="s">
        <v>25</v>
      </c>
    </row>
    <row r="327" spans="1:15" ht="30" customHeight="1">
      <c r="A327" s="3">
        <v>210019670</v>
      </c>
      <c r="B327" s="3" t="s">
        <v>1077</v>
      </c>
      <c r="C327" s="3" t="s">
        <v>1078</v>
      </c>
      <c r="D327" s="3" t="s">
        <v>1402</v>
      </c>
      <c r="E327" s="3" t="s">
        <v>1192</v>
      </c>
      <c r="F327" s="3" t="s">
        <v>1388</v>
      </c>
      <c r="G327" s="3" t="s">
        <v>1665</v>
      </c>
      <c r="H327" s="3" t="s">
        <v>1666</v>
      </c>
      <c r="I327" s="3" t="s">
        <v>1381</v>
      </c>
      <c r="J327" s="3" t="s">
        <v>1261</v>
      </c>
      <c r="K327" s="3" t="s">
        <v>618</v>
      </c>
      <c r="L327" s="4">
        <f>IF(OR(TRIM(I327)="",TRIM(K327)=""),"",IFERROR((VALUE(LEFT(TRIM(I327),4))-VALUE(LEFT(TRIM(K327),4)))*12+VALUE(MID(TRIM(I327),6,2))-VALUE(MID(TRIM(K327),6,2)),""))</f>
        <v>11</v>
      </c>
      <c r="M327" s="3" t="str">
        <f>IF(TRIM(H327)="","",IFERROR(LOOKUP(2,1/(ISNUMBER(SEARCH('منطق دسته‌بندی'!$A$2:$A$187,H327))),'منطق دسته‌بندی'!$B$2:$B$187),"سایر (نیازمند بررسی دستی)"))</f>
        <v>لاستیک درزگیر - دفرمگی/پارگی (تعویض)</v>
      </c>
      <c r="N327" s="3" t="s">
        <v>1667</v>
      </c>
      <c r="O327" s="3"/>
    </row>
    <row r="328" spans="1:15" ht="30" customHeight="1">
      <c r="A328" s="3">
        <v>210022462</v>
      </c>
      <c r="B328" s="3" t="s">
        <v>1077</v>
      </c>
      <c r="C328" s="3" t="s">
        <v>1078</v>
      </c>
      <c r="D328" s="3" t="s">
        <v>43</v>
      </c>
      <c r="E328" s="3" t="s">
        <v>1095</v>
      </c>
      <c r="F328" s="3" t="s">
        <v>1401</v>
      </c>
      <c r="G328" s="3" t="s">
        <v>1484</v>
      </c>
      <c r="H328" s="3" t="s">
        <v>1485</v>
      </c>
      <c r="I328" s="3" t="s">
        <v>1381</v>
      </c>
      <c r="J328" s="3" t="s">
        <v>776</v>
      </c>
      <c r="K328" s="3" t="s">
        <v>137</v>
      </c>
      <c r="L328" s="4">
        <f>IF(OR(TRIM(I328)="",TRIM(K328)=""),"",IFERROR((VALUE(LEFT(TRIM(I328),4))-VALUE(LEFT(TRIM(K328),4)))*12+VALUE(MID(TRIM(I328),6,2))-VALUE(MID(TRIM(K328),6,2)),""))</f>
        <v>11</v>
      </c>
      <c r="M328" s="3" t="str">
        <f>IF(TRIM(H328)="","",IFERROR(LOOKUP(2,1/(ISNUMBER(SEARCH('منطق دسته‌بندی'!$A$2:$A$187,H328))),'منطق دسته‌بندی'!$B$2:$B$187),"سایر (نیازمند بررسی دستی)"))</f>
        <v>سایر اجزای درب (بازبینی)</v>
      </c>
      <c r="N328" s="3" t="s">
        <v>1428</v>
      </c>
      <c r="O328" s="3"/>
    </row>
    <row r="329" spans="1:15" ht="45" customHeight="1">
      <c r="A329" s="3">
        <v>130009877</v>
      </c>
      <c r="B329" s="3" t="s">
        <v>1077</v>
      </c>
      <c r="C329" s="3" t="s">
        <v>1078</v>
      </c>
      <c r="D329" s="3" t="s">
        <v>43</v>
      </c>
      <c r="E329" s="3" t="s">
        <v>379</v>
      </c>
      <c r="F329" s="3" t="s">
        <v>1380</v>
      </c>
      <c r="G329" s="3" t="s">
        <v>1487</v>
      </c>
      <c r="H329" s="3" t="s">
        <v>1485</v>
      </c>
      <c r="I329" s="3" t="s">
        <v>1381</v>
      </c>
      <c r="J329" s="3" t="s">
        <v>1382</v>
      </c>
      <c r="K329" s="3" t="s">
        <v>1383</v>
      </c>
      <c r="L329" s="4">
        <f>IF(OR(TRIM(I329)="",TRIM(K329)=""),"",IFERROR((VALUE(LEFT(TRIM(I329),4))-VALUE(LEFT(TRIM(K329),4)))*12+VALUE(MID(TRIM(I329),6,2))-VALUE(MID(TRIM(K329),6,2)),""))</f>
        <v>17</v>
      </c>
      <c r="M329" s="3" t="str">
        <f>IF(TRIM(H329)="","",IFERROR(LOOKUP(2,1/(ISNUMBER(SEARCH('منطق دسته‌بندی'!$A$2:$A$187,H329))),'منطق دسته‌بندی'!$B$2:$B$187),"سایر (نیازمند بررسی دستی)"))</f>
        <v>سایر اجزای درب (بازبینی)</v>
      </c>
      <c r="N329" s="3" t="s">
        <v>1428</v>
      </c>
      <c r="O329" s="3"/>
    </row>
    <row r="330" spans="1:15" ht="30">
      <c r="A330" s="3">
        <v>310008145</v>
      </c>
      <c r="B330" s="3" t="s">
        <v>1077</v>
      </c>
      <c r="C330" s="3" t="s">
        <v>1078</v>
      </c>
      <c r="D330" s="3" t="s">
        <v>43</v>
      </c>
      <c r="E330" s="3" t="s">
        <v>379</v>
      </c>
      <c r="F330" s="3" t="s">
        <v>1390</v>
      </c>
      <c r="G330" s="3" t="s">
        <v>1659</v>
      </c>
      <c r="H330" s="3" t="s">
        <v>1431</v>
      </c>
      <c r="I330" s="3" t="s">
        <v>1381</v>
      </c>
      <c r="J330" s="3" t="s">
        <v>148</v>
      </c>
      <c r="K330" s="3"/>
      <c r="L330" s="4" t="str">
        <f>IF(OR(TRIM(I330)="",TRIM(K330)=""),"",IFERROR((VALUE(LEFT(TRIM(I330),4))-VALUE(LEFT(TRIM(K330),4)))*12+VALUE(MID(TRIM(I330),6,2))-VALUE(MID(TRIM(K330),6,2)),""))</f>
        <v/>
      </c>
      <c r="M330" s="3" t="str">
        <f>IF(TRIM(H330)="","",IFERROR(LOOKUP(2,1/(ISNUMBER(SEARCH('منطق دسته‌بندی'!$A$2:$A$187,H330))),'منطق دسته‌بندی'!$B$2:$B$187),"سایر (نیازمند بررسی دستی)"))</f>
        <v>خرابی - پمپ تخلیه (تعویض)</v>
      </c>
      <c r="N330" s="3" t="s">
        <v>1318</v>
      </c>
      <c r="O330" s="3"/>
    </row>
    <row r="331" spans="1:15" ht="30" customHeight="1">
      <c r="A331" s="3">
        <v>810005539</v>
      </c>
      <c r="B331" s="3" t="s">
        <v>1077</v>
      </c>
      <c r="C331" s="3" t="s">
        <v>1078</v>
      </c>
      <c r="D331" s="3" t="s">
        <v>43</v>
      </c>
      <c r="E331" s="3" t="s">
        <v>1398</v>
      </c>
      <c r="F331" s="3" t="s">
        <v>1399</v>
      </c>
      <c r="G331" s="3" t="s">
        <v>1659</v>
      </c>
      <c r="H331" s="3" t="s">
        <v>1605</v>
      </c>
      <c r="I331" s="3" t="s">
        <v>1381</v>
      </c>
      <c r="J331" s="3" t="s">
        <v>699</v>
      </c>
      <c r="K331" s="3" t="s">
        <v>1370</v>
      </c>
      <c r="L331" s="4">
        <f>IF(OR(TRIM(I331)="",TRIM(K331)=""),"",IFERROR((VALUE(LEFT(TRIM(I331),4))-VALUE(LEFT(TRIM(K331),4)))*12+VALUE(MID(TRIM(I331),6,2))-VALUE(MID(TRIM(K331),6,2)),""))</f>
        <v>1</v>
      </c>
      <c r="M331" s="3" t="str">
        <f>IF(TRIM(H331)="","",IFERROR(LOOKUP(2,1/(ISNUMBER(SEARCH('منطق دسته‌بندی'!$A$2:$A$187,H331))),'منطق دسته‌بندی'!$B$2:$B$187),"سایر (نیازمند بررسی دستی)"))</f>
        <v>نشتی - درب مخزن نمک (تعمیر/آب‌بندی)</v>
      </c>
      <c r="N331" s="3" t="s">
        <v>1428</v>
      </c>
      <c r="O331" s="3"/>
    </row>
    <row r="332" spans="1:15" ht="30" customHeight="1">
      <c r="A332" s="3">
        <v>210019735</v>
      </c>
      <c r="B332" s="3" t="s">
        <v>1077</v>
      </c>
      <c r="C332" s="3" t="s">
        <v>1078</v>
      </c>
      <c r="D332" s="3" t="s">
        <v>127</v>
      </c>
      <c r="E332" s="3" t="s">
        <v>128</v>
      </c>
      <c r="F332" s="3" t="s">
        <v>260</v>
      </c>
      <c r="G332" s="3" t="s">
        <v>1543</v>
      </c>
      <c r="H332" s="3" t="s">
        <v>1463</v>
      </c>
      <c r="I332" s="3" t="s">
        <v>1544</v>
      </c>
      <c r="J332" s="3" t="s">
        <v>261</v>
      </c>
      <c r="K332" s="3" t="s">
        <v>262</v>
      </c>
      <c r="L332" s="4">
        <f>IF(OR(TRIM(I332)="",TRIM(K332)=""),"",IFERROR((VALUE(LEFT(TRIM(I332),4))-VALUE(LEFT(TRIM(K332),4)))*12+VALUE(MID(TRIM(I332),6,2))-VALUE(MID(TRIM(K332),6,2)),""))</f>
        <v>12</v>
      </c>
      <c r="M332" s="3" t="str">
        <f>IF(TRIM(H332)="","",IFERROR(LOOKUP(2,1/(ISNUMBER(SEARCH('منطق دسته‌بندی'!$A$2:$A$187,H332))),'منطق دسته‌بندی'!$B$2:$B$187),"سایر (نیازمند بررسی دستی)"))</f>
        <v>خرابی - شیربرقی (تعویض)</v>
      </c>
      <c r="N332" s="3" t="s">
        <v>1466</v>
      </c>
      <c r="O332" s="3"/>
    </row>
    <row r="333" spans="1:15" ht="30" customHeight="1">
      <c r="A333" s="3">
        <v>510024014</v>
      </c>
      <c r="B333" s="3" t="s">
        <v>1077</v>
      </c>
      <c r="C333" s="3" t="s">
        <v>1078</v>
      </c>
      <c r="D333" s="3" t="s">
        <v>43</v>
      </c>
      <c r="E333" s="3" t="s">
        <v>1354</v>
      </c>
      <c r="F333" s="3" t="s">
        <v>1417</v>
      </c>
      <c r="G333" s="3" t="s">
        <v>1418</v>
      </c>
      <c r="H333" s="3" t="s">
        <v>1419</v>
      </c>
      <c r="I333" s="3" t="s">
        <v>1420</v>
      </c>
      <c r="J333" s="3" t="s">
        <v>959</v>
      </c>
      <c r="K333" s="3" t="s">
        <v>1421</v>
      </c>
      <c r="L333" s="4">
        <f>IF(OR(TRIM(I333)="",TRIM(K333)=""),"",IFERROR((VALUE(LEFT(TRIM(I333),4))-VALUE(LEFT(TRIM(K333),4)))*12+VALUE(MID(TRIM(I333),6,2))-VALUE(MID(TRIM(K333),6,2)),""))</f>
        <v>9</v>
      </c>
      <c r="M333" s="3" t="str">
        <f>IF(TRIM(H333)="","",IFERROR(LOOKUP(2,1/(ISNUMBER(SEARCH('منطق دسته‌بندی'!$A$2:$A$187,H333))),'منطق دسته‌بندی'!$B$2:$B$187),"سایر (نیازمند بررسی دستی)"))</f>
        <v>سبد ظرفشویی - شکستگی (تعویض)</v>
      </c>
      <c r="N333" s="3" t="s">
        <v>1422</v>
      </c>
      <c r="O333" s="3"/>
    </row>
    <row r="334" spans="1:15" ht="30" customHeight="1">
      <c r="A334" s="3">
        <v>210019974</v>
      </c>
      <c r="B334" s="3" t="s">
        <v>1077</v>
      </c>
      <c r="C334" s="3" t="s">
        <v>1078</v>
      </c>
      <c r="D334" s="3" t="s">
        <v>1402</v>
      </c>
      <c r="E334" s="3" t="s">
        <v>1192</v>
      </c>
      <c r="F334" s="3" t="s">
        <v>1574</v>
      </c>
      <c r="G334" s="3" t="s">
        <v>1575</v>
      </c>
      <c r="H334" s="3" t="s">
        <v>1576</v>
      </c>
      <c r="I334" s="3" t="s">
        <v>1464</v>
      </c>
      <c r="J334" s="3" t="s">
        <v>1577</v>
      </c>
      <c r="K334" s="3" t="s">
        <v>695</v>
      </c>
      <c r="L334" s="4">
        <f>IF(OR(TRIM(I334)="",TRIM(K334)=""),"",IFERROR((VALUE(LEFT(TRIM(I334),4))-VALUE(LEFT(TRIM(K334),4)))*12+VALUE(MID(TRIM(I334),6,2))-VALUE(MID(TRIM(K334),6,2)),""))</f>
        <v>3</v>
      </c>
      <c r="M334" s="3" t="str">
        <f>IF(TRIM(H334)="","",IFERROR(LOOKUP(2,1/(ISNUMBER(SEARCH('منطق دسته‌بندی'!$A$2:$A$187,H334))),'منطق دسته‌بندی'!$B$2:$B$187),"سایر (نیازمند بررسی دستی)"))</f>
        <v>سایر (نیازمند بررسی دستی)</v>
      </c>
      <c r="N334" s="3" t="s">
        <v>1428</v>
      </c>
      <c r="O334" s="3"/>
    </row>
    <row r="335" spans="1:15" ht="30" customHeight="1">
      <c r="A335" s="3">
        <v>130009999</v>
      </c>
      <c r="B335" s="3" t="s">
        <v>1077</v>
      </c>
      <c r="C335" s="3" t="s">
        <v>1078</v>
      </c>
      <c r="D335" s="3" t="s">
        <v>127</v>
      </c>
      <c r="E335" s="3" t="s">
        <v>128</v>
      </c>
      <c r="F335" s="3" t="s">
        <v>1461</v>
      </c>
      <c r="G335" s="3" t="s">
        <v>1462</v>
      </c>
      <c r="H335" s="3" t="s">
        <v>1463</v>
      </c>
      <c r="I335" s="3" t="s">
        <v>1464</v>
      </c>
      <c r="J335" s="3" t="s">
        <v>1465</v>
      </c>
      <c r="K335" s="3" t="s">
        <v>1161</v>
      </c>
      <c r="L335" s="4">
        <f>IF(OR(TRIM(I335)="",TRIM(K335)=""),"",IFERROR((VALUE(LEFT(TRIM(I335),4))-VALUE(LEFT(TRIM(K335),4)))*12+VALUE(MID(TRIM(I335),6,2))-VALUE(MID(TRIM(K335),6,2)),""))</f>
        <v>17</v>
      </c>
      <c r="M335" s="3" t="str">
        <f>IF(TRIM(H335)="","",IFERROR(LOOKUP(2,1/(ISNUMBER(SEARCH('منطق دسته‌بندی'!$A$2:$A$187,H335))),'منطق دسته‌بندی'!$B$2:$B$187),"سایر (نیازمند بررسی دستی)"))</f>
        <v>خرابی - شیربرقی (تعویض)</v>
      </c>
      <c r="N335" s="3" t="s">
        <v>1466</v>
      </c>
      <c r="O335" s="3"/>
    </row>
    <row r="336" spans="1:15" ht="75" customHeight="1">
      <c r="A336" s="3">
        <v>210020047</v>
      </c>
      <c r="B336" s="3" t="s">
        <v>1077</v>
      </c>
      <c r="C336" s="3" t="s">
        <v>1078</v>
      </c>
      <c r="D336" s="3" t="s">
        <v>127</v>
      </c>
      <c r="E336" s="3" t="s">
        <v>128</v>
      </c>
      <c r="F336" s="3" t="s">
        <v>1532</v>
      </c>
      <c r="G336" s="3" t="s">
        <v>1533</v>
      </c>
      <c r="H336" s="3" t="s">
        <v>1534</v>
      </c>
      <c r="I336" s="3" t="s">
        <v>1464</v>
      </c>
      <c r="J336" s="3" t="s">
        <v>985</v>
      </c>
      <c r="K336" s="3" t="s">
        <v>106</v>
      </c>
      <c r="L336" s="4">
        <f>IF(OR(TRIM(I336)="",TRIM(K336)=""),"",IFERROR((VALUE(LEFT(TRIM(I336),4))-VALUE(LEFT(TRIM(K336),4)))*12+VALUE(MID(TRIM(I336),6,2))-VALUE(MID(TRIM(K336),6,2)),""))</f>
        <v>5</v>
      </c>
      <c r="M336" s="3" t="str">
        <f>IF(TRIM(H336)="","",IFERROR(LOOKUP(2,1/(ISNUMBER(SEARCH('منطق دسته‌بندی'!$A$2:$A$187,H336))),'منطق دسته‌بندی'!$B$2:$B$187),"سایر (نیازمند بررسی دستی)"))</f>
        <v>فن کندانسور - خرابی/صدا (تعویض)</v>
      </c>
      <c r="N336" s="3" t="s">
        <v>1535</v>
      </c>
      <c r="O336" s="3"/>
    </row>
    <row r="337" spans="1:15" ht="30" customHeight="1">
      <c r="A337" s="3">
        <v>130010033</v>
      </c>
      <c r="B337" s="3" t="s">
        <v>1077</v>
      </c>
      <c r="C337" s="3" t="s">
        <v>1078</v>
      </c>
      <c r="D337" s="3" t="s">
        <v>1402</v>
      </c>
      <c r="E337" s="3" t="s">
        <v>1234</v>
      </c>
      <c r="F337" s="3" t="s">
        <v>1668</v>
      </c>
      <c r="G337" s="3" t="s">
        <v>1634</v>
      </c>
      <c r="H337" s="3" t="s">
        <v>1616</v>
      </c>
      <c r="I337" s="3" t="s">
        <v>1464</v>
      </c>
      <c r="J337" s="3" t="s">
        <v>217</v>
      </c>
      <c r="K337" s="3" t="s">
        <v>324</v>
      </c>
      <c r="L337" s="4">
        <f>IF(OR(TRIM(I337)="",TRIM(K337)=""),"",IFERROR((VALUE(LEFT(TRIM(I337),4))-VALUE(LEFT(TRIM(K337),4)))*12+VALUE(MID(TRIM(I337),6,2))-VALUE(MID(TRIM(K337),6,2)),""))</f>
        <v>4</v>
      </c>
      <c r="M337" s="3" t="str">
        <f>IF(TRIM(H337)="","",IFERROR(LOOKUP(2,1/(ISNUMBER(SEARCH('منطق دسته‌بندی'!$A$2:$A$187,H337))),'منطق دسته‌بندی'!$B$2:$B$187),"سایر (نیازمند بررسی دستی)"))</f>
        <v>خرابی - کمک فنر (تعویض)</v>
      </c>
      <c r="N337" s="3" t="s">
        <v>1617</v>
      </c>
      <c r="O337" s="3"/>
    </row>
    <row r="338" spans="1:15" ht="45" customHeight="1">
      <c r="A338" s="3">
        <v>310008317</v>
      </c>
      <c r="B338" s="3" t="s">
        <v>1077</v>
      </c>
      <c r="C338" s="3" t="s">
        <v>1078</v>
      </c>
      <c r="D338" s="3" t="s">
        <v>108</v>
      </c>
      <c r="E338" s="3" t="s">
        <v>891</v>
      </c>
      <c r="F338" s="3" t="s">
        <v>1584</v>
      </c>
      <c r="G338" s="3" t="s">
        <v>1585</v>
      </c>
      <c r="H338" s="3" t="s">
        <v>1338</v>
      </c>
      <c r="I338" s="3" t="s">
        <v>1464</v>
      </c>
      <c r="J338" s="3" t="s">
        <v>1586</v>
      </c>
      <c r="K338" s="3" t="s">
        <v>1587</v>
      </c>
      <c r="L338" s="4">
        <f>IF(OR(TRIM(I338)="",TRIM(K338)=""),"",IFERROR((VALUE(LEFT(TRIM(I338),4))-VALUE(LEFT(TRIM(K338),4)))*12+VALUE(MID(TRIM(I338),6,2))-VALUE(MID(TRIM(K338),6,2)),""))</f>
        <v>1</v>
      </c>
      <c r="M338" s="3" t="str">
        <f>IF(TRIM(H338)="","",IFERROR(LOOKUP(2,1/(ISNUMBER(SEARCH('منطق دسته‌بندی'!$A$2:$A$187,H338))),'منطق دسته‌بندی'!$B$2:$B$187),"سایر (نیازمند بررسی دستی)"))</f>
        <v>کلید فشاری (تعویض/بازبینی)</v>
      </c>
      <c r="N338" s="3" t="s">
        <v>1588</v>
      </c>
      <c r="O338" s="3"/>
    </row>
    <row r="339" spans="1:15" ht="30">
      <c r="A339" s="3">
        <v>510024193</v>
      </c>
      <c r="B339" s="3" t="s">
        <v>1077</v>
      </c>
      <c r="C339" s="3" t="s">
        <v>1078</v>
      </c>
      <c r="D339" s="3" t="s">
        <v>43</v>
      </c>
      <c r="E339" s="3" t="s">
        <v>1095</v>
      </c>
      <c r="F339" s="3" t="s">
        <v>1557</v>
      </c>
      <c r="G339" s="3" t="s">
        <v>1411</v>
      </c>
      <c r="H339" s="3" t="s">
        <v>1485</v>
      </c>
      <c r="I339" s="3" t="s">
        <v>1558</v>
      </c>
      <c r="J339" s="3" t="s">
        <v>899</v>
      </c>
      <c r="K339" s="3" t="s">
        <v>1559</v>
      </c>
      <c r="L339" s="4">
        <f>IF(OR(TRIM(I339)="",TRIM(K339)=""),"",IFERROR((VALUE(LEFT(TRIM(I339),4))-VALUE(LEFT(TRIM(K339),4)))*12+VALUE(MID(TRIM(I339),6,2))-VALUE(MID(TRIM(K339),6,2)),""))</f>
        <v>19</v>
      </c>
      <c r="M339" s="3" t="str">
        <f>IF(TRIM(H339)="","",IFERROR(LOOKUP(2,1/(ISNUMBER(SEARCH('منطق دسته‌بندی'!$A$2:$A$187,H339))),'منطق دسته‌بندی'!$B$2:$B$187),"سایر (نیازمند بررسی دستی)"))</f>
        <v>سایر اجزای درب (بازبینی)</v>
      </c>
      <c r="N339" s="3" t="s">
        <v>1428</v>
      </c>
      <c r="O339" s="3"/>
    </row>
    <row r="340" spans="1:15" ht="30" customHeight="1">
      <c r="A340" s="3">
        <v>210020175</v>
      </c>
      <c r="B340" s="3" t="s">
        <v>1077</v>
      </c>
      <c r="C340" s="3" t="s">
        <v>1078</v>
      </c>
      <c r="D340" s="3" t="s">
        <v>43</v>
      </c>
      <c r="E340" s="3" t="s">
        <v>1079</v>
      </c>
      <c r="F340" s="3" t="s">
        <v>1658</v>
      </c>
      <c r="G340" s="3" t="s">
        <v>1659</v>
      </c>
      <c r="H340" s="3" t="s">
        <v>1660</v>
      </c>
      <c r="I340" s="3" t="s">
        <v>1558</v>
      </c>
      <c r="J340" s="3" t="s">
        <v>1661</v>
      </c>
      <c r="K340" s="3" t="s">
        <v>782</v>
      </c>
      <c r="L340" s="4">
        <f>IF(OR(TRIM(I340)="",TRIM(K340)=""),"",IFERROR((VALUE(LEFT(TRIM(I340),4))-VALUE(LEFT(TRIM(K340),4)))*12+VALUE(MID(TRIM(I340),6,2))-VALUE(MID(TRIM(K340),6,2)),""))</f>
        <v>11</v>
      </c>
      <c r="M340" s="3" t="str">
        <f>IF(TRIM(H340)="","",IFERROR(LOOKUP(2,1/(ISNUMBER(SEARCH('منطق دسته‌بندی'!$A$2:$A$187,H340))),'منطق دسته‌بندی'!$B$2:$B$187),"سایر (نیازمند بررسی دستی)"))</f>
        <v>نشتی آب - محل نامشخص (نیازمند بازدید)</v>
      </c>
      <c r="N340" s="3" t="s">
        <v>1428</v>
      </c>
      <c r="O340" s="3"/>
    </row>
    <row r="341" spans="1:15" ht="30" customHeight="1">
      <c r="A341" s="3">
        <v>210022709</v>
      </c>
      <c r="B341" s="3" t="s">
        <v>1077</v>
      </c>
      <c r="C341" s="3" t="s">
        <v>1078</v>
      </c>
      <c r="D341" s="3" t="s">
        <v>1402</v>
      </c>
      <c r="E341" s="3" t="s">
        <v>1283</v>
      </c>
      <c r="F341" s="3" t="s">
        <v>1649</v>
      </c>
      <c r="G341" s="3" t="s">
        <v>1650</v>
      </c>
      <c r="H341" s="3" t="s">
        <v>1412</v>
      </c>
      <c r="I341" s="3" t="s">
        <v>1558</v>
      </c>
      <c r="J341" s="3" t="s">
        <v>1651</v>
      </c>
      <c r="K341" s="3" t="s">
        <v>1214</v>
      </c>
      <c r="L341" s="4">
        <f>IF(OR(TRIM(I341)="",TRIM(K341)=""),"",IFERROR((VALUE(LEFT(TRIM(I341),4))-VALUE(LEFT(TRIM(K341),4)))*12+VALUE(MID(TRIM(I341),6,2))-VALUE(MID(TRIM(K341),6,2)),""))</f>
        <v>0</v>
      </c>
      <c r="M341" s="3" t="str">
        <f>IF(TRIM(H341)="","",IFERROR(LOOKUP(2,1/(ISNUMBER(SEARCH('منطق دسته‌بندی'!$A$2:$A$187,H341))),'منطق دسته‌بندی'!$B$2:$B$187),"سایر (نیازمند بررسی دستی)"))</f>
        <v>خرابی - شیربرقی (تعویض)</v>
      </c>
      <c r="N341" s="3" t="s">
        <v>1652</v>
      </c>
      <c r="O341" s="3"/>
    </row>
    <row r="342" spans="1:15" ht="30" customHeight="1">
      <c r="A342" s="3">
        <v>130010350</v>
      </c>
      <c r="B342" s="3" t="s">
        <v>1077</v>
      </c>
      <c r="C342" s="3" t="s">
        <v>1078</v>
      </c>
      <c r="D342" s="3" t="s">
        <v>1402</v>
      </c>
      <c r="E342" s="3" t="s">
        <v>1750</v>
      </c>
      <c r="F342" s="3" t="s">
        <v>1761</v>
      </c>
      <c r="G342" s="3" t="s">
        <v>1762</v>
      </c>
      <c r="H342" s="3" t="s">
        <v>1666</v>
      </c>
      <c r="I342" s="3" t="s">
        <v>1558</v>
      </c>
      <c r="J342" s="3" t="s">
        <v>808</v>
      </c>
      <c r="K342" s="3"/>
      <c r="L342" s="4" t="str">
        <f>IF(OR(TRIM(I342)="",TRIM(K342)=""),"",IFERROR((VALUE(LEFT(TRIM(I342),4))-VALUE(LEFT(TRIM(K342),4)))*12+VALUE(MID(TRIM(I342),6,2))-VALUE(MID(TRIM(K342),6,2)),""))</f>
        <v/>
      </c>
      <c r="M342" s="3" t="str">
        <f>IF(TRIM(H342)="","",IFERROR(LOOKUP(2,1/(ISNUMBER(SEARCH('منطق دسته‌بندی'!$A$2:$A$187,H342))),'منطق دسته‌بندی'!$B$2:$B$187),"سایر (نیازمند بررسی دستی)"))</f>
        <v>لاستیک درزگیر - دفرمگی/پارگی (تعویض)</v>
      </c>
      <c r="N342" s="3" t="s">
        <v>1667</v>
      </c>
      <c r="O342" s="3"/>
    </row>
    <row r="343" spans="1:15" ht="60" customHeight="1">
      <c r="A343" s="3">
        <v>210020419</v>
      </c>
      <c r="B343" s="3" t="s">
        <v>1077</v>
      </c>
      <c r="C343" s="3" t="s">
        <v>1078</v>
      </c>
      <c r="D343" s="3" t="s">
        <v>43</v>
      </c>
      <c r="E343" s="3" t="s">
        <v>379</v>
      </c>
      <c r="F343" s="3" t="s">
        <v>1486</v>
      </c>
      <c r="G343" s="3" t="s">
        <v>1487</v>
      </c>
      <c r="H343" s="3" t="s">
        <v>1488</v>
      </c>
      <c r="I343" s="3" t="s">
        <v>1489</v>
      </c>
      <c r="J343" s="3" t="s">
        <v>1490</v>
      </c>
      <c r="K343" s="3" t="s">
        <v>1491</v>
      </c>
      <c r="L343" s="4">
        <f>IF(OR(TRIM(I343)="",TRIM(K343)=""),"",IFERROR((VALUE(LEFT(TRIM(I343),4))-VALUE(LEFT(TRIM(K343),4)))*12+VALUE(MID(TRIM(I343),6,2))-VALUE(MID(TRIM(K343),6,2)),""))</f>
        <v>18</v>
      </c>
      <c r="M343" s="3" t="str">
        <f>IF(TRIM(H343)="","",IFERROR(LOOKUP(2,1/(ISNUMBER(SEARCH('منطق دسته‌بندی'!$A$2:$A$187,H343))),'منطق دسته‌بندی'!$B$2:$B$187),"سایر (نیازمند بررسی دستی)"))</f>
        <v>مکانیزم درب - میکروسوئیچ/قلاب (تعویض/تنظیم)</v>
      </c>
      <c r="N343" s="3" t="s">
        <v>1492</v>
      </c>
      <c r="O343" s="3"/>
    </row>
    <row r="344" spans="1:15" ht="60" customHeight="1">
      <c r="A344" s="3">
        <v>210020377</v>
      </c>
      <c r="B344" s="3" t="s">
        <v>1077</v>
      </c>
      <c r="C344" s="3" t="s">
        <v>1078</v>
      </c>
      <c r="D344" s="3" t="s">
        <v>43</v>
      </c>
      <c r="E344" s="3" t="s">
        <v>1354</v>
      </c>
      <c r="F344" s="3" t="s">
        <v>1706</v>
      </c>
      <c r="G344" s="3" t="s">
        <v>1484</v>
      </c>
      <c r="H344" s="3" t="s">
        <v>1488</v>
      </c>
      <c r="I344" s="3" t="s">
        <v>1489</v>
      </c>
      <c r="J344" s="3" t="s">
        <v>70</v>
      </c>
      <c r="K344" s="3" t="s">
        <v>1017</v>
      </c>
      <c r="L344" s="4">
        <f>IF(OR(TRIM(I344)="",TRIM(K344)=""),"",IFERROR((VALUE(LEFT(TRIM(I344),4))-VALUE(LEFT(TRIM(K344),4)))*12+VALUE(MID(TRIM(I344),6,2))-VALUE(MID(TRIM(K344),6,2)),""))</f>
        <v>2</v>
      </c>
      <c r="M344" s="3" t="str">
        <f>IF(TRIM(H344)="","",IFERROR(LOOKUP(2,1/(ISNUMBER(SEARCH('منطق دسته‌بندی'!$A$2:$A$187,H344))),'منطق دسته‌بندی'!$B$2:$B$187),"سایر (نیازمند بررسی دستی)"))</f>
        <v>مکانیزم درب - میکروسوئیچ/قلاب (تعویض/تنظیم)</v>
      </c>
      <c r="N344" s="3" t="s">
        <v>1492</v>
      </c>
      <c r="O344" s="3"/>
    </row>
    <row r="345" spans="1:15" ht="30" customHeight="1">
      <c r="A345" s="3">
        <v>130010182</v>
      </c>
      <c r="B345" s="3" t="s">
        <v>1077</v>
      </c>
      <c r="C345" s="3" t="s">
        <v>1078</v>
      </c>
      <c r="D345" s="3" t="s">
        <v>127</v>
      </c>
      <c r="E345" s="3" t="s">
        <v>128</v>
      </c>
      <c r="F345" s="3" t="s">
        <v>1495</v>
      </c>
      <c r="G345" s="3" t="s">
        <v>1494</v>
      </c>
      <c r="H345" s="3" t="s">
        <v>1496</v>
      </c>
      <c r="I345" s="3" t="s">
        <v>1489</v>
      </c>
      <c r="J345" s="3" t="s">
        <v>1483</v>
      </c>
      <c r="K345" s="3" t="s">
        <v>973</v>
      </c>
      <c r="L345" s="4">
        <f>IF(OR(TRIM(I345)="",TRIM(K345)=""),"",IFERROR((VALUE(LEFT(TRIM(I345),4))-VALUE(LEFT(TRIM(K345),4)))*12+VALUE(MID(TRIM(I345),6,2))-VALUE(MID(TRIM(K345),6,2)),""))</f>
        <v>2</v>
      </c>
      <c r="M345" s="3" t="str">
        <f>IF(TRIM(H345)="","",IFERROR(LOOKUP(2,1/(ISNUMBER(SEARCH('منطق دسته‌بندی'!$A$2:$A$187,H345))),'منطق دسته‌بندی'!$B$2:$B$187),"سایر (نیازمند بررسی دستی)"))</f>
        <v>خرابی - کمپرسور (تعویض)</v>
      </c>
      <c r="N345" s="3" t="s">
        <v>1497</v>
      </c>
      <c r="O345" s="3"/>
    </row>
    <row r="346" spans="1:15" ht="45" customHeight="1">
      <c r="A346" s="3">
        <v>130010154</v>
      </c>
      <c r="B346" s="3" t="s">
        <v>1077</v>
      </c>
      <c r="C346" s="3" t="s">
        <v>1078</v>
      </c>
      <c r="D346" s="3" t="s">
        <v>108</v>
      </c>
      <c r="E346" s="3" t="s">
        <v>1725</v>
      </c>
      <c r="F346" s="3" t="s">
        <v>1754</v>
      </c>
      <c r="G346" s="3" t="s">
        <v>1755</v>
      </c>
      <c r="H346" s="3" t="s">
        <v>1756</v>
      </c>
      <c r="I346" s="3" t="s">
        <v>1489</v>
      </c>
      <c r="J346" s="3" t="s">
        <v>675</v>
      </c>
      <c r="K346" s="3"/>
      <c r="L346" s="4" t="str">
        <f>IF(OR(TRIM(I346)="",TRIM(K346)=""),"",IFERROR((VALUE(LEFT(TRIM(I346),4))-VALUE(LEFT(TRIM(K346),4)))*12+VALUE(MID(TRIM(I346),6,2))-VALUE(MID(TRIM(K346),6,2)),""))</f>
        <v/>
      </c>
      <c r="M346" s="3" t="str">
        <f>IF(TRIM(H346)="","",IFERROR(LOOKUP(2,1/(ISNUMBER(SEARCH('منطق دسته‌بندی'!$A$2:$A$187,H346))),'منطق دسته‌بندی'!$B$2:$B$187),"سایر (نیازمند بررسی دستی)"))</f>
        <v>بدنه/درب - ایراد ظاهری (بازبینی)</v>
      </c>
      <c r="N346" s="3" t="s">
        <v>1757</v>
      </c>
      <c r="O346" s="3"/>
    </row>
    <row r="347" spans="1:15" ht="45" customHeight="1">
      <c r="A347" s="3">
        <v>210022043</v>
      </c>
      <c r="B347" s="3" t="s">
        <v>1077</v>
      </c>
      <c r="C347" s="3" t="s">
        <v>1078</v>
      </c>
      <c r="D347" s="3" t="s">
        <v>108</v>
      </c>
      <c r="E347" s="3" t="s">
        <v>884</v>
      </c>
      <c r="F347" s="3" t="s">
        <v>1768</v>
      </c>
      <c r="G347" s="3" t="s">
        <v>1598</v>
      </c>
      <c r="H347" s="3" t="s">
        <v>1338</v>
      </c>
      <c r="I347" s="3" t="s">
        <v>1489</v>
      </c>
      <c r="J347" s="3" t="s">
        <v>1769</v>
      </c>
      <c r="K347" s="3" t="s">
        <v>1544</v>
      </c>
      <c r="L347" s="4">
        <f>IF(OR(TRIM(I347)="",TRIM(K347)=""),"",IFERROR((VALUE(LEFT(TRIM(I347),4))-VALUE(LEFT(TRIM(K347),4)))*12+VALUE(MID(TRIM(I347),6,2))-VALUE(MID(TRIM(K347),6,2)),""))</f>
        <v>0</v>
      </c>
      <c r="M347" s="3" t="str">
        <f>IF(TRIM(H347)="","",IFERROR(LOOKUP(2,1/(ISNUMBER(SEARCH('منطق دسته‌بندی'!$A$2:$A$187,H347))),'منطق دسته‌بندی'!$B$2:$B$187),"سایر (نیازمند بررسی دستی)"))</f>
        <v>کلید فشاری (تعویض/بازبینی)</v>
      </c>
      <c r="N347" s="3" t="s">
        <v>1588</v>
      </c>
      <c r="O347" s="3"/>
    </row>
    <row r="348" spans="1:15" ht="30" customHeight="1">
      <c r="A348" s="3">
        <v>130010283</v>
      </c>
      <c r="B348" s="3" t="s">
        <v>1077</v>
      </c>
      <c r="C348" s="3" t="s">
        <v>1078</v>
      </c>
      <c r="D348" s="3" t="s">
        <v>127</v>
      </c>
      <c r="E348" s="3" t="s">
        <v>128</v>
      </c>
      <c r="F348" s="3" t="s">
        <v>1498</v>
      </c>
      <c r="G348" s="3" t="s">
        <v>1499</v>
      </c>
      <c r="H348" s="3" t="s">
        <v>1446</v>
      </c>
      <c r="I348" s="3" t="s">
        <v>1500</v>
      </c>
      <c r="J348" s="3" t="s">
        <v>1501</v>
      </c>
      <c r="K348" s="3" t="s">
        <v>1502</v>
      </c>
      <c r="L348" s="4">
        <f>IF(OR(TRIM(I348)="",TRIM(K348)=""),"",IFERROR((VALUE(LEFT(TRIM(I348),4))-VALUE(LEFT(TRIM(K348),4)))*12+VALUE(MID(TRIM(I348),6,2))-VALUE(MID(TRIM(K348),6,2)),""))</f>
        <v>7</v>
      </c>
      <c r="M348" s="3" t="str">
        <f>IF(TRIM(H348)="","",IFERROR(LOOKUP(2,1/(ISNUMBER(SEARCH('منطق دسته‌بندی'!$A$2:$A$187,H348))),'منطق دسته‌بندی'!$B$2:$B$187),"سایر (نیازمند بررسی دستی)"))</f>
        <v>یخساز - تنظیم/عایق (تعمیر)</v>
      </c>
      <c r="N348" s="3" t="s">
        <v>1469</v>
      </c>
      <c r="O348" s="3"/>
    </row>
    <row r="349" spans="1:15" ht="30" customHeight="1">
      <c r="A349" s="3">
        <v>810005597</v>
      </c>
      <c r="B349" s="3" t="s">
        <v>1077</v>
      </c>
      <c r="C349" s="3" t="s">
        <v>1078</v>
      </c>
      <c r="D349" s="3" t="s">
        <v>43</v>
      </c>
      <c r="E349" s="3" t="s">
        <v>379</v>
      </c>
      <c r="F349" s="3" t="s">
        <v>1604</v>
      </c>
      <c r="G349" s="3" t="s">
        <v>1430</v>
      </c>
      <c r="H349" s="3" t="s">
        <v>1605</v>
      </c>
      <c r="I349" s="3" t="s">
        <v>1500</v>
      </c>
      <c r="J349" s="3" t="s">
        <v>175</v>
      </c>
      <c r="K349" s="3" t="s">
        <v>631</v>
      </c>
      <c r="L349" s="4">
        <f>IF(OR(TRIM(I349)="",TRIM(K349)=""),"",IFERROR((VALUE(LEFT(TRIM(I349),4))-VALUE(LEFT(TRIM(K349),4)))*12+VALUE(MID(TRIM(I349),6,2))-VALUE(MID(TRIM(K349),6,2)),""))</f>
        <v>12</v>
      </c>
      <c r="M349" s="3" t="str">
        <f>IF(TRIM(H349)="","",IFERROR(LOOKUP(2,1/(ISNUMBER(SEARCH('منطق دسته‌بندی'!$A$2:$A$187,H349))),'منطق دسته‌بندی'!$B$2:$B$187),"سایر (نیازمند بررسی دستی)"))</f>
        <v>نشتی - درب مخزن نمک (تعمیر/آب‌بندی)</v>
      </c>
      <c r="N349" s="3" t="s">
        <v>1428</v>
      </c>
      <c r="O349" s="3"/>
    </row>
    <row r="350" spans="1:15" ht="30" customHeight="1">
      <c r="A350" s="3">
        <v>710004709</v>
      </c>
      <c r="B350" s="3" t="s">
        <v>1077</v>
      </c>
      <c r="C350" s="3" t="s">
        <v>1078</v>
      </c>
      <c r="D350" s="3" t="s">
        <v>43</v>
      </c>
      <c r="E350" s="3" t="s">
        <v>1398</v>
      </c>
      <c r="F350" s="3" t="s">
        <v>1606</v>
      </c>
      <c r="G350" s="3" t="s">
        <v>1494</v>
      </c>
      <c r="H350" s="3" t="s">
        <v>1607</v>
      </c>
      <c r="I350" s="3" t="s">
        <v>1500</v>
      </c>
      <c r="J350" s="3" t="s">
        <v>258</v>
      </c>
      <c r="K350" s="3" t="s">
        <v>1608</v>
      </c>
      <c r="L350" s="4">
        <f>IF(OR(TRIM(I350)="",TRIM(K350)=""),"",IFERROR((VALUE(LEFT(TRIM(I350),4))-VALUE(LEFT(TRIM(K350),4)))*12+VALUE(MID(TRIM(I350),6,2))-VALUE(MID(TRIM(K350),6,2)),""))</f>
        <v>5</v>
      </c>
      <c r="M350" s="3" t="str">
        <f>IF(TRIM(H350)="","",IFERROR(LOOKUP(2,1/(ISNUMBER(SEARCH('منطق دسته‌بندی'!$A$2:$A$187,H350))),'منطق دسته‌بندی'!$B$2:$B$187),"سایر (نیازمند بررسی دستی)"))</f>
        <v>خرابی - برد الکترونیک (تعویض)</v>
      </c>
      <c r="N350" s="3" t="s">
        <v>1609</v>
      </c>
      <c r="O350" s="3"/>
    </row>
    <row r="351" spans="1:15" ht="60" customHeight="1">
      <c r="A351" s="3">
        <v>210020679</v>
      </c>
      <c r="B351" s="3" t="s">
        <v>1077</v>
      </c>
      <c r="C351" s="3" t="s">
        <v>1078</v>
      </c>
      <c r="D351" s="3" t="s">
        <v>127</v>
      </c>
      <c r="E351" s="3" t="s">
        <v>128</v>
      </c>
      <c r="F351" s="3" t="s">
        <v>1560</v>
      </c>
      <c r="G351" s="3" t="s">
        <v>1467</v>
      </c>
      <c r="H351" s="3" t="s">
        <v>1549</v>
      </c>
      <c r="I351" s="3" t="s">
        <v>1500</v>
      </c>
      <c r="J351" s="3" t="s">
        <v>1201</v>
      </c>
      <c r="K351" s="3" t="s">
        <v>262</v>
      </c>
      <c r="L351" s="4">
        <f>IF(OR(TRIM(I351)="",TRIM(K351)=""),"",IFERROR((VALUE(LEFT(TRIM(I351),4))-VALUE(LEFT(TRIM(K351),4)))*12+VALUE(MID(TRIM(I351),6,2))-VALUE(MID(TRIM(K351),6,2)),""))</f>
        <v>12</v>
      </c>
      <c r="M351" s="3" t="str">
        <f>IF(TRIM(H351)="","",IFERROR(LOOKUP(2,1/(ISNUMBER(SEARCH('منطق دسته‌بندی'!$A$2:$A$187,H351))),'منطق دسته‌بندی'!$B$2:$B$187),"سایر (نیازمند بررسی دستی)"))</f>
        <v>یخساز - تنظیم/عایق (تعمیر)</v>
      </c>
      <c r="N351" s="3" t="s">
        <v>1428</v>
      </c>
      <c r="O351" s="3"/>
    </row>
    <row r="352" spans="1:15" ht="60" customHeight="1">
      <c r="A352" s="3">
        <v>510024378</v>
      </c>
      <c r="B352" s="3" t="s">
        <v>1077</v>
      </c>
      <c r="C352" s="3" t="s">
        <v>1078</v>
      </c>
      <c r="D352" s="3" t="s">
        <v>127</v>
      </c>
      <c r="E352" s="3" t="s">
        <v>128</v>
      </c>
      <c r="F352" s="3" t="s">
        <v>1581</v>
      </c>
      <c r="G352" s="3" t="s">
        <v>1582</v>
      </c>
      <c r="H352" s="3" t="s">
        <v>1457</v>
      </c>
      <c r="I352" s="3" t="s">
        <v>1500</v>
      </c>
      <c r="J352" s="3" t="s">
        <v>895</v>
      </c>
      <c r="K352" s="3" t="s">
        <v>1583</v>
      </c>
      <c r="L352" s="4">
        <f>IF(OR(TRIM(I352)="",TRIM(K352)=""),"",IFERROR((VALUE(LEFT(TRIM(I352),4))-VALUE(LEFT(TRIM(K352),4)))*12+VALUE(MID(TRIM(I352),6,2))-VALUE(MID(TRIM(K352),6,2)),""))</f>
        <v>2</v>
      </c>
      <c r="M352" s="3" t="str">
        <f>IF(TRIM(H352)="","",IFERROR(LOOKUP(2,1/(ISNUMBER(SEARCH('منطق دسته‌بندی'!$A$2:$A$187,H352))),'منطق دسته‌بندی'!$B$2:$B$187),"سایر (نیازمند بررسی دستی)"))</f>
        <v>یخساز - خرابی موتور (تعویض)</v>
      </c>
      <c r="N352" s="3" t="s">
        <v>1547</v>
      </c>
      <c r="O352" s="3"/>
    </row>
    <row r="353" spans="1:15" ht="30" customHeight="1">
      <c r="A353" s="3">
        <v>310008666</v>
      </c>
      <c r="B353" s="3" t="s">
        <v>1077</v>
      </c>
      <c r="C353" s="3" t="s">
        <v>1078</v>
      </c>
      <c r="D353" s="3" t="s">
        <v>1402</v>
      </c>
      <c r="E353" s="3" t="s">
        <v>1234</v>
      </c>
      <c r="F353" s="3" t="s">
        <v>1618</v>
      </c>
      <c r="G353" s="3" t="s">
        <v>1507</v>
      </c>
      <c r="H353" s="3" t="s">
        <v>1619</v>
      </c>
      <c r="I353" s="3" t="s">
        <v>1500</v>
      </c>
      <c r="J353" s="3" t="s">
        <v>147</v>
      </c>
      <c r="K353" s="3" t="s">
        <v>805</v>
      </c>
      <c r="L353" s="4">
        <f>IF(OR(TRIM(I353)="",TRIM(K353)=""),"",IFERROR((VALUE(LEFT(TRIM(I353),4))-VALUE(LEFT(TRIM(K353),4)))*12+VALUE(MID(TRIM(I353),6,2))-VALUE(MID(TRIM(K353),6,2)),""))</f>
        <v>6</v>
      </c>
      <c r="M353" s="3" t="str">
        <f>IF(TRIM(H353)="","",IFERROR(LOOKUP(2,1/(ISNUMBER(SEARCH('منطق دسته‌بندی'!$A$2:$A$187,H353))),'منطق دسته‌بندی'!$B$2:$B$187),"سایر (نیازمند بررسی دستی)"))</f>
        <v>نشتی - شیلنگ (تعمیر/آب‌بندی)</v>
      </c>
      <c r="N353" s="3" t="s">
        <v>1620</v>
      </c>
      <c r="O353" s="3"/>
    </row>
    <row r="354" spans="1:15" ht="30">
      <c r="A354" s="3">
        <v>710004691</v>
      </c>
      <c r="B354" s="3" t="s">
        <v>1077</v>
      </c>
      <c r="C354" s="3" t="s">
        <v>1078</v>
      </c>
      <c r="D354" s="3" t="s">
        <v>1402</v>
      </c>
      <c r="E354" s="3" t="s">
        <v>519</v>
      </c>
      <c r="F354" s="3" t="s">
        <v>1643</v>
      </c>
      <c r="G354" s="3" t="s">
        <v>1644</v>
      </c>
      <c r="H354" s="3" t="s">
        <v>1512</v>
      </c>
      <c r="I354" s="3" t="s">
        <v>1500</v>
      </c>
      <c r="J354" s="3" t="s">
        <v>1147</v>
      </c>
      <c r="K354" s="3" t="s">
        <v>1645</v>
      </c>
      <c r="L354" s="4">
        <f>IF(OR(TRIM(I354)="",TRIM(K354)=""),"",IFERROR((VALUE(LEFT(TRIM(I354),4))-VALUE(LEFT(TRIM(K354),4)))*12+VALUE(MID(TRIM(I354),6,2))-VALUE(MID(TRIM(K354),6,2)),""))</f>
        <v>8</v>
      </c>
      <c r="M354" s="3" t="str">
        <f>IF(TRIM(H354)="","",IFERROR(LOOKUP(2,1/(ISNUMBER(SEARCH('منطق دسته‌بندی'!$A$2:$A$187,H354))),'منطق دسته‌بندی'!$B$2:$B$187),"سایر (نیازمند بررسی دستی)"))</f>
        <v>خرابی - برد الکترونیک (تعویض)</v>
      </c>
      <c r="N354" s="3" t="s">
        <v>1646</v>
      </c>
      <c r="O354" s="3"/>
    </row>
    <row r="355" spans="1:15" ht="45" customHeight="1">
      <c r="A355" s="3">
        <v>130010324</v>
      </c>
      <c r="B355" s="3" t="s">
        <v>1077</v>
      </c>
      <c r="C355" s="3" t="s">
        <v>1078</v>
      </c>
      <c r="D355" s="3" t="s">
        <v>1402</v>
      </c>
      <c r="E355" s="3" t="s">
        <v>1628</v>
      </c>
      <c r="F355" s="3" t="s">
        <v>1669</v>
      </c>
      <c r="G355" s="3" t="s">
        <v>1579</v>
      </c>
      <c r="H355" s="3" t="s">
        <v>407</v>
      </c>
      <c r="I355" s="3" t="s">
        <v>1670</v>
      </c>
      <c r="J355" s="3" t="s">
        <v>31</v>
      </c>
      <c r="K355" s="3" t="s">
        <v>1286</v>
      </c>
      <c r="L355" s="4">
        <f>IF(OR(TRIM(I355)="",TRIM(K355)=""),"",IFERROR((VALUE(LEFT(TRIM(I355),4))-VALUE(LEFT(TRIM(K355),4)))*12+VALUE(MID(TRIM(I355),6,2))-VALUE(MID(TRIM(K355),6,2)),""))</f>
        <v>11</v>
      </c>
      <c r="M355" s="3" t="str">
        <f>IF(TRIM(H355)="","",IFERROR(LOOKUP(2,1/(ISNUMBER(SEARCH('منطق دسته‌بندی'!$A$2:$A$187,H355))),'منطق دسته‌بندی'!$B$2:$B$187),"سایر (نیازمند بررسی دستی)"))</f>
        <v>خرابی - تاب برداشتن درام (تعویض)</v>
      </c>
      <c r="N355" s="3" t="s">
        <v>1671</v>
      </c>
      <c r="O355" s="3"/>
    </row>
    <row r="356" spans="1:15" ht="30" customHeight="1">
      <c r="A356" s="3">
        <v>310008856</v>
      </c>
      <c r="B356" s="3" t="s">
        <v>1077</v>
      </c>
      <c r="C356" s="3" t="s">
        <v>1078</v>
      </c>
      <c r="D356" s="3" t="s">
        <v>43</v>
      </c>
      <c r="E356" s="3" t="s">
        <v>379</v>
      </c>
      <c r="F356" s="3" t="s">
        <v>1474</v>
      </c>
      <c r="G356" s="3" t="s">
        <v>1475</v>
      </c>
      <c r="H356" s="3" t="s">
        <v>1476</v>
      </c>
      <c r="I356" s="3" t="s">
        <v>1477</v>
      </c>
      <c r="J356" s="3" t="s">
        <v>1478</v>
      </c>
      <c r="K356" s="3" t="s">
        <v>1479</v>
      </c>
      <c r="L356" s="4">
        <f>IF(OR(TRIM(I356)="",TRIM(K356)=""),"",IFERROR((VALUE(LEFT(TRIM(I356),4))-VALUE(LEFT(TRIM(K356),4)))*12+VALUE(MID(TRIM(I356),6,2))-VALUE(MID(TRIM(K356),6,2)),""))</f>
        <v>18</v>
      </c>
      <c r="M356" s="3" t="str">
        <f>IF(TRIM(H356)="","",IFERROR(LOOKUP(2,1/(ISNUMBER(SEARCH('منطق دسته‌بندی'!$A$2:$A$187,H356))),'منطق دسته‌بندی'!$B$2:$B$187),"سایر (نیازمند بررسی دستی)"))</f>
        <v>شیلنگ - برخورد/لهیدگی (بازبینی)</v>
      </c>
      <c r="N356" s="3" t="s">
        <v>1428</v>
      </c>
      <c r="O356" s="3"/>
    </row>
    <row r="357" spans="1:15" ht="30" customHeight="1">
      <c r="A357" s="3">
        <v>210021013</v>
      </c>
      <c r="B357" s="3" t="s">
        <v>1077</v>
      </c>
      <c r="C357" s="3" t="s">
        <v>1078</v>
      </c>
      <c r="D357" s="3" t="s">
        <v>127</v>
      </c>
      <c r="E357" s="3" t="s">
        <v>128</v>
      </c>
      <c r="F357" s="3" t="s">
        <v>835</v>
      </c>
      <c r="G357" s="3" t="s">
        <v>1467</v>
      </c>
      <c r="H357" s="3" t="s">
        <v>1446</v>
      </c>
      <c r="I357" s="3" t="s">
        <v>1477</v>
      </c>
      <c r="J357" s="3" t="s">
        <v>465</v>
      </c>
      <c r="K357" s="3" t="s">
        <v>500</v>
      </c>
      <c r="L357" s="4">
        <f>IF(OR(TRIM(I357)="",TRIM(K357)=""),"",IFERROR((VALUE(LEFT(TRIM(I357),4))-VALUE(LEFT(TRIM(K357),4)))*12+VALUE(MID(TRIM(I357),6,2))-VALUE(MID(TRIM(K357),6,2)),""))</f>
        <v>12</v>
      </c>
      <c r="M357" s="3" t="str">
        <f>IF(TRIM(H357)="","",IFERROR(LOOKUP(2,1/(ISNUMBER(SEARCH('منطق دسته‌بندی'!$A$2:$A$187,H357))),'منطق دسته‌بندی'!$B$2:$B$187),"سایر (نیازمند بررسی دستی)"))</f>
        <v>یخساز - تنظیم/عایق (تعمیر)</v>
      </c>
      <c r="N357" s="3" t="s">
        <v>1469</v>
      </c>
      <c r="O357" s="3"/>
    </row>
    <row r="358" spans="1:15" ht="45" customHeight="1">
      <c r="A358" s="3">
        <v>810005154</v>
      </c>
      <c r="B358" s="3" t="s">
        <v>1077</v>
      </c>
      <c r="C358" s="3" t="s">
        <v>1078</v>
      </c>
      <c r="D358" s="3" t="s">
        <v>127</v>
      </c>
      <c r="E358" s="3" t="s">
        <v>128</v>
      </c>
      <c r="F358" s="3" t="s">
        <v>1250</v>
      </c>
      <c r="G358" s="3" t="s">
        <v>1451</v>
      </c>
      <c r="H358" s="3" t="s">
        <v>1452</v>
      </c>
      <c r="I358" s="3" t="s">
        <v>1453</v>
      </c>
      <c r="J358" s="3" t="s">
        <v>1041</v>
      </c>
      <c r="K358" s="3" t="s">
        <v>818</v>
      </c>
      <c r="L358" s="4">
        <f>IF(OR(TRIM(I358)="",TRIM(K358)=""),"",IFERROR((VALUE(LEFT(TRIM(I358),4))-VALUE(LEFT(TRIM(K358),4)))*12+VALUE(MID(TRIM(I358),6,2))-VALUE(MID(TRIM(K358),6,2)),""))</f>
        <v>18</v>
      </c>
      <c r="M358" s="3" t="str">
        <f>IF(TRIM(H358)="","",IFERROR(LOOKUP(2,1/(ISNUMBER(SEARCH('منطق دسته‌بندی'!$A$2:$A$187,H358))),'منطق دسته‌بندی'!$B$2:$B$187),"سایر (نیازمند بررسی دستی)"))</f>
        <v>وان/کابین - ترک (نیازمند تعویض/بررسی)</v>
      </c>
      <c r="N358" s="3" t="s">
        <v>1454</v>
      </c>
      <c r="O358" s="3"/>
    </row>
    <row r="359" spans="1:15" ht="30" customHeight="1">
      <c r="A359" s="3">
        <v>210019667</v>
      </c>
      <c r="B359" s="3" t="s">
        <v>1077</v>
      </c>
      <c r="C359" s="3" t="s">
        <v>1078</v>
      </c>
      <c r="D359" s="3" t="s">
        <v>127</v>
      </c>
      <c r="E359" s="3" t="s">
        <v>128</v>
      </c>
      <c r="F359" s="3" t="s">
        <v>624</v>
      </c>
      <c r="G359" s="3" t="s">
        <v>1503</v>
      </c>
      <c r="H359" s="3" t="s">
        <v>1504</v>
      </c>
      <c r="I359" s="3" t="s">
        <v>1453</v>
      </c>
      <c r="J359" s="3" t="s">
        <v>626</v>
      </c>
      <c r="K359" s="3" t="s">
        <v>330</v>
      </c>
      <c r="L359" s="4">
        <f>IF(OR(TRIM(I359)="",TRIM(K359)=""),"",IFERROR((VALUE(LEFT(TRIM(I359),4))-VALUE(LEFT(TRIM(K359),4)))*12+VALUE(MID(TRIM(I359),6,2))-VALUE(MID(TRIM(K359),6,2)),""))</f>
        <v>13</v>
      </c>
      <c r="M359" s="3" t="str">
        <f>IF(TRIM(H359)="","",IFERROR(LOOKUP(2,1/(ISNUMBER(SEARCH('منطق دسته‌بندی'!$A$2:$A$187,H359))),'منطق دسته‌بندی'!$B$2:$B$187),"سایر (نیازمند بررسی دستی)"))</f>
        <v>سایر اجزای درب (بازبینی)</v>
      </c>
      <c r="N359" s="3" t="s">
        <v>1505</v>
      </c>
      <c r="O359" s="3"/>
    </row>
    <row r="360" spans="1:15" ht="45" customHeight="1">
      <c r="A360" s="3">
        <v>310008990</v>
      </c>
      <c r="B360" s="3" t="s">
        <v>1077</v>
      </c>
      <c r="C360" s="3" t="s">
        <v>1078</v>
      </c>
      <c r="D360" s="3" t="s">
        <v>43</v>
      </c>
      <c r="E360" s="3" t="s">
        <v>379</v>
      </c>
      <c r="F360" s="3" t="s">
        <v>1480</v>
      </c>
      <c r="G360" s="3" t="s">
        <v>1481</v>
      </c>
      <c r="H360" s="3" t="s">
        <v>1425</v>
      </c>
      <c r="I360" s="3" t="s">
        <v>1482</v>
      </c>
      <c r="J360" s="3" t="s">
        <v>1483</v>
      </c>
      <c r="K360" s="3"/>
      <c r="L360" s="4" t="str">
        <f>IF(OR(TRIM(I360)="",TRIM(K360)=""),"",IFERROR((VALUE(LEFT(TRIM(I360),4))-VALUE(LEFT(TRIM(K360),4)))*12+VALUE(MID(TRIM(I360),6,2))-VALUE(MID(TRIM(K360),6,2)),""))</f>
        <v/>
      </c>
      <c r="M360" s="3" t="str">
        <f>IF(TRIM(H360)="","",IFERROR(LOOKUP(2,1/(ISNUMBER(SEARCH('منطق دسته‌بندی'!$A$2:$A$187,H360))),'منطق دسته‌بندی'!$B$2:$B$187),"سایر (نیازمند بررسی دستی)"))</f>
        <v>نشتی - مقسم آب (تعمیر/آب‌بندی)</v>
      </c>
      <c r="N360" s="3" t="s">
        <v>1428</v>
      </c>
      <c r="O360" s="3"/>
    </row>
    <row r="361" spans="1:15" ht="75" customHeight="1">
      <c r="A361" s="3">
        <v>310008974</v>
      </c>
      <c r="B361" s="3" t="s">
        <v>1077</v>
      </c>
      <c r="C361" s="3" t="s">
        <v>1078</v>
      </c>
      <c r="D361" s="3" t="s">
        <v>43</v>
      </c>
      <c r="E361" s="3" t="s">
        <v>1095</v>
      </c>
      <c r="F361" s="3" t="s">
        <v>1493</v>
      </c>
      <c r="G361" s="3" t="s">
        <v>1494</v>
      </c>
      <c r="H361" s="3" t="s">
        <v>1488</v>
      </c>
      <c r="I361" s="3" t="s">
        <v>1482</v>
      </c>
      <c r="J361" s="3" t="s">
        <v>1255</v>
      </c>
      <c r="K361" s="3" t="s">
        <v>886</v>
      </c>
      <c r="L361" s="4">
        <f>IF(OR(TRIM(I361)="",TRIM(K361)=""),"",IFERROR((VALUE(LEFT(TRIM(I361),4))-VALUE(LEFT(TRIM(K361),4)))*12+VALUE(MID(TRIM(I361),6,2))-VALUE(MID(TRIM(K361),6,2)),""))</f>
        <v>11</v>
      </c>
      <c r="M361" s="3" t="str">
        <f>IF(TRIM(H361)="","",IFERROR(LOOKUP(2,1/(ISNUMBER(SEARCH('منطق دسته‌بندی'!$A$2:$A$187,H361))),'منطق دسته‌بندی'!$B$2:$B$187),"سایر (نیازمند بررسی دستی)"))</f>
        <v>مکانیزم درب - میکروسوئیچ/قلاب (تعویض/تنظیم)</v>
      </c>
      <c r="N361" s="3" t="s">
        <v>1492</v>
      </c>
      <c r="O361" s="3"/>
    </row>
    <row r="362" spans="1:15" ht="30" customHeight="1">
      <c r="A362" s="3">
        <v>510024629</v>
      </c>
      <c r="B362" s="3" t="s">
        <v>1077</v>
      </c>
      <c r="C362" s="3" t="s">
        <v>1078</v>
      </c>
      <c r="D362" s="3" t="s">
        <v>43</v>
      </c>
      <c r="E362" s="3" t="s">
        <v>1095</v>
      </c>
      <c r="F362" s="3" t="s">
        <v>1561</v>
      </c>
      <c r="G362" s="3" t="s">
        <v>1562</v>
      </c>
      <c r="H362" s="3" t="s">
        <v>1485</v>
      </c>
      <c r="I362" s="3" t="s">
        <v>1482</v>
      </c>
      <c r="J362" s="3" t="s">
        <v>181</v>
      </c>
      <c r="K362" s="3" t="s">
        <v>709</v>
      </c>
      <c r="L362" s="4">
        <f>IF(OR(TRIM(I362)="",TRIM(K362)=""),"",IFERROR((VALUE(LEFT(TRIM(I362),4))-VALUE(LEFT(TRIM(K362),4)))*12+VALUE(MID(TRIM(I362),6,2))-VALUE(MID(TRIM(K362),6,2)),""))</f>
        <v>12</v>
      </c>
      <c r="M362" s="3" t="str">
        <f>IF(TRIM(H362)="","",IFERROR(LOOKUP(2,1/(ISNUMBER(SEARCH('منطق دسته‌بندی'!$A$2:$A$187,H362))),'منطق دسته‌بندی'!$B$2:$B$187),"سایر (نیازمند بررسی دستی)"))</f>
        <v>سایر اجزای درب (بازبینی)</v>
      </c>
      <c r="N362" s="3" t="s">
        <v>1428</v>
      </c>
      <c r="O362" s="3"/>
    </row>
    <row r="363" spans="1:15" ht="30" customHeight="1">
      <c r="A363" s="3">
        <v>510024651</v>
      </c>
      <c r="B363" s="3" t="s">
        <v>1077</v>
      </c>
      <c r="C363" s="3" t="s">
        <v>1078</v>
      </c>
      <c r="D363" s="3" t="s">
        <v>108</v>
      </c>
      <c r="E363" s="3" t="s">
        <v>391</v>
      </c>
      <c r="F363" s="3" t="s">
        <v>1597</v>
      </c>
      <c r="G363" s="3" t="s">
        <v>1598</v>
      </c>
      <c r="H363" s="3" t="s">
        <v>792</v>
      </c>
      <c r="I363" s="3" t="s">
        <v>1482</v>
      </c>
      <c r="J363" s="3" t="s">
        <v>1599</v>
      </c>
      <c r="K363" s="3" t="s">
        <v>618</v>
      </c>
      <c r="L363" s="4">
        <f>IF(OR(TRIM(I363)="",TRIM(K363)=""),"",IFERROR((VALUE(LEFT(TRIM(I363),4))-VALUE(LEFT(TRIM(K363),4)))*12+VALUE(MID(TRIM(I363),6,2))-VALUE(MID(TRIM(K363),6,2)),""))</f>
        <v>11</v>
      </c>
      <c r="M363" s="3" t="str">
        <f>IF(TRIM(H363)="","",IFERROR(LOOKUP(2,1/(ISNUMBER(SEARCH('منطق دسته‌بندی'!$A$2:$A$187,H363))),'منطق دسته‌بندی'!$B$2:$B$187),"سایر (نیازمند بررسی دستی)"))</f>
        <v>خرابی - لامپ/LED داخلی (تعویض)</v>
      </c>
      <c r="N363" s="3" t="s">
        <v>1140</v>
      </c>
      <c r="O363" s="3"/>
    </row>
    <row r="364" spans="1:15" ht="45" customHeight="1">
      <c r="A364" s="3">
        <v>210021125</v>
      </c>
      <c r="B364" s="3" t="s">
        <v>1077</v>
      </c>
      <c r="C364" s="3" t="s">
        <v>1078</v>
      </c>
      <c r="D364" s="3" t="s">
        <v>1402</v>
      </c>
      <c r="E364" s="3" t="s">
        <v>1145</v>
      </c>
      <c r="F364" s="3" t="s">
        <v>794</v>
      </c>
      <c r="G364" s="3" t="s">
        <v>1507</v>
      </c>
      <c r="H364" s="3" t="s">
        <v>1412</v>
      </c>
      <c r="I364" s="3" t="s">
        <v>1482</v>
      </c>
      <c r="J364" s="3" t="s">
        <v>797</v>
      </c>
      <c r="K364" s="3" t="s">
        <v>798</v>
      </c>
      <c r="L364" s="4">
        <f>IF(OR(TRIM(I364)="",TRIM(K364)=""),"",IFERROR((VALUE(LEFT(TRIM(I364),4))-VALUE(LEFT(TRIM(K364),4)))*12+VALUE(MID(TRIM(I364),6,2))-VALUE(MID(TRIM(K364),6,2)),""))</f>
        <v>11</v>
      </c>
      <c r="M364" s="3" t="str">
        <f>IF(TRIM(H364)="","",IFERROR(LOOKUP(2,1/(ISNUMBER(SEARCH('منطق دسته‌بندی'!$A$2:$A$187,H364))),'منطق دسته‌بندی'!$B$2:$B$187),"سایر (نیازمند بررسی دستی)"))</f>
        <v>خرابی - شیربرقی (تعویض)</v>
      </c>
      <c r="N364" s="3" t="s">
        <v>1652</v>
      </c>
      <c r="O364" s="3"/>
    </row>
    <row r="365" spans="1:15" ht="30" customHeight="1">
      <c r="A365" s="3">
        <v>130010521</v>
      </c>
      <c r="B365" s="5" t="s">
        <v>2006</v>
      </c>
      <c r="C365" s="5" t="s">
        <v>2007</v>
      </c>
      <c r="D365" s="3" t="s">
        <v>43</v>
      </c>
      <c r="E365" s="3" t="s">
        <v>1354</v>
      </c>
      <c r="F365" s="3" t="s">
        <v>1429</v>
      </c>
      <c r="G365" s="3" t="s">
        <v>1430</v>
      </c>
      <c r="H365" s="3" t="s">
        <v>1431</v>
      </c>
      <c r="I365" s="3" t="s">
        <v>1432</v>
      </c>
      <c r="J365" s="3" t="s">
        <v>1433</v>
      </c>
      <c r="K365" s="3" t="s">
        <v>113</v>
      </c>
      <c r="L365" s="4">
        <f>IF(OR(TRIM(I365)="",TRIM(K365)=""),"",IFERROR((VALUE(LEFT(TRIM(I365),4))-VALUE(LEFT(TRIM(K365),4)))*12+VALUE(MID(TRIM(I365),6,2))-VALUE(MID(TRIM(K365),6,2)),""))</f>
        <v>18</v>
      </c>
      <c r="M365" s="3" t="str">
        <f>IF(TRIM(H365)="","",IFERROR(LOOKUP(2,1/(ISNUMBER(SEARCH('منطق دسته‌بندی'!$A$2:$A$187,H365))),'منطق دسته‌بندی'!$B$2:$B$187),"سایر (نیازمند بررسی دستی)"))</f>
        <v>خرابی - پمپ تخلیه (تعویض)</v>
      </c>
      <c r="N365" s="3" t="s">
        <v>1318</v>
      </c>
      <c r="O365" s="3"/>
    </row>
    <row r="366" spans="1:15" ht="45" customHeight="1">
      <c r="A366" s="3">
        <v>310009004</v>
      </c>
      <c r="B366" s="5" t="s">
        <v>2006</v>
      </c>
      <c r="C366" s="5" t="s">
        <v>2007</v>
      </c>
      <c r="D366" s="3" t="s">
        <v>43</v>
      </c>
      <c r="E366" s="3" t="s">
        <v>379</v>
      </c>
      <c r="F366" s="3" t="s">
        <v>1711</v>
      </c>
      <c r="G366" s="3" t="s">
        <v>1659</v>
      </c>
      <c r="H366" s="3" t="s">
        <v>1431</v>
      </c>
      <c r="I366" s="3" t="s">
        <v>1432</v>
      </c>
      <c r="J366" s="3" t="s">
        <v>700</v>
      </c>
      <c r="K366" s="3" t="s">
        <v>1459</v>
      </c>
      <c r="L366" s="4">
        <f>IF(OR(TRIM(I366)="",TRIM(K366)=""),"",IFERROR((VALUE(LEFT(TRIM(I366),4))-VALUE(LEFT(TRIM(K366),4)))*12+VALUE(MID(TRIM(I366),6,2))-VALUE(MID(TRIM(K366),6,2)),""))</f>
        <v>8</v>
      </c>
      <c r="M366" s="3" t="str">
        <f>IF(TRIM(H366)="","",IFERROR(LOOKUP(2,1/(ISNUMBER(SEARCH('منطق دسته‌بندی'!$A$2:$A$187,H366))),'منطق دسته‌بندی'!$B$2:$B$187),"سایر (نیازمند بررسی دستی)"))</f>
        <v>خرابی - پمپ تخلیه (تعویض)</v>
      </c>
      <c r="N366" s="3" t="s">
        <v>1318</v>
      </c>
      <c r="O366" s="3"/>
    </row>
    <row r="367" spans="1:15" ht="30" customHeight="1">
      <c r="A367" s="3">
        <v>510024753</v>
      </c>
      <c r="B367" s="5" t="s">
        <v>2006</v>
      </c>
      <c r="C367" s="5" t="s">
        <v>2007</v>
      </c>
      <c r="D367" s="3" t="s">
        <v>108</v>
      </c>
      <c r="E367" s="3" t="s">
        <v>1725</v>
      </c>
      <c r="F367" s="3" t="s">
        <v>1748</v>
      </c>
      <c r="G367" s="3" t="s">
        <v>1749</v>
      </c>
      <c r="H367" s="3" t="s">
        <v>792</v>
      </c>
      <c r="I367" s="3" t="s">
        <v>1432</v>
      </c>
      <c r="J367" s="3" t="s">
        <v>313</v>
      </c>
      <c r="K367" s="3"/>
      <c r="L367" s="4" t="str">
        <f>IF(OR(TRIM(I367)="",TRIM(K367)=""),"",IFERROR((VALUE(LEFT(TRIM(I367),4))-VALUE(LEFT(TRIM(K367),4)))*12+VALUE(MID(TRIM(I367),6,2))-VALUE(MID(TRIM(K367),6,2)),""))</f>
        <v/>
      </c>
      <c r="M367" s="3" t="str">
        <f>IF(TRIM(H367)="","",IFERROR(LOOKUP(2,1/(ISNUMBER(SEARCH('منطق دسته‌بندی'!$A$2:$A$187,H367))),'منطق دسته‌بندی'!$B$2:$B$187),"سایر (نیازمند بررسی دستی)"))</f>
        <v>خرابی - لامپ/LED داخلی (تعویض)</v>
      </c>
      <c r="N367" s="3" t="s">
        <v>1140</v>
      </c>
      <c r="O367" s="3"/>
    </row>
    <row r="368" spans="1:15" ht="30" customHeight="1">
      <c r="A368" s="3">
        <v>310006211</v>
      </c>
      <c r="B368" s="5" t="s">
        <v>2006</v>
      </c>
      <c r="C368" s="5" t="s">
        <v>2007</v>
      </c>
      <c r="D368" s="3" t="s">
        <v>108</v>
      </c>
      <c r="E368" s="3" t="s">
        <v>1770</v>
      </c>
      <c r="F368" s="3" t="s">
        <v>1771</v>
      </c>
      <c r="G368" s="3" t="s">
        <v>1772</v>
      </c>
      <c r="H368" s="3" t="s">
        <v>792</v>
      </c>
      <c r="I368" s="3" t="s">
        <v>1432</v>
      </c>
      <c r="J368" s="3" t="s">
        <v>973</v>
      </c>
      <c r="K368" s="3" t="s">
        <v>1773</v>
      </c>
      <c r="L368" s="4">
        <f>IF(OR(TRIM(I368)="",TRIM(K368)=""),"",IFERROR((VALUE(LEFT(TRIM(I368),4))-VALUE(LEFT(TRIM(K368),4)))*12+VALUE(MID(TRIM(I368),6,2))-VALUE(MID(TRIM(K368),6,2)),""))</f>
        <v>2</v>
      </c>
      <c r="M368" s="3" t="str">
        <f>IF(TRIM(H368)="","",IFERROR(LOOKUP(2,1/(ISNUMBER(SEARCH('منطق دسته‌بندی'!$A$2:$A$187,H368))),'منطق دسته‌بندی'!$B$2:$B$187),"سایر (نیازمند بررسی دستی)"))</f>
        <v>خرابی - لامپ/LED داخلی (تعویض)</v>
      </c>
      <c r="N368" s="3" t="s">
        <v>1140</v>
      </c>
      <c r="O368" s="3"/>
    </row>
    <row r="369" spans="1:15" ht="30" customHeight="1">
      <c r="A369" s="3">
        <v>210021319</v>
      </c>
      <c r="B369" s="5" t="s">
        <v>2006</v>
      </c>
      <c r="C369" s="5" t="s">
        <v>2007</v>
      </c>
      <c r="D369" s="3" t="s">
        <v>108</v>
      </c>
      <c r="E369" s="3" t="s">
        <v>1368</v>
      </c>
      <c r="F369" s="3" t="s">
        <v>1782</v>
      </c>
      <c r="G369" s="3" t="s">
        <v>1780</v>
      </c>
      <c r="H369" s="3" t="s">
        <v>1783</v>
      </c>
      <c r="I369" s="3" t="s">
        <v>1432</v>
      </c>
      <c r="J369" s="3" t="s">
        <v>1370</v>
      </c>
      <c r="K369" s="3"/>
      <c r="L369" s="4" t="str">
        <f>IF(OR(TRIM(I369)="",TRIM(K369)=""),"",IFERROR((VALUE(LEFT(TRIM(I369),4))-VALUE(LEFT(TRIM(K369),4)))*12+VALUE(MID(TRIM(I369),6,2))-VALUE(MID(TRIM(K369),6,2)),""))</f>
        <v/>
      </c>
      <c r="M369" s="3" t="str">
        <f>IF(TRIM(H369)="","",IFERROR(LOOKUP(2,1/(ISNUMBER(SEARCH('منطق دسته‌بندی'!$A$2:$A$187,H369))),'منطق دسته‌بندی'!$B$2:$B$187),"سایر (نیازمند بررسی دستی)"))</f>
        <v>تنظیم ترموستات (تعمیر/تنظیم)</v>
      </c>
      <c r="N369" s="3" t="s">
        <v>1428</v>
      </c>
      <c r="O369" s="3"/>
    </row>
    <row r="370" spans="1:15" ht="30" customHeight="1">
      <c r="A370" s="3">
        <v>210021468</v>
      </c>
      <c r="B370" s="5" t="s">
        <v>2006</v>
      </c>
      <c r="C370" s="5" t="s">
        <v>2007</v>
      </c>
      <c r="D370" s="3" t="s">
        <v>43</v>
      </c>
      <c r="E370" s="3" t="s">
        <v>1079</v>
      </c>
      <c r="F370" s="3" t="s">
        <v>1423</v>
      </c>
      <c r="G370" s="3" t="s">
        <v>1424</v>
      </c>
      <c r="H370" s="3" t="s">
        <v>1425</v>
      </c>
      <c r="I370" s="3" t="s">
        <v>1426</v>
      </c>
      <c r="J370" s="3" t="s">
        <v>1040</v>
      </c>
      <c r="K370" s="3" t="s">
        <v>1427</v>
      </c>
      <c r="L370" s="4">
        <f>IF(OR(TRIM(I370)="",TRIM(K370)=""),"",IFERROR((VALUE(LEFT(TRIM(I370),4))-VALUE(LEFT(TRIM(K370),4)))*12+VALUE(MID(TRIM(I370),6,2))-VALUE(MID(TRIM(K370),6,2)),""))</f>
        <v>25</v>
      </c>
      <c r="M370" s="3" t="str">
        <f>IF(TRIM(H370)="","",IFERROR(LOOKUP(2,1/(ISNUMBER(SEARCH('منطق دسته‌بندی'!$A$2:$A$187,H370))),'منطق دسته‌بندی'!$B$2:$B$187),"سایر (نیازمند بررسی دستی)"))</f>
        <v>نشتی - مقسم آب (تعمیر/آب‌بندی)</v>
      </c>
      <c r="N370" s="3" t="s">
        <v>1428</v>
      </c>
      <c r="O370" s="3"/>
    </row>
    <row r="371" spans="1:15" ht="30" customHeight="1">
      <c r="A371" s="3">
        <v>210021506</v>
      </c>
      <c r="B371" s="5" t="s">
        <v>2006</v>
      </c>
      <c r="C371" s="5" t="s">
        <v>2007</v>
      </c>
      <c r="D371" s="3" t="s">
        <v>43</v>
      </c>
      <c r="E371" s="3" t="s">
        <v>379</v>
      </c>
      <c r="F371" s="3" t="s">
        <v>1602</v>
      </c>
      <c r="G371" s="3" t="s">
        <v>1603</v>
      </c>
      <c r="H371" s="3" t="s">
        <v>1431</v>
      </c>
      <c r="I371" s="3" t="s">
        <v>1426</v>
      </c>
      <c r="J371" s="3" t="s">
        <v>1049</v>
      </c>
      <c r="K371" s="3" t="s">
        <v>1352</v>
      </c>
      <c r="L371" s="4">
        <f>IF(OR(TRIM(I371)="",TRIM(K371)=""),"",IFERROR((VALUE(LEFT(TRIM(I371),4))-VALUE(LEFT(TRIM(K371),4)))*12+VALUE(MID(TRIM(I371),6,2))-VALUE(MID(TRIM(K371),6,2)),""))</f>
        <v>11</v>
      </c>
      <c r="M371" s="3" t="str">
        <f>IF(TRIM(H371)="","",IFERROR(LOOKUP(2,1/(ISNUMBER(SEARCH('منطق دسته‌بندی'!$A$2:$A$187,H371))),'منطق دسته‌بندی'!$B$2:$B$187),"سایر (نیازمند بررسی دستی)"))</f>
        <v>خرابی - پمپ تخلیه (تعویض)</v>
      </c>
      <c r="N371" s="3" t="s">
        <v>1318</v>
      </c>
      <c r="O371" s="3"/>
    </row>
    <row r="372" spans="1:15" ht="45" customHeight="1">
      <c r="A372" s="3">
        <v>210021503</v>
      </c>
      <c r="B372" s="5" t="s">
        <v>2006</v>
      </c>
      <c r="C372" s="5" t="s">
        <v>2007</v>
      </c>
      <c r="D372" s="3" t="s">
        <v>43</v>
      </c>
      <c r="E372" s="3" t="s">
        <v>379</v>
      </c>
      <c r="F372" s="3" t="s">
        <v>1704</v>
      </c>
      <c r="G372" s="3" t="s">
        <v>1705</v>
      </c>
      <c r="H372" s="3" t="s">
        <v>1524</v>
      </c>
      <c r="I372" s="3" t="s">
        <v>1426</v>
      </c>
      <c r="J372" s="3" t="s">
        <v>632</v>
      </c>
      <c r="K372" s="3" t="s">
        <v>570</v>
      </c>
      <c r="L372" s="4">
        <f>IF(OR(TRIM(I372)="",TRIM(K372)=""),"",IFERROR((VALUE(LEFT(TRIM(I372),4))-VALUE(LEFT(TRIM(K372),4)))*12+VALUE(MID(TRIM(I372),6,2))-VALUE(MID(TRIM(K372),6,2)),""))</f>
        <v>7</v>
      </c>
      <c r="M372" s="3" t="str">
        <f>IF(TRIM(H372)="","",IFERROR(LOOKUP(2,1/(ISNUMBER(SEARCH('منطق دسته‌بندی'!$A$2:$A$187,H372))),'منطق دسته‌بندی'!$B$2:$B$187),"سایر (نیازمند بررسی دستی)"))</f>
        <v>خرابی - پمپ تخلیه (تعویض)</v>
      </c>
      <c r="N372" s="3" t="s">
        <v>1526</v>
      </c>
      <c r="O372" s="3"/>
    </row>
    <row r="373" spans="1:15" ht="30" customHeight="1">
      <c r="A373" s="3">
        <v>210021494</v>
      </c>
      <c r="B373" s="5" t="s">
        <v>2006</v>
      </c>
      <c r="C373" s="5" t="s">
        <v>2007</v>
      </c>
      <c r="D373" s="3" t="s">
        <v>1402</v>
      </c>
      <c r="E373" s="3" t="s">
        <v>1675</v>
      </c>
      <c r="F373" s="3" t="s">
        <v>1687</v>
      </c>
      <c r="G373" s="3" t="s">
        <v>1634</v>
      </c>
      <c r="H373" s="3" t="s">
        <v>1576</v>
      </c>
      <c r="I373" s="3" t="s">
        <v>1426</v>
      </c>
      <c r="J373" s="3" t="s">
        <v>1003</v>
      </c>
      <c r="K373" s="3" t="s">
        <v>772</v>
      </c>
      <c r="L373" s="4">
        <f>IF(OR(TRIM(I373)="",TRIM(K373)=""),"",IFERROR((VALUE(LEFT(TRIM(I373),4))-VALUE(LEFT(TRIM(K373),4)))*12+VALUE(MID(TRIM(I373),6,2))-VALUE(MID(TRIM(K373),6,2)),""))</f>
        <v>4</v>
      </c>
      <c r="M373" s="3" t="str">
        <f>IF(TRIM(H373)="","",IFERROR(LOOKUP(2,1/(ISNUMBER(SEARCH('منطق دسته‌بندی'!$A$2:$A$187,H373))),'منطق دسته‌بندی'!$B$2:$B$187),"سایر (نیازمند بررسی دستی)"))</f>
        <v>سایر (نیازمند بررسی دستی)</v>
      </c>
      <c r="N373" s="3" t="s">
        <v>1428</v>
      </c>
      <c r="O373" s="3"/>
    </row>
    <row r="374" spans="1:15" ht="30" customHeight="1">
      <c r="A374" s="3">
        <v>510024985</v>
      </c>
      <c r="B374" s="5" t="s">
        <v>2006</v>
      </c>
      <c r="C374" s="5" t="s">
        <v>2007</v>
      </c>
      <c r="D374" s="3" t="s">
        <v>127</v>
      </c>
      <c r="E374" s="3" t="s">
        <v>128</v>
      </c>
      <c r="F374" s="3" t="s">
        <v>1125</v>
      </c>
      <c r="G374" s="3" t="s">
        <v>1467</v>
      </c>
      <c r="H374" s="3" t="s">
        <v>1446</v>
      </c>
      <c r="I374" s="3" t="s">
        <v>1468</v>
      </c>
      <c r="J374" s="3" t="s">
        <v>1312</v>
      </c>
      <c r="K374" s="3" t="s">
        <v>657</v>
      </c>
      <c r="L374" s="4">
        <f>IF(OR(TRIM(I374)="",TRIM(K374)=""),"",IFERROR((VALUE(LEFT(TRIM(I374),4))-VALUE(LEFT(TRIM(K374),4)))*12+VALUE(MID(TRIM(I374),6,2))-VALUE(MID(TRIM(K374),6,2)),""))</f>
        <v>19</v>
      </c>
      <c r="M374" s="3" t="str">
        <f>IF(TRIM(H374)="","",IFERROR(LOOKUP(2,1/(ISNUMBER(SEARCH('منطق دسته‌بندی'!$A$2:$A$187,H374))),'منطق دسته‌بندی'!$B$2:$B$187),"سایر (نیازمند بررسی دستی)"))</f>
        <v>یخساز - تنظیم/عایق (تعمیر)</v>
      </c>
      <c r="N374" s="3" t="s">
        <v>1469</v>
      </c>
      <c r="O374" s="3"/>
    </row>
    <row r="375" spans="1:15" ht="30" customHeight="1">
      <c r="A375" s="3">
        <v>130011535</v>
      </c>
      <c r="B375" s="5" t="s">
        <v>2006</v>
      </c>
      <c r="C375" s="5" t="s">
        <v>2007</v>
      </c>
      <c r="D375" s="3" t="s">
        <v>127</v>
      </c>
      <c r="E375" s="3" t="s">
        <v>128</v>
      </c>
      <c r="F375" s="3" t="s">
        <v>1563</v>
      </c>
      <c r="G375" s="3" t="s">
        <v>1467</v>
      </c>
      <c r="H375" s="3" t="s">
        <v>1549</v>
      </c>
      <c r="I375" s="3" t="s">
        <v>1468</v>
      </c>
      <c r="J375" s="3" t="s">
        <v>1564</v>
      </c>
      <c r="K375" s="3" t="s">
        <v>297</v>
      </c>
      <c r="L375" s="4">
        <f>IF(OR(TRIM(I375)="",TRIM(K375)=""),"",IFERROR((VALUE(LEFT(TRIM(I375),4))-VALUE(LEFT(TRIM(K375),4)))*12+VALUE(MID(TRIM(I375),6,2))-VALUE(MID(TRIM(K375),6,2)),""))</f>
        <v>13</v>
      </c>
      <c r="M375" s="3" t="str">
        <f>IF(TRIM(H375)="","",IFERROR(LOOKUP(2,1/(ISNUMBER(SEARCH('منطق دسته‌بندی'!$A$2:$A$187,H375))),'منطق دسته‌بندی'!$B$2:$B$187),"سایر (نیازمند بررسی دستی)"))</f>
        <v>یخساز - تنظیم/عایق (تعمیر)</v>
      </c>
      <c r="N375" s="3" t="s">
        <v>1565</v>
      </c>
      <c r="O375" s="3"/>
    </row>
    <row r="376" spans="1:15" ht="30" customHeight="1">
      <c r="A376" s="3">
        <v>130010691</v>
      </c>
      <c r="B376" s="5" t="s">
        <v>2006</v>
      </c>
      <c r="C376" s="5" t="s">
        <v>2007</v>
      </c>
      <c r="D376" s="3" t="s">
        <v>43</v>
      </c>
      <c r="E376" s="3" t="s">
        <v>1095</v>
      </c>
      <c r="F376" s="3" t="s">
        <v>1686</v>
      </c>
      <c r="G376" s="3" t="s">
        <v>1603</v>
      </c>
      <c r="H376" s="3" t="s">
        <v>1431</v>
      </c>
      <c r="I376" s="3" t="s">
        <v>1468</v>
      </c>
      <c r="J376" s="3" t="s">
        <v>452</v>
      </c>
      <c r="K376" s="3" t="s">
        <v>1003</v>
      </c>
      <c r="L376" s="4">
        <f>IF(OR(TRIM(I376)="",TRIM(K376)=""),"",IFERROR((VALUE(LEFT(TRIM(I376),4))-VALUE(LEFT(TRIM(K376),4)))*12+VALUE(MID(TRIM(I376),6,2))-VALUE(MID(TRIM(K376),6,2)),""))</f>
        <v>12</v>
      </c>
      <c r="M376" s="3" t="str">
        <f>IF(TRIM(H376)="","",IFERROR(LOOKUP(2,1/(ISNUMBER(SEARCH('منطق دسته‌بندی'!$A$2:$A$187,H376))),'منطق دسته‌بندی'!$B$2:$B$187),"سایر (نیازمند بررسی دستی)"))</f>
        <v>خرابی - پمپ تخلیه (تعویض)</v>
      </c>
      <c r="N376" s="3" t="s">
        <v>1318</v>
      </c>
      <c r="O376" s="3"/>
    </row>
    <row r="377" spans="1:15" ht="30" customHeight="1">
      <c r="A377" s="3">
        <v>210023885</v>
      </c>
      <c r="B377" s="5" t="s">
        <v>2006</v>
      </c>
      <c r="C377" s="5" t="s">
        <v>2007</v>
      </c>
      <c r="D377" s="3" t="s">
        <v>1402</v>
      </c>
      <c r="E377" s="3" t="s">
        <v>1234</v>
      </c>
      <c r="F377" s="3" t="s">
        <v>582</v>
      </c>
      <c r="G377" s="3" t="s">
        <v>1575</v>
      </c>
      <c r="H377" s="3" t="s">
        <v>407</v>
      </c>
      <c r="I377" s="3" t="s">
        <v>1468</v>
      </c>
      <c r="J377" s="3" t="s">
        <v>583</v>
      </c>
      <c r="K377" s="3" t="s">
        <v>685</v>
      </c>
      <c r="L377" s="4">
        <f>IF(OR(TRIM(I377)="",TRIM(K377)=""),"",IFERROR((VALUE(LEFT(TRIM(I377),4))-VALUE(LEFT(TRIM(K377),4)))*12+VALUE(MID(TRIM(I377),6,2))-VALUE(MID(TRIM(K377),6,2)),""))</f>
        <v>10</v>
      </c>
      <c r="M377" s="3" t="str">
        <f>IF(TRIM(H377)="","",IFERROR(LOOKUP(2,1/(ISNUMBER(SEARCH('منطق دسته‌بندی'!$A$2:$A$187,H377))),'منطق دسته‌بندی'!$B$2:$B$187),"سایر (نیازمند بررسی دستی)"))</f>
        <v>خرابی - تاب برداشتن درام (تعویض)</v>
      </c>
      <c r="N377" s="3" t="s">
        <v>1671</v>
      </c>
      <c r="O377" s="3"/>
    </row>
    <row r="378" spans="1:15" ht="60" customHeight="1">
      <c r="A378" s="3">
        <v>810006363</v>
      </c>
      <c r="B378" s="5" t="s">
        <v>2006</v>
      </c>
      <c r="C378" s="5" t="s">
        <v>2007</v>
      </c>
      <c r="D378" s="3" t="s">
        <v>1402</v>
      </c>
      <c r="E378" s="3" t="s">
        <v>1149</v>
      </c>
      <c r="F378" s="3" t="s">
        <v>1737</v>
      </c>
      <c r="G378" s="3" t="s">
        <v>1722</v>
      </c>
      <c r="H378" s="3" t="s">
        <v>1723</v>
      </c>
      <c r="I378" s="3" t="s">
        <v>1468</v>
      </c>
      <c r="J378" s="3" t="s">
        <v>1738</v>
      </c>
      <c r="K378" s="3" t="s">
        <v>1482</v>
      </c>
      <c r="L378" s="4">
        <f>IF(OR(TRIM(I378)="",TRIM(K378)=""),"",IFERROR((VALUE(LEFT(TRIM(I378),4))-VALUE(LEFT(TRIM(K378),4)))*12+VALUE(MID(TRIM(I378),6,2))-VALUE(MID(TRIM(K378),6,2)),""))</f>
        <v>1</v>
      </c>
      <c r="M378" s="3" t="str">
        <f>IF(TRIM(H378)="","",IFERROR(LOOKUP(2,1/(ISNUMBER(SEARCH('منطق دسته‌بندی'!$A$2:$A$187,H378))),'منطق دسته‌بندی'!$B$2:$B$187),"سایر (نیازمند بررسی دستی)"))</f>
        <v>کسری اقلام بسته‌بندی</v>
      </c>
      <c r="N378" s="3" t="s">
        <v>1657</v>
      </c>
      <c r="O378" s="3"/>
    </row>
    <row r="379" spans="1:15" ht="30" customHeight="1">
      <c r="A379" s="3">
        <v>810006364</v>
      </c>
      <c r="B379" s="5" t="s">
        <v>2006</v>
      </c>
      <c r="C379" s="5" t="s">
        <v>2007</v>
      </c>
      <c r="D379" s="3" t="s">
        <v>1402</v>
      </c>
      <c r="E379" s="3" t="s">
        <v>1372</v>
      </c>
      <c r="F379" s="3" t="s">
        <v>1746</v>
      </c>
      <c r="G379" s="3" t="s">
        <v>1722</v>
      </c>
      <c r="H379" s="3" t="s">
        <v>792</v>
      </c>
      <c r="I379" s="3" t="s">
        <v>1468</v>
      </c>
      <c r="J379" s="3" t="s">
        <v>1747</v>
      </c>
      <c r="K379" s="3"/>
      <c r="L379" s="4" t="str">
        <f>IF(OR(TRIM(I379)="",TRIM(K379)=""),"",IFERROR((VALUE(LEFT(TRIM(I379),4))-VALUE(LEFT(TRIM(K379),4)))*12+VALUE(MID(TRIM(I379),6,2))-VALUE(MID(TRIM(K379),6,2)),""))</f>
        <v/>
      </c>
      <c r="M379" s="3" t="str">
        <f>IF(TRIM(H379)="","",IFERROR(LOOKUP(2,1/(ISNUMBER(SEARCH('منطق دسته‌بندی'!$A$2:$A$187,H379))),'منطق دسته‌بندی'!$B$2:$B$187),"سایر (نیازمند بررسی دستی)"))</f>
        <v>خرابی - لامپ/LED داخلی (تعویض)</v>
      </c>
      <c r="N379" s="3" t="s">
        <v>1140</v>
      </c>
      <c r="O379" s="3"/>
    </row>
    <row r="380" spans="1:15" ht="30">
      <c r="A380" s="3">
        <v>210021761</v>
      </c>
      <c r="B380" s="5" t="s">
        <v>2006</v>
      </c>
      <c r="C380" s="5" t="s">
        <v>2007</v>
      </c>
      <c r="D380" s="3" t="s">
        <v>1402</v>
      </c>
      <c r="E380" s="3" t="s">
        <v>1764</v>
      </c>
      <c r="F380" s="3" t="s">
        <v>1765</v>
      </c>
      <c r="G380" s="3" t="s">
        <v>1634</v>
      </c>
      <c r="H380" s="3" t="s">
        <v>1766</v>
      </c>
      <c r="I380" s="3" t="s">
        <v>1468</v>
      </c>
      <c r="J380" s="3" t="s">
        <v>745</v>
      </c>
      <c r="K380" s="3"/>
      <c r="L380" s="4" t="str">
        <f>IF(OR(TRIM(I380)="",TRIM(K380)=""),"",IFERROR((VALUE(LEFT(TRIM(I380),4))-VALUE(LEFT(TRIM(K380),4)))*12+VALUE(MID(TRIM(I380),6,2))-VALUE(MID(TRIM(K380),6,2)),""))</f>
        <v/>
      </c>
      <c r="M380" s="3" t="str">
        <f>IF(TRIM(H380)="","",IFERROR(LOOKUP(2,1/(ISNUMBER(SEARCH('منطق دسته‌بندی'!$A$2:$A$187,H380))),'منطق دسته‌بندی'!$B$2:$B$187),"سایر (نیازمند بررسی دستی)"))</f>
        <v>بالانسور/اتصالات - تنظیم</v>
      </c>
      <c r="N380" s="3" t="s">
        <v>1428</v>
      </c>
      <c r="O380" s="3"/>
    </row>
    <row r="381" spans="1:15" ht="30" customHeight="1">
      <c r="A381" s="3">
        <v>130010751</v>
      </c>
      <c r="B381" s="5" t="s">
        <v>2006</v>
      </c>
      <c r="C381" s="5" t="s">
        <v>2007</v>
      </c>
      <c r="D381" s="3" t="s">
        <v>127</v>
      </c>
      <c r="E381" s="3" t="s">
        <v>128</v>
      </c>
      <c r="F381" s="3" t="s">
        <v>1517</v>
      </c>
      <c r="G381" s="3" t="s">
        <v>1518</v>
      </c>
      <c r="H381" s="3" t="s">
        <v>1519</v>
      </c>
      <c r="I381" s="3" t="s">
        <v>1520</v>
      </c>
      <c r="J381" s="3" t="s">
        <v>151</v>
      </c>
      <c r="K381" s="3" t="s">
        <v>1521</v>
      </c>
      <c r="L381" s="4">
        <f>IF(OR(TRIM(I381)="",TRIM(K381)=""),"",IFERROR((VALUE(LEFT(TRIM(I381),4))-VALUE(LEFT(TRIM(K381),4)))*12+VALUE(MID(TRIM(I381),6,2))-VALUE(MID(TRIM(K381),6,2)),""))</f>
        <v>18</v>
      </c>
      <c r="M381" s="3" t="str">
        <f>IF(TRIM(H381)="","",IFERROR(LOOKUP(2,1/(ISNUMBER(SEARCH('منطق دسته‌بندی'!$A$2:$A$187,H381))),'منطق دسته‌بندی'!$B$2:$B$187),"سایر (نیازمند بررسی دستی)"))</f>
        <v>یخساز - کاور (تعویض)</v>
      </c>
      <c r="N381" s="3" t="s">
        <v>1522</v>
      </c>
      <c r="O381" s="3"/>
    </row>
    <row r="382" spans="1:15" ht="90" customHeight="1">
      <c r="A382" s="3">
        <v>510024998</v>
      </c>
      <c r="B382" s="5" t="s">
        <v>2006</v>
      </c>
      <c r="C382" s="5" t="s">
        <v>2007</v>
      </c>
      <c r="D382" s="3" t="s">
        <v>127</v>
      </c>
      <c r="E382" s="3" t="s">
        <v>128</v>
      </c>
      <c r="F382" s="3" t="s">
        <v>930</v>
      </c>
      <c r="G382" s="3" t="s">
        <v>1546</v>
      </c>
      <c r="H382" s="3" t="s">
        <v>1463</v>
      </c>
      <c r="I382" s="3" t="s">
        <v>1520</v>
      </c>
      <c r="J382" s="3" t="s">
        <v>932</v>
      </c>
      <c r="K382" s="3" t="s">
        <v>313</v>
      </c>
      <c r="L382" s="4">
        <f>IF(OR(TRIM(I382)="",TRIM(K382)=""),"",IFERROR((VALUE(LEFT(TRIM(I382),4))-VALUE(LEFT(TRIM(K382),4)))*12+VALUE(MID(TRIM(I382),6,2))-VALUE(MID(TRIM(K382),6,2)),""))</f>
        <v>6</v>
      </c>
      <c r="M382" s="3" t="str">
        <f>IF(TRIM(H382)="","",IFERROR(LOOKUP(2,1/(ISNUMBER(SEARCH('منطق دسته‌بندی'!$A$2:$A$187,H382))),'منطق دسته‌بندی'!$B$2:$B$187),"سایر (نیازمند بررسی دستی)"))</f>
        <v>خرابی - شیربرقی (تعویض)</v>
      </c>
      <c r="N382" s="3" t="s">
        <v>1466</v>
      </c>
      <c r="O382" s="3"/>
    </row>
    <row r="383" spans="1:15" ht="30" customHeight="1">
      <c r="A383" s="3">
        <v>510025066</v>
      </c>
      <c r="B383" s="5" t="s">
        <v>2006</v>
      </c>
      <c r="C383" s="5" t="s">
        <v>2007</v>
      </c>
      <c r="D383" s="3" t="s">
        <v>59</v>
      </c>
      <c r="E383" s="3" t="s">
        <v>1636</v>
      </c>
      <c r="F383" s="3" t="s">
        <v>1637</v>
      </c>
      <c r="G383" s="3" t="s">
        <v>1538</v>
      </c>
      <c r="H383" s="3" t="s">
        <v>1539</v>
      </c>
      <c r="I383" s="3" t="s">
        <v>1520</v>
      </c>
      <c r="J383" s="3" t="s">
        <v>1631</v>
      </c>
      <c r="K383" s="3"/>
      <c r="L383" s="4" t="str">
        <f>IF(OR(TRIM(I383)="",TRIM(K383)=""),"",IFERROR((VALUE(LEFT(TRIM(I383),4))-VALUE(LEFT(TRIM(K383),4)))*12+VALUE(MID(TRIM(I383),6,2))-VALUE(MID(TRIM(K383),6,2)),""))</f>
        <v/>
      </c>
      <c r="M383" s="3" t="str">
        <f>IF(TRIM(H383)="","",IFERROR(LOOKUP(2,1/(ISNUMBER(SEARCH('منطق دسته‌بندی'!$A$2:$A$187,H383))),'منطق دسته‌بندی'!$B$2:$B$187),"سایر (نیازمند بررسی دستی)"))</f>
        <v>خرابی - برد الکترونیک (تعویض)</v>
      </c>
      <c r="N383" s="3" t="s">
        <v>1638</v>
      </c>
      <c r="O383" s="3"/>
    </row>
    <row r="384" spans="1:15" ht="45" customHeight="1">
      <c r="A384" s="3">
        <v>210021875</v>
      </c>
      <c r="B384" s="5" t="s">
        <v>2006</v>
      </c>
      <c r="C384" s="5" t="s">
        <v>2007</v>
      </c>
      <c r="D384" s="3" t="s">
        <v>1402</v>
      </c>
      <c r="E384" s="3" t="s">
        <v>1145</v>
      </c>
      <c r="F384" s="3" t="s">
        <v>1633</v>
      </c>
      <c r="G384" s="3" t="s">
        <v>1634</v>
      </c>
      <c r="H384" s="3" t="s">
        <v>1635</v>
      </c>
      <c r="I384" s="3" t="s">
        <v>1520</v>
      </c>
      <c r="J384" s="3" t="s">
        <v>543</v>
      </c>
      <c r="K384" s="3" t="s">
        <v>830</v>
      </c>
      <c r="L384" s="4">
        <f>IF(OR(TRIM(I384)="",TRIM(K384)=""),"",IFERROR((VALUE(LEFT(TRIM(I384),4))-VALUE(LEFT(TRIM(K384),4)))*12+VALUE(MID(TRIM(I384),6,2))-VALUE(MID(TRIM(K384),6,2)),""))</f>
        <v>10</v>
      </c>
      <c r="M384" s="3" t="str">
        <f>IF(TRIM(H384)="","",IFERROR(LOOKUP(2,1/(ISNUMBER(SEARCH('منطق دسته‌بندی'!$A$2:$A$187,H384))),'منطق دسته‌بندی'!$B$2:$B$187),"سایر (نیازمند بررسی دستی)"))</f>
        <v>خرابی - پمپ تخلیه (تعویض)</v>
      </c>
      <c r="N384" s="3" t="s">
        <v>1573</v>
      </c>
      <c r="O384" s="3"/>
    </row>
    <row r="385" spans="1:15" ht="30" customHeight="1">
      <c r="A385" s="3">
        <v>310009423</v>
      </c>
      <c r="B385" s="5" t="s">
        <v>2006</v>
      </c>
      <c r="C385" s="5" t="s">
        <v>2007</v>
      </c>
      <c r="D385" s="3" t="s">
        <v>1402</v>
      </c>
      <c r="E385" s="3" t="s">
        <v>1149</v>
      </c>
      <c r="F385" s="3" t="s">
        <v>1741</v>
      </c>
      <c r="G385" s="3" t="s">
        <v>1722</v>
      </c>
      <c r="H385" s="3" t="s">
        <v>1723</v>
      </c>
      <c r="I385" s="3" t="s">
        <v>1520</v>
      </c>
      <c r="J385" s="3" t="s">
        <v>580</v>
      </c>
      <c r="K385" s="3" t="s">
        <v>1520</v>
      </c>
      <c r="L385" s="4">
        <f>IF(OR(TRIM(I385)="",TRIM(K385)=""),"",IFERROR((VALUE(LEFT(TRIM(I385),4))-VALUE(LEFT(TRIM(K385),4)))*12+VALUE(MID(TRIM(I385),6,2))-VALUE(MID(TRIM(K385),6,2)),""))</f>
        <v>0</v>
      </c>
      <c r="M385" s="3" t="str">
        <f>IF(TRIM(H385)="","",IFERROR(LOOKUP(2,1/(ISNUMBER(SEARCH('منطق دسته‌بندی'!$A$2:$A$187,H385))),'منطق دسته‌بندی'!$B$2:$B$187),"سایر (نیازمند بررسی دستی)"))</f>
        <v>کسری اقلام بسته‌بندی</v>
      </c>
      <c r="N385" s="3" t="s">
        <v>1657</v>
      </c>
      <c r="O385" s="3"/>
    </row>
    <row r="386" spans="1:15" ht="45">
      <c r="A386" s="3">
        <v>100004312</v>
      </c>
      <c r="B386" s="3"/>
      <c r="C386" s="3"/>
      <c r="D386" s="3" t="s">
        <v>108</v>
      </c>
      <c r="E386" s="3" t="s">
        <v>1774</v>
      </c>
      <c r="F386" s="3" t="s">
        <v>1775</v>
      </c>
      <c r="G386" s="3" t="s">
        <v>1722</v>
      </c>
      <c r="H386" s="3" t="s">
        <v>1776</v>
      </c>
      <c r="I386" s="3" t="s">
        <v>1520</v>
      </c>
      <c r="J386" s="3" t="s">
        <v>1777</v>
      </c>
      <c r="K386" s="3"/>
      <c r="L386" s="4" t="str">
        <f>IF(OR(TRIM(I386)="",TRIM(K386)=""),"",IFERROR((VALUE(LEFT(TRIM(I386),4))-VALUE(LEFT(TRIM(K386),4)))*12+VALUE(MID(TRIM(I386),6,2))-VALUE(MID(TRIM(K386),6,2)),""))</f>
        <v/>
      </c>
      <c r="M386" s="3" t="str">
        <f>IF(TRIM(H386)="","",IFERROR(LOOKUP(2,1/(ISNUMBER(SEARCH('منطق دسته‌بندی'!$A$2:$A$187,H386))),'منطق دسته‌بندی'!$B$2:$B$187),"سایر (نیازمند بررسی دستی)"))</f>
        <v>قطعات تزئینی - شکستگی/کسری (تعویض)</v>
      </c>
      <c r="N386" s="3" t="s">
        <v>1778</v>
      </c>
      <c r="O386" s="3"/>
    </row>
    <row r="387" spans="1:15" ht="30" customHeight="1">
      <c r="A387" s="3">
        <v>130010799</v>
      </c>
      <c r="B387" s="5" t="s">
        <v>2006</v>
      </c>
      <c r="C387" s="5" t="s">
        <v>2007</v>
      </c>
      <c r="D387" s="3" t="s">
        <v>1402</v>
      </c>
      <c r="E387" s="3" t="s">
        <v>1409</v>
      </c>
      <c r="F387" s="3" t="s">
        <v>1410</v>
      </c>
      <c r="G387" s="3" t="s">
        <v>1411</v>
      </c>
      <c r="H387" s="3" t="s">
        <v>1412</v>
      </c>
      <c r="I387" s="3" t="s">
        <v>1413</v>
      </c>
      <c r="J387" s="3" t="s">
        <v>1414</v>
      </c>
      <c r="K387" s="3" t="s">
        <v>1415</v>
      </c>
      <c r="L387" s="4">
        <f>IF(OR(TRIM(I387)="",TRIM(K387)=""),"",IFERROR((VALUE(LEFT(TRIM(I387),4))-VALUE(LEFT(TRIM(K387),4)))*12+VALUE(MID(TRIM(I387),6,2))-VALUE(MID(TRIM(K387),6,2)),""))</f>
        <v>24</v>
      </c>
      <c r="M387" s="3" t="str">
        <f>IF(TRIM(H387)="","",IFERROR(LOOKUP(2,1/(ISNUMBER(SEARCH('منطق دسته‌بندی'!$A$2:$A$187,H387))),'منطق دسته‌بندی'!$B$2:$B$187),"سایر (نیازمند بررسی دستی)"))</f>
        <v>خرابی - شیربرقی (تعویض)</v>
      </c>
      <c r="N387" s="3" t="s">
        <v>1416</v>
      </c>
      <c r="O387" s="3"/>
    </row>
    <row r="388" spans="1:15" ht="30" customHeight="1">
      <c r="A388" s="3">
        <v>130010845</v>
      </c>
      <c r="B388" s="5" t="s">
        <v>2006</v>
      </c>
      <c r="C388" s="5" t="s">
        <v>2007</v>
      </c>
      <c r="D388" s="3" t="s">
        <v>1402</v>
      </c>
      <c r="E388" s="3" t="s">
        <v>1192</v>
      </c>
      <c r="F388" s="3" t="s">
        <v>1692</v>
      </c>
      <c r="G388" s="3" t="s">
        <v>1507</v>
      </c>
      <c r="H388" s="3" t="s">
        <v>1476</v>
      </c>
      <c r="I388" s="3" t="s">
        <v>1413</v>
      </c>
      <c r="J388" s="3" t="s">
        <v>1693</v>
      </c>
      <c r="K388" s="3"/>
      <c r="L388" s="4" t="str">
        <f>IF(OR(TRIM(I388)="",TRIM(K388)=""),"",IFERROR((VALUE(LEFT(TRIM(I388),4))-VALUE(LEFT(TRIM(K388),4)))*12+VALUE(MID(TRIM(I388),6,2))-VALUE(MID(TRIM(K388),6,2)),""))</f>
        <v/>
      </c>
      <c r="M388" s="3" t="str">
        <f>IF(TRIM(H388)="","",IFERROR(LOOKUP(2,1/(ISNUMBER(SEARCH('منطق دسته‌بندی'!$A$2:$A$187,H388))),'منطق دسته‌بندی'!$B$2:$B$187),"سایر (نیازمند بررسی دستی)"))</f>
        <v>شیلنگ - برخورد/لهیدگی (بازبینی)</v>
      </c>
      <c r="N388" s="3" t="s">
        <v>1428</v>
      </c>
      <c r="O388" s="3"/>
    </row>
    <row r="389" spans="1:15" ht="30" customHeight="1">
      <c r="A389" s="3">
        <v>210022139</v>
      </c>
      <c r="B389" s="5" t="s">
        <v>2006</v>
      </c>
      <c r="C389" s="5" t="s">
        <v>2007</v>
      </c>
      <c r="D389" s="3" t="s">
        <v>43</v>
      </c>
      <c r="E389" s="3" t="s">
        <v>379</v>
      </c>
      <c r="F389" s="3" t="s">
        <v>1712</v>
      </c>
      <c r="G389" s="3" t="s">
        <v>1484</v>
      </c>
      <c r="H389" s="3" t="s">
        <v>1488</v>
      </c>
      <c r="I389" s="3" t="s">
        <v>1673</v>
      </c>
      <c r="J389" s="3" t="s">
        <v>700</v>
      </c>
      <c r="K389" s="3" t="s">
        <v>1713</v>
      </c>
      <c r="L389" s="4">
        <f>IF(OR(TRIM(I389)="",TRIM(K389)=""),"",IFERROR((VALUE(LEFT(TRIM(I389),4))-VALUE(LEFT(TRIM(K389),4)))*12+VALUE(MID(TRIM(I389),6,2))-VALUE(MID(TRIM(K389),6,2)),""))</f>
        <v>2</v>
      </c>
      <c r="M389" s="3" t="str">
        <f>IF(TRIM(H389)="","",IFERROR(LOOKUP(2,1/(ISNUMBER(SEARCH('منطق دسته‌بندی'!$A$2:$A$187,H389))),'منطق دسته‌بندی'!$B$2:$B$187),"سایر (نیازمند بررسی دستی)"))</f>
        <v>مکانیزم درب - میکروسوئیچ/قلاب (تعویض/تنظیم)</v>
      </c>
      <c r="N389" s="3" t="s">
        <v>1492</v>
      </c>
      <c r="O389" s="3"/>
    </row>
    <row r="390" spans="1:15" ht="30" customHeight="1">
      <c r="A390" s="3">
        <v>510025167</v>
      </c>
      <c r="B390" s="5" t="s">
        <v>2006</v>
      </c>
      <c r="C390" s="5" t="s">
        <v>2007</v>
      </c>
      <c r="D390" s="3" t="s">
        <v>1402</v>
      </c>
      <c r="E390" s="3" t="s">
        <v>1145</v>
      </c>
      <c r="F390" s="3" t="s">
        <v>1672</v>
      </c>
      <c r="G390" s="3" t="s">
        <v>1634</v>
      </c>
      <c r="H390" s="3" t="s">
        <v>1576</v>
      </c>
      <c r="I390" s="3" t="s">
        <v>1673</v>
      </c>
      <c r="J390" s="3" t="s">
        <v>297</v>
      </c>
      <c r="K390" s="3" t="s">
        <v>1674</v>
      </c>
      <c r="L390" s="4">
        <f>IF(OR(TRIM(I390)="",TRIM(K390)=""),"",IFERROR((VALUE(LEFT(TRIM(I390),4))-VALUE(LEFT(TRIM(K390),4)))*12+VALUE(MID(TRIM(I390),6,2))-VALUE(MID(TRIM(K390),6,2)),""))</f>
        <v>2</v>
      </c>
      <c r="M390" s="3" t="str">
        <f>IF(TRIM(H390)="","",IFERROR(LOOKUP(2,1/(ISNUMBER(SEARCH('منطق دسته‌بندی'!$A$2:$A$187,H390))),'منطق دسته‌بندی'!$B$2:$B$187),"سایر (نیازمند بررسی دستی)"))</f>
        <v>سایر (نیازمند بررسی دستی)</v>
      </c>
      <c r="N390" s="3" t="s">
        <v>1428</v>
      </c>
      <c r="O390" s="3"/>
    </row>
    <row r="391" spans="1:15" ht="30" customHeight="1">
      <c r="A391" s="3">
        <v>130010892</v>
      </c>
      <c r="B391" s="5" t="s">
        <v>2006</v>
      </c>
      <c r="C391" s="5" t="s">
        <v>2007</v>
      </c>
      <c r="D391" s="3" t="s">
        <v>127</v>
      </c>
      <c r="E391" s="3" t="s">
        <v>128</v>
      </c>
      <c r="F391" s="3" t="s">
        <v>1552</v>
      </c>
      <c r="G391" s="3" t="s">
        <v>1553</v>
      </c>
      <c r="H391" s="3" t="s">
        <v>1554</v>
      </c>
      <c r="I391" s="3" t="s">
        <v>1513</v>
      </c>
      <c r="J391" s="3" t="s">
        <v>899</v>
      </c>
      <c r="K391" s="3" t="s">
        <v>1555</v>
      </c>
      <c r="L391" s="4">
        <f>IF(OR(TRIM(I391)="",TRIM(K391)=""),"",IFERROR((VALUE(LEFT(TRIM(I391),4))-VALUE(LEFT(TRIM(K391),4)))*12+VALUE(MID(TRIM(I391),6,2))-VALUE(MID(TRIM(K391),6,2)),""))</f>
        <v>15</v>
      </c>
      <c r="M391" s="3" t="str">
        <f>IF(TRIM(H391)="","",IFERROR(LOOKUP(2,1/(ISNUMBER(SEARCH('منطق دسته‌بندی'!$A$2:$A$187,H391))),'منطق دسته‌بندی'!$B$2:$B$187),"سایر (نیازمند بررسی دستی)"))</f>
        <v>سایر اجزای درب (بازبینی)</v>
      </c>
      <c r="N391" s="3" t="s">
        <v>1556</v>
      </c>
      <c r="O391" s="3"/>
    </row>
    <row r="392" spans="1:15" ht="30" customHeight="1">
      <c r="A392" s="3">
        <v>510025194</v>
      </c>
      <c r="B392" s="5" t="s">
        <v>2006</v>
      </c>
      <c r="C392" s="5" t="s">
        <v>2007</v>
      </c>
      <c r="D392" s="3" t="s">
        <v>43</v>
      </c>
      <c r="E392" s="3" t="s">
        <v>1095</v>
      </c>
      <c r="F392" s="3" t="s">
        <v>1511</v>
      </c>
      <c r="G392" s="3" t="s">
        <v>1411</v>
      </c>
      <c r="H392" s="3" t="s">
        <v>1512</v>
      </c>
      <c r="I392" s="3" t="s">
        <v>1513</v>
      </c>
      <c r="J392" s="3" t="s">
        <v>1514</v>
      </c>
      <c r="K392" s="3" t="s">
        <v>1515</v>
      </c>
      <c r="L392" s="4">
        <f>IF(OR(TRIM(I392)="",TRIM(K392)=""),"",IFERROR((VALUE(LEFT(TRIM(I392),4))-VALUE(LEFT(TRIM(K392),4)))*12+VALUE(MID(TRIM(I392),6,2))-VALUE(MID(TRIM(K392),6,2)),""))</f>
        <v>19</v>
      </c>
      <c r="M392" s="3" t="str">
        <f>IF(TRIM(H392)="","",IFERROR(LOOKUP(2,1/(ISNUMBER(SEARCH('منطق دسته‌بندی'!$A$2:$A$187,H392))),'منطق دسته‌بندی'!$B$2:$B$187),"سایر (نیازمند بررسی دستی)"))</f>
        <v>خرابی - برد الکترونیک (تعویض)</v>
      </c>
      <c r="N392" s="3" t="s">
        <v>1516</v>
      </c>
      <c r="O392" s="3"/>
    </row>
    <row r="393" spans="1:15" ht="30" customHeight="1">
      <c r="A393" s="3">
        <v>510025294</v>
      </c>
      <c r="B393" s="5" t="s">
        <v>2006</v>
      </c>
      <c r="C393" s="5" t="s">
        <v>2007</v>
      </c>
      <c r="D393" s="3" t="s">
        <v>127</v>
      </c>
      <c r="E393" s="3" t="s">
        <v>128</v>
      </c>
      <c r="F393" s="3" t="s">
        <v>1506</v>
      </c>
      <c r="G393" s="3" t="s">
        <v>1507</v>
      </c>
      <c r="H393" s="3" t="s">
        <v>1463</v>
      </c>
      <c r="I393" s="3" t="s">
        <v>1508</v>
      </c>
      <c r="J393" s="3" t="s">
        <v>461</v>
      </c>
      <c r="K393" s="3" t="s">
        <v>1509</v>
      </c>
      <c r="L393" s="4">
        <f>IF(OR(TRIM(I393)="",TRIM(K393)=""),"",IFERROR((VALUE(LEFT(TRIM(I393),4))-VALUE(LEFT(TRIM(K393),4)))*12+VALUE(MID(TRIM(I393),6,2))-VALUE(MID(TRIM(K393),6,2)),""))</f>
        <v>6</v>
      </c>
      <c r="M393" s="3" t="str">
        <f>IF(TRIM(H393)="","",IFERROR(LOOKUP(2,1/(ISNUMBER(SEARCH('منطق دسته‌بندی'!$A$2:$A$187,H393))),'منطق دسته‌بندی'!$B$2:$B$187),"سایر (نیازمند بررسی دستی)"))</f>
        <v>خرابی - شیربرقی (تعویض)</v>
      </c>
      <c r="N393" s="3" t="s">
        <v>1510</v>
      </c>
      <c r="O393" s="3"/>
    </row>
    <row r="394" spans="1:15" ht="30" customHeight="1">
      <c r="A394" s="3">
        <v>510025296</v>
      </c>
      <c r="B394" s="5" t="s">
        <v>2006</v>
      </c>
      <c r="C394" s="5" t="s">
        <v>2007</v>
      </c>
      <c r="D394" s="3" t="s">
        <v>43</v>
      </c>
      <c r="E394" s="3" t="s">
        <v>1095</v>
      </c>
      <c r="F394" s="3" t="s">
        <v>1716</v>
      </c>
      <c r="G394" s="3" t="s">
        <v>1484</v>
      </c>
      <c r="H394" s="3" t="s">
        <v>1485</v>
      </c>
      <c r="I394" s="3" t="s">
        <v>1508</v>
      </c>
      <c r="J394" s="3" t="s">
        <v>491</v>
      </c>
      <c r="K394" s="3" t="s">
        <v>1717</v>
      </c>
      <c r="L394" s="4">
        <f>IF(OR(TRIM(I394)="",TRIM(K394)=""),"",IFERROR((VALUE(LEFT(TRIM(I394),4))-VALUE(LEFT(TRIM(K394),4)))*12+VALUE(MID(TRIM(I394),6,2))-VALUE(MID(TRIM(K394),6,2)),""))</f>
        <v>6</v>
      </c>
      <c r="M394" s="3" t="str">
        <f>IF(TRIM(H394)="","",IFERROR(LOOKUP(2,1/(ISNUMBER(SEARCH('منطق دسته‌بندی'!$A$2:$A$187,H394))),'منطق دسته‌بندی'!$B$2:$B$187),"سایر (نیازمند بررسی دستی)"))</f>
        <v>سایر اجزای درب (بازبینی)</v>
      </c>
      <c r="N394" s="3" t="s">
        <v>1428</v>
      </c>
      <c r="O394" s="3"/>
    </row>
    <row r="395" spans="1:15" ht="30" customHeight="1">
      <c r="A395" s="3">
        <v>810006307</v>
      </c>
      <c r="B395" s="5" t="s">
        <v>2006</v>
      </c>
      <c r="C395" s="5" t="s">
        <v>2007</v>
      </c>
      <c r="D395" s="3" t="s">
        <v>43</v>
      </c>
      <c r="E395" s="3" t="s">
        <v>379</v>
      </c>
      <c r="F395" s="3" t="s">
        <v>1707</v>
      </c>
      <c r="G395" s="3" t="s">
        <v>1507</v>
      </c>
      <c r="H395" s="3" t="s">
        <v>1524</v>
      </c>
      <c r="I395" s="3" t="s">
        <v>1613</v>
      </c>
      <c r="J395" s="3" t="s">
        <v>529</v>
      </c>
      <c r="K395" s="3" t="s">
        <v>1050</v>
      </c>
      <c r="L395" s="4">
        <f>IF(OR(TRIM(I395)="",TRIM(K395)=""),"",IFERROR((VALUE(LEFT(TRIM(I395),4))-VALUE(LEFT(TRIM(K395),4)))*12+VALUE(MID(TRIM(I395),6,2))-VALUE(MID(TRIM(K395),6,2)),""))</f>
        <v>3</v>
      </c>
      <c r="M395" s="3" t="str">
        <f>IF(TRIM(H395)="","",IFERROR(LOOKUP(2,1/(ISNUMBER(SEARCH('منطق دسته‌بندی'!$A$2:$A$187,H395))),'منطق دسته‌بندی'!$B$2:$B$187),"سایر (نیازمند بررسی دستی)"))</f>
        <v>خرابی - پمپ تخلیه (تعویض)</v>
      </c>
      <c r="N395" s="3" t="s">
        <v>1526</v>
      </c>
      <c r="O395" s="3"/>
    </row>
    <row r="396" spans="1:15" ht="90">
      <c r="A396" s="3">
        <v>710005306</v>
      </c>
      <c r="B396" s="5" t="s">
        <v>2006</v>
      </c>
      <c r="C396" s="5" t="s">
        <v>2007</v>
      </c>
      <c r="D396" s="3" t="s">
        <v>1402</v>
      </c>
      <c r="E396" s="3" t="s">
        <v>1145</v>
      </c>
      <c r="F396" s="3" t="s">
        <v>1610</v>
      </c>
      <c r="G396" s="3" t="s">
        <v>1611</v>
      </c>
      <c r="H396" s="3" t="s">
        <v>1612</v>
      </c>
      <c r="I396" s="3" t="s">
        <v>1613</v>
      </c>
      <c r="J396" s="3" t="s">
        <v>229</v>
      </c>
      <c r="K396" s="3"/>
      <c r="L396" s="4" t="str">
        <f>IF(OR(TRIM(I396)="",TRIM(K396)=""),"",IFERROR((VALUE(LEFT(TRIM(I396),4))-VALUE(LEFT(TRIM(K396),4)))*12+VALUE(MID(TRIM(I396),6,2))-VALUE(MID(TRIM(K396),6,2)),""))</f>
        <v/>
      </c>
      <c r="M396" s="3" t="str">
        <f>IF(TRIM(H396)="","",IFERROR(LOOKUP(2,1/(ISNUMBER(SEARCH('منطق دسته‌بندی'!$A$2:$A$187,H396))),'منطق دسته‌بندی'!$B$2:$B$187),"سایر (نیازمند بررسی دستی)"))</f>
        <v>خرابی - سایر ایراد درام (تعویض)</v>
      </c>
      <c r="N396" s="3" t="s">
        <v>1614</v>
      </c>
      <c r="O396" s="3"/>
    </row>
    <row r="397" spans="1:15" ht="30" customHeight="1">
      <c r="A397" s="3">
        <v>510026231</v>
      </c>
      <c r="B397" s="5" t="s">
        <v>2006</v>
      </c>
      <c r="C397" s="5" t="s">
        <v>2007</v>
      </c>
      <c r="D397" s="3" t="s">
        <v>43</v>
      </c>
      <c r="E397" s="3" t="s">
        <v>1731</v>
      </c>
      <c r="F397" s="3" t="s">
        <v>1732</v>
      </c>
      <c r="G397" s="3" t="s">
        <v>1733</v>
      </c>
      <c r="H397" s="3" t="s">
        <v>1734</v>
      </c>
      <c r="I397" s="3" t="s">
        <v>1613</v>
      </c>
      <c r="J397" s="3" t="s">
        <v>1735</v>
      </c>
      <c r="K397" s="3" t="s">
        <v>1613</v>
      </c>
      <c r="L397" s="4">
        <f>IF(OR(TRIM(I397)="",TRIM(K397)=""),"",IFERROR((VALUE(LEFT(TRIM(I397),4))-VALUE(LEFT(TRIM(K397),4)))*12+VALUE(MID(TRIM(I397),6,2))-VALUE(MID(TRIM(K397),6,2)),""))</f>
        <v>0</v>
      </c>
      <c r="M397" s="3" t="str">
        <f>IF(TRIM(H397)="","",IFERROR(LOOKUP(2,1/(ISNUMBER(SEARCH('منطق دسته‌بندی'!$A$2:$A$187,H397))),'منطق دسته‌بندی'!$B$2:$B$187),"سایر (نیازمند بررسی دستی)"))</f>
        <v>جلوپایی/پایه (کسری/شکستگی)</v>
      </c>
      <c r="N397" s="3" t="s">
        <v>1736</v>
      </c>
      <c r="O397" s="3"/>
    </row>
    <row r="398" spans="1:15" ht="30" customHeight="1">
      <c r="A398" s="3">
        <v>810006362</v>
      </c>
      <c r="B398" s="5" t="s">
        <v>2006</v>
      </c>
      <c r="C398" s="5" t="s">
        <v>2007</v>
      </c>
      <c r="D398" s="3" t="s">
        <v>1402</v>
      </c>
      <c r="E398" s="3" t="s">
        <v>1750</v>
      </c>
      <c r="F398" s="3" t="s">
        <v>1753</v>
      </c>
      <c r="G398" s="3" t="s">
        <v>1722</v>
      </c>
      <c r="H398" s="3" t="s">
        <v>1723</v>
      </c>
      <c r="I398" s="3" t="s">
        <v>1601</v>
      </c>
      <c r="J398" s="3" t="s">
        <v>960</v>
      </c>
      <c r="K398" s="3" t="s">
        <v>1520</v>
      </c>
      <c r="L398" s="4">
        <f>IF(OR(TRIM(I398)="",TRIM(K398)=""),"",IFERROR((VALUE(LEFT(TRIM(I398),4))-VALUE(LEFT(TRIM(K398),4)))*12+VALUE(MID(TRIM(I398),6,2))-VALUE(MID(TRIM(K398),6,2)),""))</f>
        <v>0</v>
      </c>
      <c r="M398" s="3" t="str">
        <f>IF(TRIM(H398)="","",IFERROR(LOOKUP(2,1/(ISNUMBER(SEARCH('منطق دسته‌بندی'!$A$2:$A$187,H398))),'منطق دسته‌بندی'!$B$2:$B$187),"سایر (نیازمند بررسی دستی)"))</f>
        <v>کسری اقلام بسته‌بندی</v>
      </c>
      <c r="N398" s="3" t="s">
        <v>1657</v>
      </c>
      <c r="O398" s="3"/>
    </row>
    <row r="399" spans="1:15" ht="30" customHeight="1">
      <c r="A399" s="3">
        <v>130011130</v>
      </c>
      <c r="B399" s="5" t="s">
        <v>2006</v>
      </c>
      <c r="C399" s="5" t="s">
        <v>2007</v>
      </c>
      <c r="D399" s="3" t="s">
        <v>1402</v>
      </c>
      <c r="E399" s="3" t="s">
        <v>1372</v>
      </c>
      <c r="F399" s="3" t="s">
        <v>1760</v>
      </c>
      <c r="G399" s="3" t="s">
        <v>1634</v>
      </c>
      <c r="H399" s="3" t="s">
        <v>1576</v>
      </c>
      <c r="I399" s="3" t="s">
        <v>1601</v>
      </c>
      <c r="J399" s="3" t="s">
        <v>808</v>
      </c>
      <c r="K399" s="3" t="s">
        <v>1520</v>
      </c>
      <c r="L399" s="4">
        <f>IF(OR(TRIM(I399)="",TRIM(K399)=""),"",IFERROR((VALUE(LEFT(TRIM(I399),4))-VALUE(LEFT(TRIM(K399),4)))*12+VALUE(MID(TRIM(I399),6,2))-VALUE(MID(TRIM(K399),6,2)),""))</f>
        <v>0</v>
      </c>
      <c r="M399" s="3" t="str">
        <f>IF(TRIM(H399)="","",IFERROR(LOOKUP(2,1/(ISNUMBER(SEARCH('منطق دسته‌بندی'!$A$2:$A$187,H399))),'منطق دسته‌بندی'!$B$2:$B$187),"سایر (نیازمند بررسی دستی)"))</f>
        <v>سایر (نیازمند بررسی دستی)</v>
      </c>
      <c r="N399" s="3" t="s">
        <v>1428</v>
      </c>
      <c r="O399" s="3"/>
    </row>
    <row r="400" spans="1:15" ht="30" customHeight="1">
      <c r="A400" s="3">
        <v>810006386</v>
      </c>
      <c r="B400" s="5" t="s">
        <v>2006</v>
      </c>
      <c r="C400" s="5" t="s">
        <v>2007</v>
      </c>
      <c r="D400" s="3" t="s">
        <v>43</v>
      </c>
      <c r="E400" s="3" t="s">
        <v>1354</v>
      </c>
      <c r="F400" s="3" t="s">
        <v>1600</v>
      </c>
      <c r="G400" s="3" t="s">
        <v>1487</v>
      </c>
      <c r="H400" s="3" t="s">
        <v>1488</v>
      </c>
      <c r="I400" s="3" t="s">
        <v>1601</v>
      </c>
      <c r="J400" s="3" t="s">
        <v>1108</v>
      </c>
      <c r="K400" s="3" t="s">
        <v>1468</v>
      </c>
      <c r="L400" s="4">
        <f>IF(OR(TRIM(I400)="",TRIM(K400)=""),"",IFERROR((VALUE(LEFT(TRIM(I400),4))-VALUE(LEFT(TRIM(K400),4)))*12+VALUE(MID(TRIM(I400),6,2))-VALUE(MID(TRIM(K400),6,2)),""))</f>
        <v>0</v>
      </c>
      <c r="M400" s="3" t="str">
        <f>IF(TRIM(H400)="","",IFERROR(LOOKUP(2,1/(ISNUMBER(SEARCH('منطق دسته‌بندی'!$A$2:$A$187,H400))),'منطق دسته‌بندی'!$B$2:$B$187),"سایر (نیازمند بررسی دستی)"))</f>
        <v>مکانیزم درب - میکروسوئیچ/قلاب (تعویض/تنظیم)</v>
      </c>
      <c r="N400" s="3" t="s">
        <v>1492</v>
      </c>
      <c r="O400" s="3"/>
    </row>
    <row r="401" spans="1:15" ht="45" customHeight="1">
      <c r="A401" s="3">
        <v>130011166</v>
      </c>
      <c r="B401" s="5" t="s">
        <v>2006</v>
      </c>
      <c r="C401" s="5" t="s">
        <v>2007</v>
      </c>
      <c r="D401" s="3" t="s">
        <v>43</v>
      </c>
      <c r="E401" s="3" t="s">
        <v>1095</v>
      </c>
      <c r="F401" s="3" t="s">
        <v>1621</v>
      </c>
      <c r="G401" s="3" t="s">
        <v>1507</v>
      </c>
      <c r="H401" s="3" t="s">
        <v>1622</v>
      </c>
      <c r="I401" s="3" t="s">
        <v>1601</v>
      </c>
      <c r="J401" s="3" t="s">
        <v>1555</v>
      </c>
      <c r="K401" s="3" t="s">
        <v>1613</v>
      </c>
      <c r="L401" s="4">
        <f>IF(OR(TRIM(I401)="",TRIM(K401)=""),"",IFERROR((VALUE(LEFT(TRIM(I401),4))-VALUE(LEFT(TRIM(K401),4)))*12+VALUE(MID(TRIM(I401),6,2))-VALUE(MID(TRIM(K401),6,2)),""))</f>
        <v>0</v>
      </c>
      <c r="M401" s="3" t="str">
        <f>IF(TRIM(H401)="","",IFERROR(LOOKUP(2,1/(ISNUMBER(SEARCH('منطق دسته‌بندی'!$A$2:$A$187,H401))),'منطق دسته‌بندی'!$B$2:$B$187),"سایر (نیازمند بررسی دستی)"))</f>
        <v>نشتی - شیلنگ (تعمیر/آب‌بندی)</v>
      </c>
      <c r="N401" s="3" t="s">
        <v>1623</v>
      </c>
      <c r="O401" s="3"/>
    </row>
    <row r="402" spans="1:15" ht="30" customHeight="1">
      <c r="A402" s="3">
        <v>210023168</v>
      </c>
      <c r="B402" s="5" t="s">
        <v>2006</v>
      </c>
      <c r="C402" s="5" t="s">
        <v>2007</v>
      </c>
      <c r="D402" s="3" t="s">
        <v>127</v>
      </c>
      <c r="E402" s="3" t="s">
        <v>128</v>
      </c>
      <c r="F402" s="3" t="s">
        <v>1434</v>
      </c>
      <c r="G402" s="3" t="s">
        <v>1435</v>
      </c>
      <c r="H402" s="3" t="s">
        <v>1436</v>
      </c>
      <c r="I402" s="3" t="s">
        <v>1437</v>
      </c>
      <c r="J402" s="3" t="s">
        <v>1438</v>
      </c>
      <c r="K402" s="3"/>
      <c r="L402" s="4" t="str">
        <f>IF(OR(TRIM(I402)="",TRIM(K402)=""),"",IFERROR((VALUE(LEFT(TRIM(I402),4))-VALUE(LEFT(TRIM(K402),4)))*12+VALUE(MID(TRIM(I402),6,2))-VALUE(MID(TRIM(K402),6,2)),""))</f>
        <v/>
      </c>
      <c r="M402" s="3" t="str">
        <f>IF(TRIM(H402)="","",IFERROR(LOOKUP(2,1/(ISNUMBER(SEARCH('منطق دسته‌بندی'!$A$2:$A$187,H402))),'منطق دسته‌بندی'!$B$2:$B$187),"سایر (نیازمند بررسی دستی)"))</f>
        <v>قطعات تزئینی - شکستگی/کسری (تعویض)</v>
      </c>
      <c r="N402" s="3" t="s">
        <v>1439</v>
      </c>
      <c r="O402" s="3"/>
    </row>
    <row r="403" spans="1:15" ht="30" customHeight="1">
      <c r="A403" s="3">
        <v>210023847</v>
      </c>
      <c r="B403" s="5" t="s">
        <v>2006</v>
      </c>
      <c r="C403" s="5" t="s">
        <v>2007</v>
      </c>
      <c r="D403" s="3" t="s">
        <v>59</v>
      </c>
      <c r="E403" s="3" t="s">
        <v>1639</v>
      </c>
      <c r="F403" s="3" t="s">
        <v>1640</v>
      </c>
      <c r="G403" s="3" t="s">
        <v>1641</v>
      </c>
      <c r="H403" s="3" t="s">
        <v>1539</v>
      </c>
      <c r="I403" s="3" t="s">
        <v>1437</v>
      </c>
      <c r="J403" s="3" t="s">
        <v>1396</v>
      </c>
      <c r="K403" s="3" t="s">
        <v>416</v>
      </c>
      <c r="L403" s="4">
        <f>IF(OR(TRIM(I403)="",TRIM(K403)=""),"",IFERROR((VALUE(LEFT(TRIM(I403),4))-VALUE(LEFT(TRIM(K403),4)))*12+VALUE(MID(TRIM(I403),6,2))-VALUE(MID(TRIM(K403),6,2)),""))</f>
        <v>13</v>
      </c>
      <c r="M403" s="3" t="str">
        <f>IF(TRIM(H403)="","",IFERROR(LOOKUP(2,1/(ISNUMBER(SEARCH('منطق دسته‌بندی'!$A$2:$A$187,H403))),'منطق دسته‌بندی'!$B$2:$B$187),"سایر (نیازمند بررسی دستی)"))</f>
        <v>خرابی - برد الکترونیک (تعویض)</v>
      </c>
      <c r="N403" s="3" t="s">
        <v>1642</v>
      </c>
      <c r="O403" s="3"/>
    </row>
    <row r="404" spans="1:15" ht="30" customHeight="1">
      <c r="A404" s="3">
        <v>510025542</v>
      </c>
      <c r="B404" s="5" t="s">
        <v>2006</v>
      </c>
      <c r="C404" s="5" t="s">
        <v>2007</v>
      </c>
      <c r="D404" s="3" t="s">
        <v>43</v>
      </c>
      <c r="E404" s="3" t="s">
        <v>1155</v>
      </c>
      <c r="F404" s="3" t="s">
        <v>1743</v>
      </c>
      <c r="G404" s="3" t="s">
        <v>1744</v>
      </c>
      <c r="H404" s="3" t="s">
        <v>1723</v>
      </c>
      <c r="I404" s="3" t="s">
        <v>1437</v>
      </c>
      <c r="J404" s="3" t="s">
        <v>1745</v>
      </c>
      <c r="K404" s="3" t="s">
        <v>48</v>
      </c>
      <c r="L404" s="4">
        <f>IF(OR(TRIM(I404)="",TRIM(K404)=""),"",IFERROR((VALUE(LEFT(TRIM(I404),4))-VALUE(LEFT(TRIM(K404),4)))*12+VALUE(MID(TRIM(I404),6,2))-VALUE(MID(TRIM(K404),6,2)),""))</f>
        <v>5</v>
      </c>
      <c r="M404" s="3" t="str">
        <f>IF(TRIM(H404)="","",IFERROR(LOOKUP(2,1/(ISNUMBER(SEARCH('منطق دسته‌بندی'!$A$2:$A$187,H404))),'منطق دسته‌بندی'!$B$2:$B$187),"سایر (نیازمند بررسی دستی)"))</f>
        <v>کسری اقلام بسته‌بندی</v>
      </c>
      <c r="N404" s="3" t="s">
        <v>1657</v>
      </c>
      <c r="O404" s="3"/>
    </row>
    <row r="405" spans="1:15" ht="30" customHeight="1">
      <c r="A405" s="3">
        <v>210023074</v>
      </c>
      <c r="B405" s="5" t="s">
        <v>2006</v>
      </c>
      <c r="C405" s="5" t="s">
        <v>2007</v>
      </c>
      <c r="D405" s="3" t="s">
        <v>108</v>
      </c>
      <c r="E405" s="3" t="s">
        <v>884</v>
      </c>
      <c r="F405" s="3" t="s">
        <v>1709</v>
      </c>
      <c r="G405" s="3" t="s">
        <v>1593</v>
      </c>
      <c r="H405" s="3" t="s">
        <v>792</v>
      </c>
      <c r="I405" s="3" t="s">
        <v>1437</v>
      </c>
      <c r="J405" s="3" t="s">
        <v>1710</v>
      </c>
      <c r="K405" s="3" t="s">
        <v>1601</v>
      </c>
      <c r="L405" s="4">
        <f>IF(OR(TRIM(I405)="",TRIM(K405)=""),"",IFERROR((VALUE(LEFT(TRIM(I405),4))-VALUE(LEFT(TRIM(K405),4)))*12+VALUE(MID(TRIM(I405),6,2))-VALUE(MID(TRIM(K405),6,2)),""))</f>
        <v>0</v>
      </c>
      <c r="M405" s="3" t="str">
        <f>IF(TRIM(H405)="","",IFERROR(LOOKUP(2,1/(ISNUMBER(SEARCH('منطق دسته‌بندی'!$A$2:$A$187,H405))),'منطق دسته‌بندی'!$B$2:$B$187),"سایر (نیازمند بررسی دستی)"))</f>
        <v>خرابی - لامپ/LED داخلی (تعویض)</v>
      </c>
      <c r="N405" s="3" t="s">
        <v>1140</v>
      </c>
      <c r="O405" s="3"/>
    </row>
    <row r="406" spans="1:15" ht="30" customHeight="1">
      <c r="A406" s="3">
        <v>210023343</v>
      </c>
      <c r="B406" s="5" t="s">
        <v>2006</v>
      </c>
      <c r="C406" s="5" t="s">
        <v>2007</v>
      </c>
      <c r="D406" s="3" t="s">
        <v>127</v>
      </c>
      <c r="E406" s="3" t="s">
        <v>128</v>
      </c>
      <c r="F406" s="3" t="s">
        <v>1545</v>
      </c>
      <c r="G406" s="3" t="s">
        <v>1546</v>
      </c>
      <c r="H406" s="3" t="s">
        <v>1457</v>
      </c>
      <c r="I406" s="3" t="s">
        <v>1525</v>
      </c>
      <c r="J406" s="3" t="s">
        <v>282</v>
      </c>
      <c r="K406" s="3" t="s">
        <v>866</v>
      </c>
      <c r="L406" s="4">
        <f>IF(OR(TRIM(I406)="",TRIM(K406)=""),"",IFERROR((VALUE(LEFT(TRIM(I406),4))-VALUE(LEFT(TRIM(K406),4)))*12+VALUE(MID(TRIM(I406),6,2))-VALUE(MID(TRIM(K406),6,2)),""))</f>
        <v>12</v>
      </c>
      <c r="M406" s="3" t="str">
        <f>IF(TRIM(H406)="","",IFERROR(LOOKUP(2,1/(ISNUMBER(SEARCH('منطق دسته‌بندی'!$A$2:$A$187,H406))),'منطق دسته‌بندی'!$B$2:$B$187),"سایر (نیازمند بررسی دستی)"))</f>
        <v>یخساز - خرابی موتور (تعویض)</v>
      </c>
      <c r="N406" s="3" t="s">
        <v>1547</v>
      </c>
      <c r="O406" s="3"/>
    </row>
    <row r="407" spans="1:15" ht="30" customHeight="1">
      <c r="A407" s="3">
        <v>810006455</v>
      </c>
      <c r="B407" s="5" t="s">
        <v>2006</v>
      </c>
      <c r="C407" s="5" t="s">
        <v>2007</v>
      </c>
      <c r="D407" s="3" t="s">
        <v>127</v>
      </c>
      <c r="E407" s="3" t="s">
        <v>128</v>
      </c>
      <c r="F407" s="3" t="s">
        <v>1548</v>
      </c>
      <c r="G407" s="3" t="s">
        <v>1467</v>
      </c>
      <c r="H407" s="3" t="s">
        <v>1549</v>
      </c>
      <c r="I407" s="3" t="s">
        <v>1525</v>
      </c>
      <c r="J407" s="3" t="s">
        <v>465</v>
      </c>
      <c r="K407" s="3" t="s">
        <v>1550</v>
      </c>
      <c r="L407" s="4">
        <f>IF(OR(TRIM(I407)="",TRIM(K407)=""),"",IFERROR((VALUE(LEFT(TRIM(I407),4))-VALUE(LEFT(TRIM(K407),4)))*12+VALUE(MID(TRIM(I407),6,2))-VALUE(MID(TRIM(K407),6,2)),""))</f>
        <v>14</v>
      </c>
      <c r="M407" s="3" t="str">
        <f>IF(TRIM(H407)="","",IFERROR(LOOKUP(2,1/(ISNUMBER(SEARCH('منطق دسته‌بندی'!$A$2:$A$187,H407))),'منطق دسته‌بندی'!$B$2:$B$187),"سایر (نیازمند بررسی دستی)"))</f>
        <v>یخساز - تنظیم/عایق (تعمیر)</v>
      </c>
      <c r="N407" s="3" t="s">
        <v>1551</v>
      </c>
      <c r="O407" s="3"/>
    </row>
    <row r="408" spans="1:15" ht="45" customHeight="1">
      <c r="A408" s="3">
        <v>510025644</v>
      </c>
      <c r="B408" s="5" t="s">
        <v>2006</v>
      </c>
      <c r="C408" s="5" t="s">
        <v>2007</v>
      </c>
      <c r="D408" s="3" t="s">
        <v>1402</v>
      </c>
      <c r="E408" s="3" t="s">
        <v>1234</v>
      </c>
      <c r="F408" s="3" t="s">
        <v>1677</v>
      </c>
      <c r="G408" s="3" t="s">
        <v>1678</v>
      </c>
      <c r="H408" s="3" t="s">
        <v>1679</v>
      </c>
      <c r="I408" s="3" t="s">
        <v>1525</v>
      </c>
      <c r="J408" s="3" t="s">
        <v>1680</v>
      </c>
      <c r="K408" s="3" t="s">
        <v>1500</v>
      </c>
      <c r="L408" s="4">
        <f>IF(OR(TRIM(I408)="",TRIM(K408)=""),"",IFERROR((VALUE(LEFT(TRIM(I408),4))-VALUE(LEFT(TRIM(K408),4)))*12+VALUE(MID(TRIM(I408),6,2))-VALUE(MID(TRIM(K408),6,2)),""))</f>
        <v>1</v>
      </c>
      <c r="M408" s="3" t="str">
        <f>IF(TRIM(H408)="","",IFERROR(LOOKUP(2,1/(ISNUMBER(SEARCH('منطق دسته‌بندی'!$A$2:$A$187,H408))),'منطق دسته‌بندی'!$B$2:$B$187),"سایر (نیازمند بررسی دستی)"))</f>
        <v>سیم‌کشی/اتصالات (تعمیر/تنظیم)</v>
      </c>
      <c r="N408" s="3" t="s">
        <v>1428</v>
      </c>
      <c r="O408" s="3"/>
    </row>
    <row r="409" spans="1:15" ht="60">
      <c r="A409" s="3">
        <v>510025595</v>
      </c>
      <c r="B409" s="5" t="s">
        <v>2006</v>
      </c>
      <c r="C409" s="5" t="s">
        <v>2007</v>
      </c>
      <c r="D409" s="3" t="s">
        <v>43</v>
      </c>
      <c r="E409" s="3" t="s">
        <v>1095</v>
      </c>
      <c r="F409" s="3" t="s">
        <v>1523</v>
      </c>
      <c r="G409" s="3" t="s">
        <v>1424</v>
      </c>
      <c r="H409" s="3" t="s">
        <v>1524</v>
      </c>
      <c r="I409" s="3" t="s">
        <v>1525</v>
      </c>
      <c r="J409" s="3" t="s">
        <v>1382</v>
      </c>
      <c r="K409" s="3" t="s">
        <v>1147</v>
      </c>
      <c r="L409" s="4">
        <f>IF(OR(TRIM(I409)="",TRIM(K409)=""),"",IFERROR((VALUE(LEFT(TRIM(I409),4))-VALUE(LEFT(TRIM(K409),4)))*12+VALUE(MID(TRIM(I409),6,2))-VALUE(MID(TRIM(K409),6,2)),""))</f>
        <v>15</v>
      </c>
      <c r="M409" s="3" t="str">
        <f>IF(TRIM(H409)="","",IFERROR(LOOKUP(2,1/(ISNUMBER(SEARCH('منطق دسته‌بندی'!$A$2:$A$187,H409))),'منطق دسته‌بندی'!$B$2:$B$187),"سایر (نیازمند بررسی دستی)"))</f>
        <v>خرابی - پمپ تخلیه (تعویض)</v>
      </c>
      <c r="N409" s="3" t="s">
        <v>1526</v>
      </c>
      <c r="O409" s="3"/>
    </row>
    <row r="410" spans="1:15" ht="30" customHeight="1">
      <c r="A410" s="3">
        <v>100004255</v>
      </c>
      <c r="B410" s="5" t="s">
        <v>2006</v>
      </c>
      <c r="C410" s="5" t="s">
        <v>2007</v>
      </c>
      <c r="D410" s="3" t="s">
        <v>43</v>
      </c>
      <c r="E410" s="3" t="s">
        <v>379</v>
      </c>
      <c r="F410" s="3" t="s">
        <v>1688</v>
      </c>
      <c r="G410" s="3" t="s">
        <v>1689</v>
      </c>
      <c r="H410" s="3" t="s">
        <v>1690</v>
      </c>
      <c r="I410" s="3" t="s">
        <v>1525</v>
      </c>
      <c r="J410" s="3" t="s">
        <v>1449</v>
      </c>
      <c r="K410" s="3" t="s">
        <v>366</v>
      </c>
      <c r="L410" s="4">
        <f>IF(OR(TRIM(I410)="",TRIM(K410)=""),"",IFERROR((VALUE(LEFT(TRIM(I410),4))-VALUE(LEFT(TRIM(K410),4)))*12+VALUE(MID(TRIM(I410),6,2))-VALUE(MID(TRIM(K410),6,2)),""))</f>
        <v>10</v>
      </c>
      <c r="M410" s="3" t="str">
        <f>IF(TRIM(H410)="","",IFERROR(LOOKUP(2,1/(ISNUMBER(SEARCH('منطق دسته‌بندی'!$A$2:$A$187,H410))),'منطق دسته‌بندی'!$B$2:$B$187),"سایر (نیازمند بررسی دستی)"))</f>
        <v>شیلنگ - برخورد/لهیدگی (بازبینی)</v>
      </c>
      <c r="N410" s="3" t="s">
        <v>1428</v>
      </c>
      <c r="O410" s="3"/>
    </row>
    <row r="411" spans="1:15" ht="30" customHeight="1">
      <c r="A411" s="3">
        <v>810006450</v>
      </c>
      <c r="B411" s="5" t="s">
        <v>2006</v>
      </c>
      <c r="C411" s="5" t="s">
        <v>2007</v>
      </c>
      <c r="D411" s="3" t="s">
        <v>43</v>
      </c>
      <c r="E411" s="3" t="s">
        <v>1079</v>
      </c>
      <c r="F411" s="3" t="s">
        <v>1691</v>
      </c>
      <c r="G411" s="3" t="s">
        <v>1603</v>
      </c>
      <c r="H411" s="3" t="s">
        <v>1431</v>
      </c>
      <c r="I411" s="3" t="s">
        <v>1525</v>
      </c>
      <c r="J411" s="3" t="s">
        <v>858</v>
      </c>
      <c r="K411" s="3" t="s">
        <v>1509</v>
      </c>
      <c r="L411" s="4">
        <f>IF(OR(TRIM(I411)="",TRIM(K411)=""),"",IFERROR((VALUE(LEFT(TRIM(I411),4))-VALUE(LEFT(TRIM(K411),4)))*12+VALUE(MID(TRIM(I411),6,2))-VALUE(MID(TRIM(K411),6,2)),""))</f>
        <v>6</v>
      </c>
      <c r="M411" s="3" t="str">
        <f>IF(TRIM(H411)="","",IFERROR(LOOKUP(2,1/(ISNUMBER(SEARCH('منطق دسته‌بندی'!$A$2:$A$187,H411))),'منطق دسته‌بندی'!$B$2:$B$187),"سایر (نیازمند بررسی دستی)"))</f>
        <v>خرابی - پمپ تخلیه (تعویض)</v>
      </c>
      <c r="N411" s="3" t="s">
        <v>1318</v>
      </c>
      <c r="O411" s="3"/>
    </row>
    <row r="412" spans="1:15" ht="45" customHeight="1">
      <c r="A412" s="3">
        <v>510025638</v>
      </c>
      <c r="B412" s="5" t="s">
        <v>2006</v>
      </c>
      <c r="C412" s="5" t="s">
        <v>2007</v>
      </c>
      <c r="D412" s="3" t="s">
        <v>108</v>
      </c>
      <c r="E412" s="3" t="s">
        <v>891</v>
      </c>
      <c r="F412" s="3" t="s">
        <v>1718</v>
      </c>
      <c r="G412" s="3" t="s">
        <v>1598</v>
      </c>
      <c r="H412" s="3" t="s">
        <v>1338</v>
      </c>
      <c r="I412" s="3" t="s">
        <v>1525</v>
      </c>
      <c r="J412" s="3" t="s">
        <v>700</v>
      </c>
      <c r="K412" s="3"/>
      <c r="L412" s="4" t="str">
        <f>IF(OR(TRIM(I412)="",TRIM(K412)=""),"",IFERROR((VALUE(LEFT(TRIM(I412),4))-VALUE(LEFT(TRIM(K412),4)))*12+VALUE(MID(TRIM(I412),6,2))-VALUE(MID(TRIM(K412),6,2)),""))</f>
        <v/>
      </c>
      <c r="M412" s="3" t="str">
        <f>IF(TRIM(H412)="","",IFERROR(LOOKUP(2,1/(ISNUMBER(SEARCH('منطق دسته‌بندی'!$A$2:$A$187,H412))),'منطق دسته‌بندی'!$B$2:$B$187),"سایر (نیازمند بررسی دستی)"))</f>
        <v>کلید فشاری (تعویض/بازبینی)</v>
      </c>
      <c r="N412" s="3" t="s">
        <v>1588</v>
      </c>
      <c r="O412" s="3"/>
    </row>
    <row r="413" spans="1:15" ht="30" customHeight="1">
      <c r="A413" s="3">
        <v>210023216</v>
      </c>
      <c r="B413" s="5" t="s">
        <v>2006</v>
      </c>
      <c r="C413" s="5" t="s">
        <v>2007</v>
      </c>
      <c r="D413" s="3" t="s">
        <v>108</v>
      </c>
      <c r="E413" s="3" t="s">
        <v>1368</v>
      </c>
      <c r="F413" s="3" t="s">
        <v>1779</v>
      </c>
      <c r="G413" s="3" t="s">
        <v>1780</v>
      </c>
      <c r="H413" s="3" t="s">
        <v>1781</v>
      </c>
      <c r="I413" s="3" t="s">
        <v>1525</v>
      </c>
      <c r="J413" s="3" t="s">
        <v>1081</v>
      </c>
      <c r="K413" s="3"/>
      <c r="L413" s="4" t="str">
        <f>IF(OR(TRIM(I413)="",TRIM(K413)=""),"",IFERROR((VALUE(LEFT(TRIM(I413),4))-VALUE(LEFT(TRIM(K413),4)))*12+VALUE(MID(TRIM(I413),6,2))-VALUE(MID(TRIM(K413),6,2)),""))</f>
        <v/>
      </c>
      <c r="M413" s="3" t="str">
        <f>IF(TRIM(H413)="","",IFERROR(LOOKUP(2,1/(ISNUMBER(SEARCH('منطق دسته‌بندی'!$A$2:$A$187,H413))),'منطق دسته‌بندی'!$B$2:$B$187),"سایر (نیازمند بررسی دستی)"))</f>
        <v>سیم‌کشی/اتصالات (تعمیر/تنظیم)</v>
      </c>
      <c r="N413" s="3" t="s">
        <v>1428</v>
      </c>
      <c r="O413" s="3"/>
    </row>
    <row r="414" spans="1:15" ht="60" customHeight="1">
      <c r="A414" s="3">
        <v>810006480</v>
      </c>
      <c r="B414" s="5" t="s">
        <v>2006</v>
      </c>
      <c r="C414" s="5" t="s">
        <v>2007</v>
      </c>
      <c r="D414" s="3" t="s">
        <v>43</v>
      </c>
      <c r="E414" s="3" t="s">
        <v>1095</v>
      </c>
      <c r="F414" s="3" t="s">
        <v>1699</v>
      </c>
      <c r="G414" s="3" t="s">
        <v>1700</v>
      </c>
      <c r="H414" s="3" t="s">
        <v>1701</v>
      </c>
      <c r="I414" s="3" t="s">
        <v>1702</v>
      </c>
      <c r="J414" s="3" t="s">
        <v>420</v>
      </c>
      <c r="K414" s="3"/>
      <c r="L414" s="4" t="str">
        <f>IF(OR(TRIM(I414)="",TRIM(K414)=""),"",IFERROR((VALUE(LEFT(TRIM(I414),4))-VALUE(LEFT(TRIM(K414),4)))*12+VALUE(MID(TRIM(I414),6,2))-VALUE(MID(TRIM(K414),6,2)),""))</f>
        <v/>
      </c>
      <c r="M414" s="3" t="str">
        <f>IF(TRIM(H414)="","",IFERROR(LOOKUP(2,1/(ISNUMBER(SEARCH('منطق دسته‌بندی'!$A$2:$A$187,H414))),'منطق دسته‌بندی'!$B$2:$B$187),"سایر (نیازمند بررسی دستی)"))</f>
        <v>جلوپایی/پایه (کسری/شکستگی)</v>
      </c>
      <c r="N414" s="3" t="s">
        <v>1703</v>
      </c>
      <c r="O414" s="3"/>
    </row>
    <row r="415" spans="1:15" ht="30" customHeight="1">
      <c r="A415" s="3">
        <v>210023624</v>
      </c>
      <c r="B415" s="5" t="s">
        <v>2006</v>
      </c>
      <c r="C415" s="5" t="s">
        <v>2007</v>
      </c>
      <c r="D415" s="3" t="s">
        <v>127</v>
      </c>
      <c r="E415" s="3" t="s">
        <v>128</v>
      </c>
      <c r="F415" s="3" t="s">
        <v>1440</v>
      </c>
      <c r="G415" s="3" t="s">
        <v>1441</v>
      </c>
      <c r="H415" s="3" t="s">
        <v>1442</v>
      </c>
      <c r="I415" s="3" t="s">
        <v>1443</v>
      </c>
      <c r="J415" s="3" t="s">
        <v>1074</v>
      </c>
      <c r="K415" s="3" t="s">
        <v>614</v>
      </c>
      <c r="L415" s="4">
        <f>IF(OR(TRIM(I415)="",TRIM(K415)=""),"",IFERROR((VALUE(LEFT(TRIM(I415),4))-VALUE(LEFT(TRIM(K415),4)))*12+VALUE(MID(TRIM(I415),6,2))-VALUE(MID(TRIM(K415),6,2)),""))</f>
        <v>22</v>
      </c>
      <c r="M415" s="3" t="str">
        <f>IF(TRIM(H415)="","",IFERROR(LOOKUP(2,1/(ISNUMBER(SEARCH('منطق دسته‌بندی'!$A$2:$A$187,H415))),'منطق دسته‌بندی'!$B$2:$B$187),"سایر (نیازمند بررسی دستی)"))</f>
        <v>مکانیزم درب - لولا (تنظیم)</v>
      </c>
      <c r="N415" s="3" t="s">
        <v>1428</v>
      </c>
      <c r="O415" s="3"/>
    </row>
    <row r="416" spans="1:15" ht="60" customHeight="1">
      <c r="A416" s="3">
        <v>510025759</v>
      </c>
      <c r="B416" s="5" t="s">
        <v>2006</v>
      </c>
      <c r="C416" s="5" t="s">
        <v>2007</v>
      </c>
      <c r="D416" s="3" t="s">
        <v>1402</v>
      </c>
      <c r="E416" s="3" t="s">
        <v>519</v>
      </c>
      <c r="F416" s="3" t="s">
        <v>1647</v>
      </c>
      <c r="G416" s="3" t="s">
        <v>1484</v>
      </c>
      <c r="H416" s="3" t="s">
        <v>1406</v>
      </c>
      <c r="I416" s="3" t="s">
        <v>1443</v>
      </c>
      <c r="J416" s="3" t="s">
        <v>1147</v>
      </c>
      <c r="K416" s="3" t="s">
        <v>304</v>
      </c>
      <c r="L416" s="4">
        <f>IF(OR(TRIM(I416)="",TRIM(K416)=""),"",IFERROR((VALUE(LEFT(TRIM(I416),4))-VALUE(LEFT(TRIM(K416),4)))*12+VALUE(MID(TRIM(I416),6,2))-VALUE(MID(TRIM(K416),6,2)),""))</f>
        <v>11</v>
      </c>
      <c r="M416" s="3" t="str">
        <f>IF(TRIM(H416)="","",IFERROR(LOOKUP(2,1/(ISNUMBER(SEARCH('منطق دسته‌بندی'!$A$2:$A$187,H416))),'منطق دسته‌بندی'!$B$2:$B$187),"سایر (نیازمند بررسی دستی)"))</f>
        <v>سایر اجزای درب (بازبینی)</v>
      </c>
      <c r="N416" s="3" t="s">
        <v>1648</v>
      </c>
      <c r="O416" s="3"/>
    </row>
    <row r="417" spans="1:15" ht="60">
      <c r="A417" s="3">
        <v>210023501</v>
      </c>
      <c r="B417" s="5" t="s">
        <v>2006</v>
      </c>
      <c r="C417" s="5" t="s">
        <v>2007</v>
      </c>
      <c r="D417" s="3" t="s">
        <v>43</v>
      </c>
      <c r="E417" s="3" t="s">
        <v>1095</v>
      </c>
      <c r="F417" s="3" t="s">
        <v>1527</v>
      </c>
      <c r="G417" s="3" t="s">
        <v>1528</v>
      </c>
      <c r="H417" s="3" t="s">
        <v>1488</v>
      </c>
      <c r="I417" s="3" t="s">
        <v>1443</v>
      </c>
      <c r="J417" s="3" t="s">
        <v>1382</v>
      </c>
      <c r="K417" s="3"/>
      <c r="L417" s="4" t="str">
        <f>IF(OR(TRIM(I417)="",TRIM(K417)=""),"",IFERROR((VALUE(LEFT(TRIM(I417),4))-VALUE(LEFT(TRIM(K417),4)))*12+VALUE(MID(TRIM(I417),6,2))-VALUE(MID(TRIM(K417),6,2)),""))</f>
        <v/>
      </c>
      <c r="M417" s="3" t="str">
        <f>IF(TRIM(H417)="","",IFERROR(LOOKUP(2,1/(ISNUMBER(SEARCH('منطق دسته‌بندی'!$A$2:$A$187,H417))),'منطق دسته‌بندی'!$B$2:$B$187),"سایر (نیازمند بررسی دستی)"))</f>
        <v>مکانیزم درب - میکروسوئیچ/قلاب (تعویض/تنظیم)</v>
      </c>
      <c r="N417" s="3" t="s">
        <v>1492</v>
      </c>
      <c r="O417" s="3"/>
    </row>
    <row r="418" spans="1:15" ht="60" customHeight="1">
      <c r="A418" s="3">
        <v>210023797</v>
      </c>
      <c r="B418" s="5" t="s">
        <v>2006</v>
      </c>
      <c r="C418" s="5" t="s">
        <v>2007</v>
      </c>
      <c r="D418" s="3" t="s">
        <v>1402</v>
      </c>
      <c r="E418" s="3" t="s">
        <v>1403</v>
      </c>
      <c r="F418" s="3" t="s">
        <v>1404</v>
      </c>
      <c r="G418" s="3" t="s">
        <v>1405</v>
      </c>
      <c r="H418" s="3" t="s">
        <v>1406</v>
      </c>
      <c r="I418" s="3" t="s">
        <v>1407</v>
      </c>
      <c r="J418" s="3" t="s">
        <v>607</v>
      </c>
      <c r="K418" s="3" t="s">
        <v>776</v>
      </c>
      <c r="L418" s="4">
        <f>IF(OR(TRIM(I418)="",TRIM(K418)=""),"",IFERROR((VALUE(LEFT(TRIM(I418),4))-VALUE(LEFT(TRIM(K418),4)))*12+VALUE(MID(TRIM(I418),6,2))-VALUE(MID(TRIM(K418),6,2)),""))</f>
        <v>23</v>
      </c>
      <c r="M418" s="3" t="str">
        <f>IF(TRIM(H418)="","",IFERROR(LOOKUP(2,1/(ISNUMBER(SEARCH('منطق دسته‌بندی'!$A$2:$A$187,H418))),'منطق دسته‌بندی'!$B$2:$B$187),"سایر (نیازمند بررسی دستی)"))</f>
        <v>سایر اجزای درب (بازبینی)</v>
      </c>
      <c r="N418" s="3" t="s">
        <v>1408</v>
      </c>
      <c r="O418" s="3"/>
    </row>
    <row r="419" spans="1:15" ht="30" customHeight="1">
      <c r="A419" s="3">
        <v>510025993</v>
      </c>
      <c r="B419" s="5" t="s">
        <v>2006</v>
      </c>
      <c r="C419" s="5" t="s">
        <v>2007</v>
      </c>
      <c r="D419" s="3" t="s">
        <v>1402</v>
      </c>
      <c r="E419" s="3" t="s">
        <v>1403</v>
      </c>
      <c r="F419" s="3" t="s">
        <v>1570</v>
      </c>
      <c r="G419" s="3" t="s">
        <v>1571</v>
      </c>
      <c r="H419" s="3" t="s">
        <v>1524</v>
      </c>
      <c r="I419" s="3" t="s">
        <v>1407</v>
      </c>
      <c r="J419" s="3" t="s">
        <v>1572</v>
      </c>
      <c r="K419" s="3" t="s">
        <v>252</v>
      </c>
      <c r="L419" s="4">
        <f>IF(OR(TRIM(I419)="",TRIM(K419)=""),"",IFERROR((VALUE(LEFT(TRIM(I419),4))-VALUE(LEFT(TRIM(K419),4)))*12+VALUE(MID(TRIM(I419),6,2))-VALUE(MID(TRIM(K419),6,2)),""))</f>
        <v>5</v>
      </c>
      <c r="M419" s="3" t="str">
        <f>IF(TRIM(H419)="","",IFERROR(LOOKUP(2,1/(ISNUMBER(SEARCH('منطق دسته‌بندی'!$A$2:$A$187,H419))),'منطق دسته‌بندی'!$B$2:$B$187),"سایر (نیازمند بررسی دستی)"))</f>
        <v>خرابی - پمپ تخلیه (تعویض)</v>
      </c>
      <c r="N419" s="3" t="s">
        <v>1573</v>
      </c>
      <c r="O419" s="3"/>
    </row>
    <row r="420" spans="1:15" ht="30" customHeight="1">
      <c r="A420" s="3">
        <v>510025870</v>
      </c>
      <c r="B420" s="5" t="s">
        <v>2006</v>
      </c>
      <c r="C420" s="5" t="s">
        <v>2007</v>
      </c>
      <c r="D420" s="3" t="s">
        <v>43</v>
      </c>
      <c r="E420" s="3" t="s">
        <v>1095</v>
      </c>
      <c r="F420" s="3" t="s">
        <v>1625</v>
      </c>
      <c r="G420" s="3" t="s">
        <v>1411</v>
      </c>
      <c r="H420" s="3" t="s">
        <v>1626</v>
      </c>
      <c r="I420" s="3" t="s">
        <v>1407</v>
      </c>
      <c r="J420" s="3" t="s">
        <v>419</v>
      </c>
      <c r="K420" s="3" t="s">
        <v>1627</v>
      </c>
      <c r="L420" s="4">
        <f>IF(OR(TRIM(I420)="",TRIM(K420)=""),"",IFERROR((VALUE(LEFT(TRIM(I420),4))-VALUE(LEFT(TRIM(K420),4)))*12+VALUE(MID(TRIM(I420),6,2))-VALUE(MID(TRIM(K420),6,2)),""))</f>
        <v>15</v>
      </c>
      <c r="M420" s="3" t="str">
        <f>IF(TRIM(H420)="","",IFERROR(LOOKUP(2,1/(ISNUMBER(SEARCH('منطق دسته‌بندی'!$A$2:$A$187,H420))),'منطق دسته‌بندی'!$B$2:$B$187),"سایر (نیازمند بررسی دستی)"))</f>
        <v>نشتی - شیلنگ (تعمیر/آب‌بندی)</v>
      </c>
      <c r="N420" s="3" t="s">
        <v>1428</v>
      </c>
      <c r="O420" s="3"/>
    </row>
    <row r="421" spans="1:15" ht="30" customHeight="1">
      <c r="A421" s="3">
        <v>210023675</v>
      </c>
      <c r="B421" s="5" t="s">
        <v>2006</v>
      </c>
      <c r="C421" s="5" t="s">
        <v>2007</v>
      </c>
      <c r="D421" s="3" t="s">
        <v>43</v>
      </c>
      <c r="E421" s="3" t="s">
        <v>1095</v>
      </c>
      <c r="F421" s="3" t="s">
        <v>1681</v>
      </c>
      <c r="G421" s="3" t="s">
        <v>1682</v>
      </c>
      <c r="H421" s="3" t="s">
        <v>1683</v>
      </c>
      <c r="I421" s="3" t="s">
        <v>1407</v>
      </c>
      <c r="J421" s="3" t="s">
        <v>833</v>
      </c>
      <c r="K421" s="3" t="s">
        <v>1684</v>
      </c>
      <c r="L421" s="4">
        <f>IF(OR(TRIM(I421)="",TRIM(K421)=""),"",IFERROR((VALUE(LEFT(TRIM(I421),4))-VALUE(LEFT(TRIM(K421),4)))*12+VALUE(MID(TRIM(I421),6,2))-VALUE(MID(TRIM(K421),6,2)),""))</f>
        <v>12</v>
      </c>
      <c r="M421" s="3" t="str">
        <f>IF(TRIM(H421)="","",IFERROR(LOOKUP(2,1/(ISNUMBER(SEARCH('منطق دسته‌بندی'!$A$2:$A$187,H421))),'منطق دسته‌بندی'!$B$2:$B$187),"سایر (نیازمند بررسی دستی)"))</f>
        <v>خرابی - هیدروستات (تعویض)</v>
      </c>
      <c r="N421" s="3" t="s">
        <v>1685</v>
      </c>
      <c r="O421" s="3"/>
    </row>
    <row r="422" spans="1:15" ht="60" customHeight="1">
      <c r="A422" s="3">
        <v>210024769</v>
      </c>
      <c r="B422" s="5" t="s">
        <v>2006</v>
      </c>
      <c r="C422" s="5" t="s">
        <v>2007</v>
      </c>
      <c r="D422" s="3" t="s">
        <v>43</v>
      </c>
      <c r="E422" s="3" t="s">
        <v>1095</v>
      </c>
      <c r="F422" s="3" t="s">
        <v>1694</v>
      </c>
      <c r="G422" s="3" t="s">
        <v>1695</v>
      </c>
      <c r="H422" s="3" t="s">
        <v>1696</v>
      </c>
      <c r="I422" s="3" t="s">
        <v>1407</v>
      </c>
      <c r="J422" s="3" t="s">
        <v>1697</v>
      </c>
      <c r="K422" s="3"/>
      <c r="L422" s="4" t="str">
        <f>IF(OR(TRIM(I422)="",TRIM(K422)=""),"",IFERROR((VALUE(LEFT(TRIM(I422),4))-VALUE(LEFT(TRIM(K422),4)))*12+VALUE(MID(TRIM(I422),6,2))-VALUE(MID(TRIM(K422),6,2)),""))</f>
        <v/>
      </c>
      <c r="M422" s="3" t="str">
        <f>IF(TRIM(H422)="","",IFERROR(LOOKUP(2,1/(ISNUMBER(SEARCH('منطق دسته‌بندی'!$A$2:$A$187,H422))),'منطق دسته‌بندی'!$B$2:$B$187),"سایر (نیازمند بررسی دستی)"))</f>
        <v>کسری مدارک/کارت گارانتی</v>
      </c>
      <c r="N422" s="3" t="s">
        <v>1698</v>
      </c>
      <c r="O422" s="3"/>
    </row>
    <row r="423" spans="1:15" ht="60" customHeight="1">
      <c r="A423" s="3">
        <v>310010278</v>
      </c>
      <c r="B423" s="5" t="s">
        <v>2006</v>
      </c>
      <c r="C423" s="5" t="s">
        <v>2007</v>
      </c>
      <c r="D423" s="3" t="s">
        <v>43</v>
      </c>
      <c r="E423" s="3" t="s">
        <v>1079</v>
      </c>
      <c r="F423" s="3" t="s">
        <v>1714</v>
      </c>
      <c r="G423" s="3" t="s">
        <v>1484</v>
      </c>
      <c r="H423" s="3" t="s">
        <v>1488</v>
      </c>
      <c r="I423" s="3" t="s">
        <v>1407</v>
      </c>
      <c r="J423" s="3" t="s">
        <v>1502</v>
      </c>
      <c r="K423" s="3" t="s">
        <v>1715</v>
      </c>
      <c r="L423" s="4">
        <f>IF(OR(TRIM(I423)="",TRIM(K423)=""),"",IFERROR((VALUE(LEFT(TRIM(I423),4))-VALUE(LEFT(TRIM(K423),4)))*12+VALUE(MID(TRIM(I423),6,2))-VALUE(MID(TRIM(K423),6,2)),""))</f>
        <v>7</v>
      </c>
      <c r="M423" s="3" t="str">
        <f>IF(TRIM(H423)="","",IFERROR(LOOKUP(2,1/(ISNUMBER(SEARCH('منطق دسته‌بندی'!$A$2:$A$187,H423))),'منطق دسته‌بندی'!$B$2:$B$187),"سایر (نیازمند بررسی دستی)"))</f>
        <v>مکانیزم درب - میکروسوئیچ/قلاب (تعویض/تنظیم)</v>
      </c>
      <c r="N423" s="3" t="s">
        <v>1492</v>
      </c>
      <c r="O423" s="3"/>
    </row>
    <row r="424" spans="1:15" ht="30" customHeight="1">
      <c r="A424" s="3">
        <v>310010335</v>
      </c>
      <c r="B424" s="5" t="s">
        <v>2006</v>
      </c>
      <c r="C424" s="5" t="s">
        <v>2007</v>
      </c>
      <c r="D424" s="3" t="s">
        <v>108</v>
      </c>
      <c r="E424" s="3" t="s">
        <v>891</v>
      </c>
      <c r="F424" s="3" t="s">
        <v>1336</v>
      </c>
      <c r="G424" s="3" t="s">
        <v>1719</v>
      </c>
      <c r="H424" s="3" t="s">
        <v>1720</v>
      </c>
      <c r="I424" s="3" t="s">
        <v>1407</v>
      </c>
      <c r="J424" s="3" t="s">
        <v>1339</v>
      </c>
      <c r="K424" s="3" t="s">
        <v>1340</v>
      </c>
      <c r="L424" s="4">
        <f>IF(OR(TRIM(I424)="",TRIM(K424)=""),"",IFERROR((VALUE(LEFT(TRIM(I424),4))-VALUE(LEFT(TRIM(K424),4)))*12+VALUE(MID(TRIM(I424),6,2))-VALUE(MID(TRIM(K424),6,2)),""))</f>
        <v>2</v>
      </c>
      <c r="M424" s="3" t="str">
        <f>IF(TRIM(H424)="","",IFERROR(LOOKUP(2,1/(ISNUMBER(SEARCH('منطق دسته‌بندی'!$A$2:$A$187,H424))),'منطق دسته‌بندی'!$B$2:$B$187),"سایر (نیازمند بررسی دستی)"))</f>
        <v>درحال پیگیری/نیازمند تعیین علت</v>
      </c>
      <c r="N424" s="3" t="s">
        <v>1428</v>
      </c>
      <c r="O424" s="3"/>
    </row>
    <row r="425" spans="1:15" ht="30" customHeight="1">
      <c r="A425" s="3">
        <v>130011444</v>
      </c>
      <c r="B425" s="5" t="s">
        <v>2006</v>
      </c>
      <c r="C425" s="5" t="s">
        <v>2007</v>
      </c>
      <c r="D425" s="3" t="s">
        <v>1402</v>
      </c>
      <c r="E425" s="3" t="s">
        <v>1403</v>
      </c>
      <c r="F425" s="3" t="s">
        <v>1578</v>
      </c>
      <c r="G425" s="3" t="s">
        <v>1579</v>
      </c>
      <c r="H425" s="3" t="s">
        <v>1580</v>
      </c>
      <c r="I425" s="3" t="s">
        <v>1407</v>
      </c>
      <c r="J425" s="3" t="s">
        <v>268</v>
      </c>
      <c r="K425" s="3" t="s">
        <v>330</v>
      </c>
      <c r="L425" s="4">
        <f>IF(OR(TRIM(I425)="",TRIM(K425)=""),"",IFERROR((VALUE(LEFT(TRIM(I425),4))-VALUE(LEFT(TRIM(K425),4)))*12+VALUE(MID(TRIM(I425),6,2))-VALUE(MID(TRIM(K425),6,2)),""))</f>
        <v>14</v>
      </c>
      <c r="M425" s="3" t="str">
        <f>IF(TRIM(H425)="","",IFERROR(LOOKUP(2,1/(ISNUMBER(SEARCH('منطق دسته‌بندی'!$A$2:$A$187,H425))),'منطق دسته‌بندی'!$B$2:$B$187),"سایر (نیازمند بررسی دستی)"))</f>
        <v>تراز/لرزش - نصب (رگلاژ پایه)</v>
      </c>
      <c r="N425" s="3" t="s">
        <v>1428</v>
      </c>
      <c r="O425" s="3"/>
    </row>
    <row r="426" spans="1:15" ht="30">
      <c r="A426" s="3">
        <v>710005528</v>
      </c>
      <c r="B426" s="5" t="s">
        <v>2006</v>
      </c>
      <c r="C426" s="5" t="s">
        <v>2007</v>
      </c>
      <c r="D426" s="3" t="s">
        <v>1402</v>
      </c>
      <c r="E426" s="3" t="s">
        <v>1145</v>
      </c>
      <c r="F426" s="3" t="s">
        <v>674</v>
      </c>
      <c r="G426" s="3" t="s">
        <v>1615</v>
      </c>
      <c r="H426" s="3" t="s">
        <v>1616</v>
      </c>
      <c r="I426" s="3" t="s">
        <v>1407</v>
      </c>
      <c r="J426" s="3" t="s">
        <v>676</v>
      </c>
      <c r="K426" s="3" t="s">
        <v>536</v>
      </c>
      <c r="L426" s="4">
        <f>IF(OR(TRIM(I426)="",TRIM(K426)=""),"",IFERROR((VALUE(LEFT(TRIM(I426),4))-VALUE(LEFT(TRIM(K426),4)))*12+VALUE(MID(TRIM(I426),6,2))-VALUE(MID(TRIM(K426),6,2)),""))</f>
        <v>9</v>
      </c>
      <c r="M426" s="3" t="str">
        <f>IF(TRIM(H426)="","",IFERROR(LOOKUP(2,1/(ISNUMBER(SEARCH('منطق دسته‌بندی'!$A$2:$A$187,H426))),'منطق دسته‌بندی'!$B$2:$B$187),"سایر (نیازمند بررسی دستی)"))</f>
        <v>خرابی - کمک فنر (تعویض)</v>
      </c>
      <c r="N426" s="3" t="s">
        <v>1617</v>
      </c>
      <c r="O426" s="3"/>
    </row>
    <row r="427" spans="1:15" ht="45" customHeight="1">
      <c r="A427" s="3">
        <v>210023787</v>
      </c>
      <c r="B427" s="5" t="s">
        <v>2006</v>
      </c>
      <c r="C427" s="5" t="s">
        <v>2007</v>
      </c>
      <c r="D427" s="3" t="s">
        <v>1402</v>
      </c>
      <c r="E427" s="3" t="s">
        <v>874</v>
      </c>
      <c r="F427" s="3" t="s">
        <v>1721</v>
      </c>
      <c r="G427" s="3" t="s">
        <v>1722</v>
      </c>
      <c r="H427" s="3" t="s">
        <v>1723</v>
      </c>
      <c r="I427" s="3" t="s">
        <v>1407</v>
      </c>
      <c r="J427" s="3" t="s">
        <v>1724</v>
      </c>
      <c r="K427" s="3"/>
      <c r="L427" s="4" t="str">
        <f>IF(OR(TRIM(I427)="",TRIM(K427)=""),"",IFERROR((VALUE(LEFT(TRIM(I427),4))-VALUE(LEFT(TRIM(K427),4)))*12+VALUE(MID(TRIM(I427),6,2))-VALUE(MID(TRIM(K427),6,2)),""))</f>
        <v/>
      </c>
      <c r="M427" s="3" t="str">
        <f>IF(TRIM(H427)="","",IFERROR(LOOKUP(2,1/(ISNUMBER(SEARCH('منطق دسته‌بندی'!$A$2:$A$187,H427))),'منطق دسته‌بندی'!$B$2:$B$187),"سایر (نیازمند بررسی دستی)"))</f>
        <v>کسری اقلام بسته‌بندی</v>
      </c>
      <c r="N427" s="3" t="s">
        <v>1657</v>
      </c>
      <c r="O427" s="3"/>
    </row>
    <row r="428" spans="1:15" ht="60" customHeight="1">
      <c r="A428" s="3">
        <v>310010325</v>
      </c>
      <c r="B428" s="5" t="s">
        <v>2006</v>
      </c>
      <c r="C428" s="5" t="s">
        <v>2007</v>
      </c>
      <c r="D428" s="3" t="s">
        <v>1402</v>
      </c>
      <c r="E428" s="3" t="s">
        <v>1750</v>
      </c>
      <c r="F428" s="3" t="s">
        <v>1751</v>
      </c>
      <c r="G428" s="3" t="s">
        <v>1752</v>
      </c>
      <c r="H428" s="3" t="s">
        <v>1723</v>
      </c>
      <c r="I428" s="3" t="s">
        <v>1407</v>
      </c>
      <c r="J428" s="3" t="s">
        <v>1375</v>
      </c>
      <c r="K428" s="3" t="s">
        <v>1322</v>
      </c>
      <c r="L428" s="4">
        <f>IF(OR(TRIM(I428)="",TRIM(K428)=""),"",IFERROR((VALUE(LEFT(TRIM(I428),4))-VALUE(LEFT(TRIM(K428),4)))*12+VALUE(MID(TRIM(I428),6,2))-VALUE(MID(TRIM(K428),6,2)),""))</f>
        <v>1</v>
      </c>
      <c r="M428" s="3" t="str">
        <f>IF(TRIM(H428)="","",IFERROR(LOOKUP(2,1/(ISNUMBER(SEARCH('منطق دسته‌بندی'!$A$2:$A$187,H428))),'منطق دسته‌بندی'!$B$2:$B$187),"سایر (نیازمند بررسی دستی)"))</f>
        <v>کسری اقلام بسته‌بندی</v>
      </c>
      <c r="N428" s="3" t="s">
        <v>1657</v>
      </c>
      <c r="O428" s="3"/>
    </row>
    <row r="429" spans="1:15" ht="30" customHeight="1">
      <c r="A429" s="3">
        <v>510026058</v>
      </c>
      <c r="B429" s="5" t="s">
        <v>2006</v>
      </c>
      <c r="C429" s="5" t="s">
        <v>2007</v>
      </c>
      <c r="D429" s="3" t="s">
        <v>127</v>
      </c>
      <c r="E429" s="3" t="s">
        <v>128</v>
      </c>
      <c r="F429" s="3" t="s">
        <v>1529</v>
      </c>
      <c r="G429" s="3" t="s">
        <v>1530</v>
      </c>
      <c r="H429" s="3" t="s">
        <v>1530</v>
      </c>
      <c r="I429" s="3" t="s">
        <v>1531</v>
      </c>
      <c r="J429" s="3" t="s">
        <v>985</v>
      </c>
      <c r="K429" s="3" t="s">
        <v>1065</v>
      </c>
      <c r="L429" s="4">
        <f>IF(OR(TRIM(I429)="",TRIM(K429)=""),"",IFERROR((VALUE(LEFT(TRIM(I429),4))-VALUE(LEFT(TRIM(K429),4)))*12+VALUE(MID(TRIM(I429),6,2))-VALUE(MID(TRIM(K429),6,2)),""))</f>
        <v>20</v>
      </c>
      <c r="M429" s="3" t="str">
        <f>IF(TRIM(H429)="","",IFERROR(LOOKUP(2,1/(ISNUMBER(SEARCH('منطق دسته‌بندی'!$A$2:$A$187,H429))),'منطق دسته‌بندی'!$B$2:$B$187),"سایر (نیازمند بررسی دستی)"))</f>
        <v>غیرگارانتی/بدون قطعه</v>
      </c>
      <c r="N429" s="3" t="s">
        <v>1530</v>
      </c>
      <c r="O429" s="3"/>
    </row>
    <row r="430" spans="1:15" ht="45" customHeight="1">
      <c r="A430" s="3">
        <v>210023908</v>
      </c>
      <c r="B430" s="5" t="s">
        <v>2006</v>
      </c>
      <c r="C430" s="5" t="s">
        <v>2007</v>
      </c>
      <c r="D430" s="3" t="s">
        <v>108</v>
      </c>
      <c r="E430" s="3" t="s">
        <v>391</v>
      </c>
      <c r="F430" s="3" t="s">
        <v>1595</v>
      </c>
      <c r="G430" s="3" t="s">
        <v>1494</v>
      </c>
      <c r="H430" s="3" t="s">
        <v>1338</v>
      </c>
      <c r="I430" s="3" t="s">
        <v>1531</v>
      </c>
      <c r="J430" s="3" t="s">
        <v>1348</v>
      </c>
      <c r="K430" s="3" t="s">
        <v>1596</v>
      </c>
      <c r="L430" s="4">
        <f>IF(OR(TRIM(I430)="",TRIM(K430)=""),"",IFERROR((VALUE(LEFT(TRIM(I430),4))-VALUE(LEFT(TRIM(K430),4)))*12+VALUE(MID(TRIM(I430),6,2))-VALUE(MID(TRIM(K430),6,2)),""))</f>
        <v>2</v>
      </c>
      <c r="M430" s="3" t="str">
        <f>IF(TRIM(H430)="","",IFERROR(LOOKUP(2,1/(ISNUMBER(SEARCH('منطق دسته‌بندی'!$A$2:$A$187,H430))),'منطق دسته‌بندی'!$B$2:$B$187),"سایر (نیازمند بررسی دستی)"))</f>
        <v>کلید فشاری (تعویض/بازبینی)</v>
      </c>
      <c r="N430" s="3" t="s">
        <v>1588</v>
      </c>
      <c r="O430" s="3"/>
    </row>
    <row r="431" spans="1:15" ht="45" customHeight="1">
      <c r="A431" s="3">
        <v>210023894</v>
      </c>
      <c r="B431" s="5" t="s">
        <v>2006</v>
      </c>
      <c r="C431" s="5" t="s">
        <v>2007</v>
      </c>
      <c r="D431" s="3" t="s">
        <v>108</v>
      </c>
      <c r="E431" s="3" t="s">
        <v>884</v>
      </c>
      <c r="F431" s="3" t="s">
        <v>1708</v>
      </c>
      <c r="G431" s="3" t="s">
        <v>1585</v>
      </c>
      <c r="H431" s="3" t="s">
        <v>792</v>
      </c>
      <c r="I431" s="3" t="s">
        <v>1531</v>
      </c>
      <c r="J431" s="3" t="s">
        <v>469</v>
      </c>
      <c r="K431" s="3" t="s">
        <v>324</v>
      </c>
      <c r="L431" s="4">
        <f>IF(OR(TRIM(I431)="",TRIM(K431)=""),"",IFERROR((VALUE(LEFT(TRIM(I431),4))-VALUE(LEFT(TRIM(K431),4)))*12+VALUE(MID(TRIM(I431),6,2))-VALUE(MID(TRIM(K431),6,2)),""))</f>
        <v>5</v>
      </c>
      <c r="M431" s="3" t="str">
        <f>IF(TRIM(H431)="","",IFERROR(LOOKUP(2,1/(ISNUMBER(SEARCH('منطق دسته‌بندی'!$A$2:$A$187,H431))),'منطق دسته‌بندی'!$B$2:$B$187),"سایر (نیازمند بررسی دستی)"))</f>
        <v>خرابی - لامپ/LED داخلی (تعویض)</v>
      </c>
      <c r="N431" s="3" t="s">
        <v>1140</v>
      </c>
      <c r="O431" s="3"/>
    </row>
    <row r="432" spans="1:15" ht="45" customHeight="1">
      <c r="A432" s="3">
        <v>510026081</v>
      </c>
      <c r="B432" s="5" t="s">
        <v>2006</v>
      </c>
      <c r="C432" s="5" t="s">
        <v>2007</v>
      </c>
      <c r="D432" s="3" t="s">
        <v>1402</v>
      </c>
      <c r="E432" s="3" t="s">
        <v>1192</v>
      </c>
      <c r="F432" s="3" t="s">
        <v>1589</v>
      </c>
      <c r="G432" s="3" t="s">
        <v>1590</v>
      </c>
      <c r="H432" s="3" t="s">
        <v>1512</v>
      </c>
      <c r="I432" s="3" t="s">
        <v>1531</v>
      </c>
      <c r="J432" s="3" t="s">
        <v>895</v>
      </c>
      <c r="K432" s="3" t="s">
        <v>886</v>
      </c>
      <c r="L432" s="4">
        <f>IF(OR(TRIM(I432)="",TRIM(K432)=""),"",IFERROR((VALUE(LEFT(TRIM(I432),4))-VALUE(LEFT(TRIM(K432),4)))*12+VALUE(MID(TRIM(I432),6,2))-VALUE(MID(TRIM(K432),6,2)),""))</f>
        <v>12</v>
      </c>
      <c r="M432" s="3" t="str">
        <f>IF(TRIM(H432)="","",IFERROR(LOOKUP(2,1/(ISNUMBER(SEARCH('منطق دسته‌بندی'!$A$2:$A$187,H432))),'منطق دسته‌بندی'!$B$2:$B$187),"سایر (نیازمند بررسی دستی)"))</f>
        <v>خرابی - برد الکترونیک (تعویض)</v>
      </c>
      <c r="N432" s="3" t="s">
        <v>1591</v>
      </c>
      <c r="O432" s="3"/>
    </row>
    <row r="433" spans="1:15" ht="45" customHeight="1">
      <c r="A433" s="3">
        <v>710005617</v>
      </c>
      <c r="B433" s="5" t="s">
        <v>2006</v>
      </c>
      <c r="C433" s="5" t="s">
        <v>2007</v>
      </c>
      <c r="D433" s="3" t="s">
        <v>1402</v>
      </c>
      <c r="E433" s="3" t="s">
        <v>1675</v>
      </c>
      <c r="F433" s="3" t="s">
        <v>1676</v>
      </c>
      <c r="G433" s="3" t="s">
        <v>1665</v>
      </c>
      <c r="H433" s="3" t="s">
        <v>1666</v>
      </c>
      <c r="I433" s="3" t="s">
        <v>1531</v>
      </c>
      <c r="J433" s="3" t="s">
        <v>370</v>
      </c>
      <c r="K433" s="3" t="s">
        <v>1001</v>
      </c>
      <c r="L433" s="4">
        <f>IF(OR(TRIM(I433)="",TRIM(K433)=""),"",IFERROR((VALUE(LEFT(TRIM(I433),4))-VALUE(LEFT(TRIM(K433),4)))*12+VALUE(MID(TRIM(I433),6,2))-VALUE(MID(TRIM(K433),6,2)),""))</f>
        <v>3</v>
      </c>
      <c r="M433" s="3" t="str">
        <f>IF(TRIM(H433)="","",IFERROR(LOOKUP(2,1/(ISNUMBER(SEARCH('منطق دسته‌بندی'!$A$2:$A$187,H433))),'منطق دسته‌بندی'!$B$2:$B$187),"سایر (نیازمند بررسی دستی)"))</f>
        <v>لاستیک درزگیر - دفرمگی/پارگی (تعویض)</v>
      </c>
      <c r="N433" s="3" t="s">
        <v>1667</v>
      </c>
      <c r="O433" s="3"/>
    </row>
    <row r="434" spans="1:15" ht="30" customHeight="1">
      <c r="A434" s="3">
        <v>210024127</v>
      </c>
      <c r="B434" s="5" t="s">
        <v>2006</v>
      </c>
      <c r="C434" s="5" t="s">
        <v>2007</v>
      </c>
      <c r="D434" s="3" t="s">
        <v>127</v>
      </c>
      <c r="E434" s="3" t="s">
        <v>128</v>
      </c>
      <c r="F434" s="3" t="s">
        <v>1455</v>
      </c>
      <c r="G434" s="3" t="s">
        <v>1456</v>
      </c>
      <c r="H434" s="3" t="s">
        <v>1457</v>
      </c>
      <c r="I434" s="3" t="s">
        <v>1458</v>
      </c>
      <c r="J434" s="3" t="s">
        <v>216</v>
      </c>
      <c r="K434" s="3" t="s">
        <v>1459</v>
      </c>
      <c r="L434" s="4">
        <f>IF(OR(TRIM(I434)="",TRIM(K434)=""),"",IFERROR((VALUE(LEFT(TRIM(I434),4))-VALUE(LEFT(TRIM(K434),4)))*12+VALUE(MID(TRIM(I434),6,2))-VALUE(MID(TRIM(K434),6,2)),""))</f>
        <v>8</v>
      </c>
      <c r="M434" s="3" t="str">
        <f>IF(TRIM(H434)="","",IFERROR(LOOKUP(2,1/(ISNUMBER(SEARCH('منطق دسته‌بندی'!$A$2:$A$187,H434))),'منطق دسته‌بندی'!$B$2:$B$187),"سایر (نیازمند بررسی دستی)"))</f>
        <v>یخساز - خرابی موتور (تعویض)</v>
      </c>
      <c r="N434" s="3" t="s">
        <v>1460</v>
      </c>
      <c r="O434" s="3"/>
    </row>
    <row r="435" spans="1:15" ht="45" customHeight="1">
      <c r="A435" s="3">
        <v>510026209</v>
      </c>
      <c r="B435" s="5" t="s">
        <v>2006</v>
      </c>
      <c r="C435" s="5" t="s">
        <v>2007</v>
      </c>
      <c r="D435" s="3" t="s">
        <v>43</v>
      </c>
      <c r="E435" s="3" t="s">
        <v>379</v>
      </c>
      <c r="F435" s="3" t="s">
        <v>1568</v>
      </c>
      <c r="G435" s="3" t="s">
        <v>1487</v>
      </c>
      <c r="H435" s="3" t="s">
        <v>1485</v>
      </c>
      <c r="I435" s="3" t="s">
        <v>1458</v>
      </c>
      <c r="J435" s="3" t="s">
        <v>141</v>
      </c>
      <c r="K435" s="3" t="s">
        <v>1569</v>
      </c>
      <c r="L435" s="4">
        <f>IF(OR(TRIM(I435)="",TRIM(K435)=""),"",IFERROR((VALUE(LEFT(TRIM(I435),4))-VALUE(LEFT(TRIM(K435),4)))*12+VALUE(MID(TRIM(I435),6,2))-VALUE(MID(TRIM(K435),6,2)),""))</f>
        <v>11</v>
      </c>
      <c r="M435" s="3" t="str">
        <f>IF(TRIM(H435)="","",IFERROR(LOOKUP(2,1/(ISNUMBER(SEARCH('منطق دسته‌بندی'!$A$2:$A$187,H435))),'منطق دسته‌بندی'!$B$2:$B$187),"سایر (نیازمند بررسی دستی)"))</f>
        <v>سایر اجزای درب (بازبینی)</v>
      </c>
      <c r="N435" s="3" t="s">
        <v>1428</v>
      </c>
      <c r="O435" s="3"/>
    </row>
    <row r="436" spans="1:15" ht="60" customHeight="1">
      <c r="A436" s="3">
        <v>210024158</v>
      </c>
      <c r="B436" s="5" t="s">
        <v>2006</v>
      </c>
      <c r="C436" s="5" t="s">
        <v>2007</v>
      </c>
      <c r="D436" s="3" t="s">
        <v>108</v>
      </c>
      <c r="E436" s="3" t="s">
        <v>1725</v>
      </c>
      <c r="F436" s="3" t="s">
        <v>1726</v>
      </c>
      <c r="G436" s="3" t="s">
        <v>1727</v>
      </c>
      <c r="H436" s="3" t="s">
        <v>1728</v>
      </c>
      <c r="I436" s="3" t="s">
        <v>1458</v>
      </c>
      <c r="J436" s="3" t="s">
        <v>1729</v>
      </c>
      <c r="K436" s="3" t="s">
        <v>970</v>
      </c>
      <c r="L436" s="4">
        <f>IF(OR(TRIM(I436)="",TRIM(K436)=""),"",IFERROR((VALUE(LEFT(TRIM(I436),4))-VALUE(LEFT(TRIM(K436),4)))*12+VALUE(MID(TRIM(I436),6,2))-VALUE(MID(TRIM(K436),6,2)),""))</f>
        <v>3</v>
      </c>
      <c r="M436" s="3" t="str">
        <f>IF(TRIM(H436)="","",IFERROR(LOOKUP(2,1/(ISNUMBER(SEARCH('منطق دسته‌بندی'!$A$2:$A$187,H436))),'منطق دسته‌بندی'!$B$2:$B$187),"سایر (نیازمند بررسی دستی)"))</f>
        <v>قطعات تزئینی - شکستگی/کسری (تعویض)</v>
      </c>
      <c r="N436" s="3" t="s">
        <v>1730</v>
      </c>
      <c r="O436" s="3"/>
    </row>
    <row r="437" spans="1:15" ht="45" customHeight="1">
      <c r="A437" s="3">
        <v>130011647</v>
      </c>
      <c r="B437" s="5" t="s">
        <v>2006</v>
      </c>
      <c r="C437" s="5" t="s">
        <v>2007</v>
      </c>
      <c r="D437" s="3" t="s">
        <v>1402</v>
      </c>
      <c r="E437" s="3" t="s">
        <v>1750</v>
      </c>
      <c r="F437" s="3" t="s">
        <v>1758</v>
      </c>
      <c r="G437" s="3" t="s">
        <v>1405</v>
      </c>
      <c r="H437" s="3" t="s">
        <v>1406</v>
      </c>
      <c r="I437" s="3" t="s">
        <v>1458</v>
      </c>
      <c r="J437" s="3" t="s">
        <v>808</v>
      </c>
      <c r="K437" s="3"/>
      <c r="L437" s="4" t="str">
        <f>IF(OR(TRIM(I437)="",TRIM(K437)=""),"",IFERROR((VALUE(LEFT(TRIM(I437),4))-VALUE(LEFT(TRIM(K437),4)))*12+VALUE(MID(TRIM(I437),6,2))-VALUE(MID(TRIM(K437),6,2)),""))</f>
        <v/>
      </c>
      <c r="M437" s="3" t="str">
        <f>IF(TRIM(H437)="","",IFERROR(LOOKUP(2,1/(ISNUMBER(SEARCH('منطق دسته‌بندی'!$A$2:$A$187,H437))),'منطق دسته‌بندی'!$B$2:$B$187),"سایر (نیازمند بررسی دستی)"))</f>
        <v>سایر اجزای درب (بازبینی)</v>
      </c>
      <c r="N437" s="3" t="s">
        <v>1759</v>
      </c>
      <c r="O437" s="3"/>
    </row>
    <row r="438" spans="1:15" ht="45" customHeight="1">
      <c r="A438" s="3">
        <v>510026211</v>
      </c>
      <c r="B438" s="5" t="s">
        <v>2006</v>
      </c>
      <c r="C438" s="5" t="s">
        <v>2007</v>
      </c>
      <c r="D438" s="3" t="s">
        <v>1402</v>
      </c>
      <c r="E438" s="3" t="s">
        <v>1750</v>
      </c>
      <c r="F438" s="3" t="s">
        <v>1763</v>
      </c>
      <c r="G438" s="3" t="s">
        <v>1634</v>
      </c>
      <c r="H438" s="3" t="s">
        <v>1576</v>
      </c>
      <c r="I438" s="3" t="s">
        <v>1458</v>
      </c>
      <c r="J438" s="3" t="s">
        <v>796</v>
      </c>
      <c r="K438" s="3" t="s">
        <v>1058</v>
      </c>
      <c r="L438" s="4">
        <f>IF(OR(TRIM(I438)="",TRIM(K438)=""),"",IFERROR((VALUE(LEFT(TRIM(I438),4))-VALUE(LEFT(TRIM(K438),4)))*12+VALUE(MID(TRIM(I438),6,2))-VALUE(MID(TRIM(K438),6,2)),""))</f>
        <v>3</v>
      </c>
      <c r="M438" s="3" t="str">
        <f>IF(TRIM(H438)="","",IFERROR(LOOKUP(2,1/(ISNUMBER(SEARCH('منطق دسته‌بندی'!$A$2:$A$187,H438))),'منطق دسته‌بندی'!$B$2:$B$187),"سایر (نیازمند بررسی دستی)"))</f>
        <v>سایر (نیازمند بررسی دستی)</v>
      </c>
      <c r="N438" s="3" t="s">
        <v>1428</v>
      </c>
      <c r="O438" s="3"/>
    </row>
    <row r="439" spans="1:15" ht="30">
      <c r="A439" s="3">
        <v>130011682</v>
      </c>
      <c r="B439" s="5" t="s">
        <v>2006</v>
      </c>
      <c r="C439" s="5" t="s">
        <v>2007</v>
      </c>
      <c r="D439" s="3" t="s">
        <v>108</v>
      </c>
      <c r="E439" s="3" t="s">
        <v>884</v>
      </c>
      <c r="F439" s="3" t="s">
        <v>1592</v>
      </c>
      <c r="G439" s="3" t="s">
        <v>1593</v>
      </c>
      <c r="H439" s="3" t="s">
        <v>792</v>
      </c>
      <c r="I439" s="3" t="s">
        <v>1472</v>
      </c>
      <c r="J439" s="3" t="s">
        <v>1594</v>
      </c>
      <c r="K439" s="3" t="s">
        <v>847</v>
      </c>
      <c r="L439" s="4">
        <f>IF(OR(TRIM(I439)="",TRIM(K439)=""),"",IFERROR((VALUE(LEFT(TRIM(I439),4))-VALUE(LEFT(TRIM(K439),4)))*12+VALUE(MID(TRIM(I439),6,2))-VALUE(MID(TRIM(K439),6,2)),""))</f>
        <v>4</v>
      </c>
      <c r="M439" s="3" t="str">
        <f>IF(TRIM(H439)="","",IFERROR(LOOKUP(2,1/(ISNUMBER(SEARCH('منطق دسته‌بندی'!$A$2:$A$187,H439))),'منطق دسته‌بندی'!$B$2:$B$187),"سایر (نیازمند بررسی دستی)"))</f>
        <v>خرابی - لامپ/LED داخلی (تعویض)</v>
      </c>
      <c r="N439" s="3" t="s">
        <v>1140</v>
      </c>
      <c r="O439" s="3"/>
    </row>
    <row r="440" spans="1:15" ht="30" customHeight="1">
      <c r="A440" s="3">
        <v>210024305</v>
      </c>
      <c r="B440" s="5" t="s">
        <v>2006</v>
      </c>
      <c r="C440" s="5" t="s">
        <v>2007</v>
      </c>
      <c r="D440" s="3" t="s">
        <v>43</v>
      </c>
      <c r="E440" s="3" t="s">
        <v>1079</v>
      </c>
      <c r="F440" s="3" t="s">
        <v>1470</v>
      </c>
      <c r="G440" s="3" t="s">
        <v>1424</v>
      </c>
      <c r="H440" s="3" t="s">
        <v>1471</v>
      </c>
      <c r="I440" s="3" t="s">
        <v>1472</v>
      </c>
      <c r="J440" s="3" t="s">
        <v>1014</v>
      </c>
      <c r="K440" s="3" t="s">
        <v>1473</v>
      </c>
      <c r="L440" s="4">
        <f>IF(OR(TRIM(I440)="",TRIM(K440)=""),"",IFERROR((VALUE(LEFT(TRIM(I440),4))-VALUE(LEFT(TRIM(K440),4)))*12+VALUE(MID(TRIM(I440),6,2))-VALUE(MID(TRIM(K440),6,2)),""))</f>
        <v>18</v>
      </c>
      <c r="M440" s="3" t="str">
        <f>IF(TRIM(H440)="","",IFERROR(LOOKUP(2,1/(ISNUMBER(SEARCH('منطق دسته‌بندی'!$A$2:$A$187,H440))),'منطق دسته‌بندی'!$B$2:$B$187),"سایر (نیازمند بررسی دستی)"))</f>
        <v>نشتی - پمپ تخلیه (تعمیر/آب‌بندی)</v>
      </c>
      <c r="N440" s="3" t="s">
        <v>1428</v>
      </c>
      <c r="O440" s="3"/>
    </row>
    <row r="441" spans="1:15" ht="30" customHeight="1">
      <c r="A441" s="3">
        <v>510026336</v>
      </c>
      <c r="B441" s="5" t="s">
        <v>2006</v>
      </c>
      <c r="C441" s="5" t="s">
        <v>2007</v>
      </c>
      <c r="D441" s="3" t="s">
        <v>1402</v>
      </c>
      <c r="E441" s="3" t="s">
        <v>1628</v>
      </c>
      <c r="F441" s="3" t="s">
        <v>1629</v>
      </c>
      <c r="G441" s="3" t="s">
        <v>1630</v>
      </c>
      <c r="H441" s="3" t="s">
        <v>1576</v>
      </c>
      <c r="I441" s="3" t="s">
        <v>1472</v>
      </c>
      <c r="J441" s="3" t="s">
        <v>1631</v>
      </c>
      <c r="K441" s="3" t="s">
        <v>1632</v>
      </c>
      <c r="L441" s="4">
        <f>IF(OR(TRIM(I441)="",TRIM(K441)=""),"",IFERROR((VALUE(LEFT(TRIM(I441),4))-VALUE(LEFT(TRIM(K441),4)))*12+VALUE(MID(TRIM(I441),6,2))-VALUE(MID(TRIM(K441),6,2)),""))</f>
        <v>15</v>
      </c>
      <c r="M441" s="3" t="str">
        <f>IF(TRIM(H441)="","",IFERROR(LOOKUP(2,1/(ISNUMBER(SEARCH('منطق دسته‌بندی'!$A$2:$A$187,H441))),'منطق دسته‌بندی'!$B$2:$B$187),"سایر (نیازمند بررسی دستی)"))</f>
        <v>سایر (نیازمند بررسی دستی)</v>
      </c>
      <c r="N441" s="3" t="s">
        <v>1428</v>
      </c>
      <c r="O441" s="3"/>
    </row>
    <row r="442" spans="1:15" ht="30" customHeight="1">
      <c r="A442" s="3">
        <v>130011656</v>
      </c>
      <c r="B442" s="5" t="s">
        <v>2006</v>
      </c>
      <c r="C442" s="5" t="s">
        <v>2007</v>
      </c>
      <c r="D442" s="3" t="s">
        <v>1402</v>
      </c>
      <c r="E442" s="3" t="s">
        <v>1149</v>
      </c>
      <c r="F442" s="3" t="s">
        <v>1742</v>
      </c>
      <c r="G442" s="3" t="s">
        <v>1722</v>
      </c>
      <c r="H442" s="3" t="s">
        <v>1723</v>
      </c>
      <c r="I442" s="3" t="s">
        <v>1472</v>
      </c>
      <c r="J442" s="3" t="s">
        <v>580</v>
      </c>
      <c r="K442" s="3" t="s">
        <v>1443</v>
      </c>
      <c r="L442" s="4">
        <f>IF(OR(TRIM(I442)="",TRIM(K442)=""),"",IFERROR((VALUE(LEFT(TRIM(I442),4))-VALUE(LEFT(TRIM(K442),4)))*12+VALUE(MID(TRIM(I442),6,2))-VALUE(MID(TRIM(K442),6,2)),""))</f>
        <v>0</v>
      </c>
      <c r="M442" s="3" t="str">
        <f>IF(TRIM(H442)="","",IFERROR(LOOKUP(2,1/(ISNUMBER(SEARCH('منطق دسته‌بندی'!$A$2:$A$187,H442))),'منطق دسته‌بندی'!$B$2:$B$187),"سایر (نیازمند بررسی دستی)"))</f>
        <v>کسری اقلام بسته‌بندی</v>
      </c>
      <c r="N442" s="3" t="s">
        <v>1657</v>
      </c>
      <c r="O442" s="3"/>
    </row>
    <row r="443" spans="1:15" ht="30" customHeight="1">
      <c r="A443" s="3">
        <v>210024528</v>
      </c>
      <c r="B443" s="5" t="s">
        <v>2006</v>
      </c>
      <c r="C443" s="5" t="s">
        <v>2007</v>
      </c>
      <c r="D443" s="3" t="s">
        <v>127</v>
      </c>
      <c r="E443" s="3" t="s">
        <v>128</v>
      </c>
      <c r="F443" s="3" t="s">
        <v>1444</v>
      </c>
      <c r="G443" s="3" t="s">
        <v>1445</v>
      </c>
      <c r="H443" s="3" t="s">
        <v>1446</v>
      </c>
      <c r="I443" s="3" t="s">
        <v>1447</v>
      </c>
      <c r="J443" s="3" t="s">
        <v>1448</v>
      </c>
      <c r="K443" s="3" t="s">
        <v>1449</v>
      </c>
      <c r="L443" s="4">
        <f>IF(OR(TRIM(I443)="",TRIM(K443)=""),"",IFERROR((VALUE(LEFT(TRIM(I443),4))-VALUE(LEFT(TRIM(K443),4)))*12+VALUE(MID(TRIM(I443),6,2))-VALUE(MID(TRIM(K443),6,2)),""))</f>
        <v>11</v>
      </c>
      <c r="M443" s="3" t="str">
        <f>IF(TRIM(H443)="","",IFERROR(LOOKUP(2,1/(ISNUMBER(SEARCH('منطق دسته‌بندی'!$A$2:$A$187,H443))),'منطق دسته‌بندی'!$B$2:$B$187),"سایر (نیازمند بررسی دستی)"))</f>
        <v>یخساز - تنظیم/عایق (تعمیر)</v>
      </c>
      <c r="N443" s="3" t="s">
        <v>1450</v>
      </c>
      <c r="O443" s="3"/>
    </row>
    <row r="444" spans="1:15" ht="30" customHeight="1">
      <c r="A444" s="3">
        <v>510026491</v>
      </c>
      <c r="B444" s="5" t="s">
        <v>2006</v>
      </c>
      <c r="C444" s="5" t="s">
        <v>2007</v>
      </c>
      <c r="D444" s="3" t="s">
        <v>59</v>
      </c>
      <c r="E444" s="3" t="s">
        <v>1536</v>
      </c>
      <c r="F444" s="3" t="s">
        <v>1537</v>
      </c>
      <c r="G444" s="3" t="s">
        <v>1538</v>
      </c>
      <c r="H444" s="3" t="s">
        <v>1539</v>
      </c>
      <c r="I444" s="3" t="s">
        <v>1447</v>
      </c>
      <c r="J444" s="3" t="s">
        <v>1540</v>
      </c>
      <c r="K444" s="3" t="s">
        <v>1541</v>
      </c>
      <c r="L444" s="4">
        <f>IF(OR(TRIM(I444)="",TRIM(K444)=""),"",IFERROR((VALUE(LEFT(TRIM(I444),4))-VALUE(LEFT(TRIM(K444),4)))*12+VALUE(MID(TRIM(I444),6,2))-VALUE(MID(TRIM(K444),6,2)),""))</f>
        <v>20</v>
      </c>
      <c r="M444" s="3" t="str">
        <f>IF(TRIM(H444)="","",IFERROR(LOOKUP(2,1/(ISNUMBER(SEARCH('منطق دسته‌بندی'!$A$2:$A$187,H444))),'منطق دسته‌بندی'!$B$2:$B$187),"سایر (نیازمند بررسی دستی)"))</f>
        <v>خرابی - برد الکترونیک (تعویض)</v>
      </c>
      <c r="N444" s="3" t="s">
        <v>1542</v>
      </c>
      <c r="O444" s="3"/>
    </row>
    <row r="445" spans="1:15" ht="30" customHeight="1">
      <c r="A445" s="3">
        <v>210024454</v>
      </c>
      <c r="B445" s="5" t="s">
        <v>2006</v>
      </c>
      <c r="C445" s="5" t="s">
        <v>2007</v>
      </c>
      <c r="D445" s="3" t="s">
        <v>43</v>
      </c>
      <c r="E445" s="3" t="s">
        <v>1095</v>
      </c>
      <c r="F445" s="3" t="s">
        <v>1566</v>
      </c>
      <c r="G445" s="3" t="s">
        <v>1430</v>
      </c>
      <c r="H445" s="3" t="s">
        <v>1431</v>
      </c>
      <c r="I445" s="3" t="s">
        <v>1447</v>
      </c>
      <c r="J445" s="3" t="s">
        <v>690</v>
      </c>
      <c r="K445" s="3" t="s">
        <v>1567</v>
      </c>
      <c r="L445" s="4">
        <f>IF(OR(TRIM(I445)="",TRIM(K445)=""),"",IFERROR((VALUE(LEFT(TRIM(I445),4))-VALUE(LEFT(TRIM(K445),4)))*12+VALUE(MID(TRIM(I445),6,2))-VALUE(MID(TRIM(K445),6,2)),""))</f>
        <v>19</v>
      </c>
      <c r="M445" s="3" t="str">
        <f>IF(TRIM(H445)="","",IFERROR(LOOKUP(2,1/(ISNUMBER(SEARCH('منطق دسته‌بندی'!$A$2:$A$187,H445))),'منطق دسته‌بندی'!$B$2:$B$187),"سایر (نیازمند بررسی دستی)"))</f>
        <v>خرابی - پمپ تخلیه (تعویض)</v>
      </c>
      <c r="N445" s="3" t="s">
        <v>1318</v>
      </c>
      <c r="O445" s="3"/>
    </row>
    <row r="446" spans="1:15" ht="30" customHeight="1">
      <c r="A446" s="3">
        <v>210024421</v>
      </c>
      <c r="B446" s="5" t="s">
        <v>2006</v>
      </c>
      <c r="C446" s="5" t="s">
        <v>2007</v>
      </c>
      <c r="D446" s="3" t="s">
        <v>43</v>
      </c>
      <c r="E446" s="3" t="s">
        <v>1095</v>
      </c>
      <c r="F446" s="3" t="s">
        <v>1624</v>
      </c>
      <c r="G446" s="3" t="s">
        <v>1603</v>
      </c>
      <c r="H446" s="3" t="s">
        <v>1605</v>
      </c>
      <c r="I446" s="3" t="s">
        <v>1447</v>
      </c>
      <c r="J446" s="3" t="s">
        <v>1555</v>
      </c>
      <c r="K446" s="3" t="s">
        <v>1225</v>
      </c>
      <c r="L446" s="4">
        <f>IF(OR(TRIM(I446)="",TRIM(K446)=""),"",IFERROR((VALUE(LEFT(TRIM(I446),4))-VALUE(LEFT(TRIM(K446),4)))*12+VALUE(MID(TRIM(I446),6,2))-VALUE(MID(TRIM(K446),6,2)),""))</f>
        <v>12</v>
      </c>
      <c r="M446" s="3" t="str">
        <f>IF(TRIM(H446)="","",IFERROR(LOOKUP(2,1/(ISNUMBER(SEARCH('منطق دسته‌بندی'!$A$2:$A$187,H446))),'منطق دسته‌بندی'!$B$2:$B$187),"سایر (نیازمند بررسی دستی)"))</f>
        <v>نشتی - درب مخزن نمک (تعمیر/آب‌بندی)</v>
      </c>
      <c r="N446" s="3" t="s">
        <v>1428</v>
      </c>
      <c r="O446" s="3"/>
    </row>
    <row r="447" spans="1:15" ht="30" customHeight="1">
      <c r="A447" s="3">
        <v>510026393</v>
      </c>
      <c r="B447" s="5" t="s">
        <v>2006</v>
      </c>
      <c r="C447" s="5" t="s">
        <v>2007</v>
      </c>
      <c r="D447" s="3" t="s">
        <v>1402</v>
      </c>
      <c r="E447" s="3" t="s">
        <v>1653</v>
      </c>
      <c r="F447" s="3" t="s">
        <v>1654</v>
      </c>
      <c r="G447" s="3" t="s">
        <v>1507</v>
      </c>
      <c r="H447" s="3" t="s">
        <v>1655</v>
      </c>
      <c r="I447" s="3" t="s">
        <v>1447</v>
      </c>
      <c r="J447" s="3" t="s">
        <v>1656</v>
      </c>
      <c r="K447" s="3"/>
      <c r="L447" s="4" t="str">
        <f>IF(OR(TRIM(I447)="",TRIM(K447)=""),"",IFERROR((VALUE(LEFT(TRIM(I447),4))-VALUE(LEFT(TRIM(K447),4)))*12+VALUE(MID(TRIM(I447),6,2))-VALUE(MID(TRIM(K447),6,2)),""))</f>
        <v/>
      </c>
      <c r="M447" s="3" t="str">
        <f>IF(TRIM(H447)="","",IFERROR(LOOKUP(2,1/(ISNUMBER(SEARCH('منطق دسته‌بندی'!$A$2:$A$187,H447))),'منطق دسته‌بندی'!$B$2:$B$187),"سایر (نیازمند بررسی دستی)"))</f>
        <v>نشتی - شیلنگ (تعمیر/آب‌بندی)</v>
      </c>
      <c r="N447" s="3" t="s">
        <v>1657</v>
      </c>
      <c r="O447" s="3"/>
    </row>
    <row r="448" spans="1:15" ht="45" customHeight="1">
      <c r="A448" s="3">
        <v>130011773</v>
      </c>
      <c r="B448" s="5" t="s">
        <v>2006</v>
      </c>
      <c r="C448" s="5" t="s">
        <v>2007</v>
      </c>
      <c r="D448" s="3" t="s">
        <v>1402</v>
      </c>
      <c r="E448" s="3" t="s">
        <v>1234</v>
      </c>
      <c r="F448" s="3" t="s">
        <v>1662</v>
      </c>
      <c r="G448" s="3" t="s">
        <v>1663</v>
      </c>
      <c r="H448" s="3" t="s">
        <v>1616</v>
      </c>
      <c r="I448" s="3" t="s">
        <v>1447</v>
      </c>
      <c r="J448" s="3" t="s">
        <v>1664</v>
      </c>
      <c r="K448" s="3" t="s">
        <v>389</v>
      </c>
      <c r="L448" s="4">
        <f>IF(OR(TRIM(I448)="",TRIM(K448)=""),"",IFERROR((VALUE(LEFT(TRIM(I448),4))-VALUE(LEFT(TRIM(K448),4)))*12+VALUE(MID(TRIM(I448),6,2))-VALUE(MID(TRIM(K448),6,2)),""))</f>
        <v>14</v>
      </c>
      <c r="M448" s="3" t="str">
        <f>IF(TRIM(H448)="","",IFERROR(LOOKUP(2,1/(ISNUMBER(SEARCH('منطق دسته‌بندی'!$A$2:$A$187,H448))),'منطق دسته‌بندی'!$B$2:$B$187),"سایر (نیازمند بررسی دستی)"))</f>
        <v>خرابی - کمک فنر (تعویض)</v>
      </c>
      <c r="N448" s="3" t="s">
        <v>1617</v>
      </c>
      <c r="O448" s="3"/>
    </row>
    <row r="449" spans="1:15" ht="30" customHeight="1">
      <c r="A449" s="3">
        <v>130011774</v>
      </c>
      <c r="B449" s="5" t="s">
        <v>2006</v>
      </c>
      <c r="C449" s="5" t="s">
        <v>2007</v>
      </c>
      <c r="D449" s="3" t="s">
        <v>1402</v>
      </c>
      <c r="E449" s="3" t="s">
        <v>1149</v>
      </c>
      <c r="F449" s="3" t="s">
        <v>1739</v>
      </c>
      <c r="G449" s="3" t="s">
        <v>1695</v>
      </c>
      <c r="H449" s="3" t="s">
        <v>1723</v>
      </c>
      <c r="I449" s="3" t="s">
        <v>1447</v>
      </c>
      <c r="J449" s="3" t="s">
        <v>1740</v>
      </c>
      <c r="K449" s="3" t="s">
        <v>1443</v>
      </c>
      <c r="L449" s="4">
        <f>IF(OR(TRIM(I449)="",TRIM(K449)=""),"",IFERROR((VALUE(LEFT(TRIM(I449),4))-VALUE(LEFT(TRIM(K449),4)))*12+VALUE(MID(TRIM(I449),6,2))-VALUE(MID(TRIM(K449),6,2)),""))</f>
        <v>0</v>
      </c>
      <c r="M449" s="3" t="str">
        <f>IF(TRIM(H449)="","",IFERROR(LOOKUP(2,1/(ISNUMBER(SEARCH('منطق دسته‌بندی'!$A$2:$A$187,H449))),'منطق دسته‌بندی'!$B$2:$B$187),"سایر (نیازمند بررسی دستی)"))</f>
        <v>کسری اقلام بسته‌بندی</v>
      </c>
      <c r="N449" s="3" t="s">
        <v>1657</v>
      </c>
      <c r="O449" s="3"/>
    </row>
    <row r="450" spans="1:15" ht="30" customHeight="1">
      <c r="A450" s="3">
        <v>130011739</v>
      </c>
      <c r="B450" s="5" t="s">
        <v>2006</v>
      </c>
      <c r="C450" s="5" t="s">
        <v>2007</v>
      </c>
      <c r="D450" s="3" t="s">
        <v>1402</v>
      </c>
      <c r="E450" s="3" t="s">
        <v>1764</v>
      </c>
      <c r="F450" s="3" t="s">
        <v>1767</v>
      </c>
      <c r="G450" s="3" t="s">
        <v>1634</v>
      </c>
      <c r="H450" s="3" t="s">
        <v>1576</v>
      </c>
      <c r="I450" s="3" t="s">
        <v>1447</v>
      </c>
      <c r="J450" s="3" t="s">
        <v>970</v>
      </c>
      <c r="K450" s="3" t="s">
        <v>1347</v>
      </c>
      <c r="L450" s="4">
        <f>IF(OR(TRIM(I450)="",TRIM(K450)=""),"",IFERROR((VALUE(LEFT(TRIM(I450),4))-VALUE(LEFT(TRIM(K450),4)))*12+VALUE(MID(TRIM(I450),6,2))-VALUE(MID(TRIM(K450),6,2)),""))</f>
        <v>1</v>
      </c>
      <c r="M450" s="3" t="str">
        <f>IF(TRIM(H450)="","",IFERROR(LOOKUP(2,1/(ISNUMBER(SEARCH('منطق دسته‌بندی'!$A$2:$A$187,H450))),'منطق دسته‌بندی'!$B$2:$B$187),"سایر (نیازمند بررسی دستی)"))</f>
        <v>سایر (نیازمند بررسی دستی)</v>
      </c>
      <c r="N450" s="3" t="s">
        <v>1428</v>
      </c>
      <c r="O450" s="3"/>
    </row>
    <row r="451" spans="1:15">
      <c r="G451" s="6"/>
    </row>
  </sheetData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  <pageSetup paperSize="9"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" customWidth="1"/>
    <col min="2" max="2" width="45" customWidth="1"/>
    <col min="3" max="3" width="10" customWidth="1"/>
  </cols>
  <sheetData>
    <row r="1" spans="1:3">
      <c r="A1" t="s">
        <v>1784</v>
      </c>
      <c r="B1" t="s">
        <v>12</v>
      </c>
      <c r="C1" t="s">
        <v>1785</v>
      </c>
    </row>
    <row r="2" spans="1:3">
      <c r="A2" t="s">
        <v>1786</v>
      </c>
      <c r="B2" t="s">
        <v>1787</v>
      </c>
      <c r="C2">
        <v>1</v>
      </c>
    </row>
    <row r="3" spans="1:3">
      <c r="A3" t="s">
        <v>1788</v>
      </c>
      <c r="B3" t="s">
        <v>1787</v>
      </c>
      <c r="C3">
        <v>1</v>
      </c>
    </row>
    <row r="4" spans="1:3">
      <c r="A4" t="s">
        <v>1789</v>
      </c>
      <c r="B4" t="s">
        <v>1787</v>
      </c>
      <c r="C4">
        <v>1</v>
      </c>
    </row>
    <row r="5" spans="1:3">
      <c r="A5" t="s">
        <v>1790</v>
      </c>
      <c r="B5" t="s">
        <v>1791</v>
      </c>
      <c r="C5">
        <v>1</v>
      </c>
    </row>
    <row r="6" spans="1:3">
      <c r="A6" t="s">
        <v>1792</v>
      </c>
      <c r="B6" t="s">
        <v>1791</v>
      </c>
      <c r="C6">
        <v>1</v>
      </c>
    </row>
    <row r="7" spans="1:3">
      <c r="A7" t="s">
        <v>1793</v>
      </c>
      <c r="B7" t="s">
        <v>1791</v>
      </c>
      <c r="C7">
        <v>1</v>
      </c>
    </row>
    <row r="8" spans="1:3">
      <c r="A8" t="s">
        <v>1794</v>
      </c>
      <c r="B8" t="s">
        <v>1795</v>
      </c>
      <c r="C8">
        <v>1</v>
      </c>
    </row>
    <row r="9" spans="1:3">
      <c r="A9" t="s">
        <v>1796</v>
      </c>
      <c r="B9" t="s">
        <v>1795</v>
      </c>
      <c r="C9">
        <v>1</v>
      </c>
    </row>
    <row r="10" spans="1:3">
      <c r="A10" t="s">
        <v>1797</v>
      </c>
      <c r="B10" t="s">
        <v>1798</v>
      </c>
      <c r="C10">
        <v>1</v>
      </c>
    </row>
    <row r="11" spans="1:3">
      <c r="A11" t="s">
        <v>1799</v>
      </c>
      <c r="B11" t="s">
        <v>1798</v>
      </c>
      <c r="C11">
        <v>1</v>
      </c>
    </row>
    <row r="12" spans="1:3">
      <c r="A12" t="s">
        <v>1800</v>
      </c>
      <c r="B12" t="s">
        <v>1798</v>
      </c>
      <c r="C12">
        <v>1</v>
      </c>
    </row>
    <row r="13" spans="1:3">
      <c r="A13" t="s">
        <v>1801</v>
      </c>
      <c r="B13" t="s">
        <v>1802</v>
      </c>
      <c r="C13">
        <v>1</v>
      </c>
    </row>
    <row r="14" spans="1:3">
      <c r="A14" t="s">
        <v>1803</v>
      </c>
      <c r="B14" t="s">
        <v>1802</v>
      </c>
      <c r="C14">
        <v>1</v>
      </c>
    </row>
    <row r="15" spans="1:3">
      <c r="A15" t="s">
        <v>1804</v>
      </c>
      <c r="B15" t="s">
        <v>1802</v>
      </c>
      <c r="C15">
        <v>1</v>
      </c>
    </row>
    <row r="16" spans="1:3">
      <c r="A16" t="s">
        <v>1805</v>
      </c>
      <c r="B16" t="s">
        <v>1806</v>
      </c>
      <c r="C16">
        <v>1</v>
      </c>
    </row>
    <row r="17" spans="1:3">
      <c r="A17" t="s">
        <v>407</v>
      </c>
      <c r="B17" t="s">
        <v>1807</v>
      </c>
      <c r="C17">
        <v>1</v>
      </c>
    </row>
    <row r="18" spans="1:3">
      <c r="A18" t="s">
        <v>1808</v>
      </c>
      <c r="B18" t="s">
        <v>1809</v>
      </c>
      <c r="C18">
        <v>1</v>
      </c>
    </row>
    <row r="19" spans="1:3">
      <c r="A19" t="s">
        <v>1810</v>
      </c>
      <c r="B19" t="s">
        <v>1811</v>
      </c>
      <c r="C19">
        <v>1</v>
      </c>
    </row>
    <row r="20" spans="1:3">
      <c r="A20" t="s">
        <v>1812</v>
      </c>
      <c r="B20" t="s">
        <v>1811</v>
      </c>
      <c r="C20">
        <v>1</v>
      </c>
    </row>
    <row r="21" spans="1:3">
      <c r="A21" t="s">
        <v>1813</v>
      </c>
      <c r="B21" t="s">
        <v>1814</v>
      </c>
      <c r="C21">
        <v>1</v>
      </c>
    </row>
    <row r="22" spans="1:3">
      <c r="A22" t="s">
        <v>1815</v>
      </c>
      <c r="B22" t="s">
        <v>1816</v>
      </c>
      <c r="C22">
        <v>1</v>
      </c>
    </row>
    <row r="23" spans="1:3">
      <c r="A23" t="s">
        <v>1817</v>
      </c>
      <c r="B23" t="s">
        <v>1818</v>
      </c>
      <c r="C23">
        <v>1</v>
      </c>
    </row>
    <row r="24" spans="1:3">
      <c r="A24" t="s">
        <v>1819</v>
      </c>
      <c r="B24" t="s">
        <v>1818</v>
      </c>
      <c r="C24">
        <v>1</v>
      </c>
    </row>
    <row r="25" spans="1:3">
      <c r="A25" t="s">
        <v>1820</v>
      </c>
      <c r="B25" t="s">
        <v>1821</v>
      </c>
      <c r="C25">
        <v>1</v>
      </c>
    </row>
    <row r="26" spans="1:3">
      <c r="A26" t="s">
        <v>1822</v>
      </c>
      <c r="B26" t="s">
        <v>1821</v>
      </c>
      <c r="C26">
        <v>1</v>
      </c>
    </row>
    <row r="27" spans="1:3">
      <c r="A27" t="s">
        <v>1823</v>
      </c>
      <c r="B27" t="s">
        <v>1824</v>
      </c>
      <c r="C27">
        <v>1</v>
      </c>
    </row>
    <row r="28" spans="1:3">
      <c r="A28" t="s">
        <v>1825</v>
      </c>
      <c r="B28" t="s">
        <v>1824</v>
      </c>
      <c r="C28">
        <v>1</v>
      </c>
    </row>
    <row r="29" spans="1:3">
      <c r="A29" t="s">
        <v>1826</v>
      </c>
      <c r="B29" t="s">
        <v>1827</v>
      </c>
      <c r="C29">
        <v>1</v>
      </c>
    </row>
    <row r="30" spans="1:3">
      <c r="A30" t="s">
        <v>1828</v>
      </c>
      <c r="B30" t="s">
        <v>1827</v>
      </c>
      <c r="C30">
        <v>1</v>
      </c>
    </row>
    <row r="31" spans="1:3">
      <c r="A31" t="s">
        <v>1829</v>
      </c>
      <c r="B31" t="s">
        <v>1830</v>
      </c>
      <c r="C31">
        <v>1</v>
      </c>
    </row>
    <row r="32" spans="1:3">
      <c r="A32" t="s">
        <v>1831</v>
      </c>
      <c r="B32" t="s">
        <v>1830</v>
      </c>
      <c r="C32">
        <v>1</v>
      </c>
    </row>
    <row r="33" spans="1:3">
      <c r="A33" t="s">
        <v>1832</v>
      </c>
      <c r="B33" t="s">
        <v>1830</v>
      </c>
      <c r="C33">
        <v>1</v>
      </c>
    </row>
    <row r="34" spans="1:3">
      <c r="A34" t="s">
        <v>1833</v>
      </c>
      <c r="B34" t="s">
        <v>1834</v>
      </c>
      <c r="C34">
        <v>1</v>
      </c>
    </row>
    <row r="35" spans="1:3">
      <c r="A35" t="s">
        <v>1835</v>
      </c>
      <c r="B35" t="s">
        <v>1836</v>
      </c>
      <c r="C35">
        <v>1</v>
      </c>
    </row>
    <row r="36" spans="1:3">
      <c r="A36" t="s">
        <v>1837</v>
      </c>
      <c r="B36" t="s">
        <v>1838</v>
      </c>
      <c r="C36">
        <v>1</v>
      </c>
    </row>
    <row r="37" spans="1:3">
      <c r="A37" t="s">
        <v>1839</v>
      </c>
      <c r="B37" t="s">
        <v>1838</v>
      </c>
      <c r="C37">
        <v>1</v>
      </c>
    </row>
    <row r="38" spans="1:3">
      <c r="A38" t="s">
        <v>1840</v>
      </c>
      <c r="B38" t="s">
        <v>1841</v>
      </c>
      <c r="C38">
        <v>1</v>
      </c>
    </row>
    <row r="39" spans="1:3">
      <c r="A39" t="s">
        <v>1842</v>
      </c>
      <c r="B39" t="s">
        <v>1841</v>
      </c>
      <c r="C39">
        <v>1</v>
      </c>
    </row>
    <row r="40" spans="1:3">
      <c r="A40" t="s">
        <v>1843</v>
      </c>
      <c r="B40" t="s">
        <v>1844</v>
      </c>
      <c r="C40">
        <v>1</v>
      </c>
    </row>
    <row r="41" spans="1:3">
      <c r="A41" t="s">
        <v>1845</v>
      </c>
      <c r="B41" t="s">
        <v>1844</v>
      </c>
      <c r="C41">
        <v>1</v>
      </c>
    </row>
    <row r="42" spans="1:3">
      <c r="A42" t="s">
        <v>1846</v>
      </c>
      <c r="B42" t="s">
        <v>1847</v>
      </c>
      <c r="C42">
        <v>1</v>
      </c>
    </row>
    <row r="43" spans="1:3">
      <c r="A43" t="s">
        <v>1848</v>
      </c>
      <c r="B43" t="s">
        <v>1847</v>
      </c>
      <c r="C43">
        <v>1</v>
      </c>
    </row>
    <row r="44" spans="1:3">
      <c r="A44" t="s">
        <v>269</v>
      </c>
      <c r="B44" t="s">
        <v>1849</v>
      </c>
      <c r="C44">
        <v>1</v>
      </c>
    </row>
    <row r="45" spans="1:3">
      <c r="A45" t="s">
        <v>1850</v>
      </c>
      <c r="B45" t="s">
        <v>1849</v>
      </c>
      <c r="C45">
        <v>1</v>
      </c>
    </row>
    <row r="46" spans="1:3">
      <c r="A46" t="s">
        <v>1851</v>
      </c>
      <c r="B46" t="s">
        <v>1852</v>
      </c>
      <c r="C46">
        <v>1</v>
      </c>
    </row>
    <row r="47" spans="1:3">
      <c r="A47" t="s">
        <v>1853</v>
      </c>
      <c r="B47" t="s">
        <v>1852</v>
      </c>
      <c r="C47">
        <v>1</v>
      </c>
    </row>
    <row r="48" spans="1:3">
      <c r="A48" t="s">
        <v>1854</v>
      </c>
      <c r="B48" t="s">
        <v>1852</v>
      </c>
      <c r="C48">
        <v>1</v>
      </c>
    </row>
    <row r="49" spans="1:3">
      <c r="A49" t="s">
        <v>1855</v>
      </c>
      <c r="B49" t="s">
        <v>1852</v>
      </c>
      <c r="C49">
        <v>1</v>
      </c>
    </row>
    <row r="50" spans="1:3">
      <c r="A50" t="s">
        <v>1856</v>
      </c>
      <c r="B50" t="s">
        <v>1857</v>
      </c>
      <c r="C50">
        <v>1</v>
      </c>
    </row>
    <row r="51" spans="1:3">
      <c r="A51" t="s">
        <v>1858</v>
      </c>
      <c r="B51" t="s">
        <v>1859</v>
      </c>
      <c r="C51">
        <v>1</v>
      </c>
    </row>
    <row r="52" spans="1:3">
      <c r="A52" t="s">
        <v>183</v>
      </c>
      <c r="B52" t="s">
        <v>1860</v>
      </c>
      <c r="C52">
        <v>1</v>
      </c>
    </row>
    <row r="53" spans="1:3">
      <c r="A53" t="s">
        <v>1861</v>
      </c>
      <c r="B53" t="s">
        <v>1862</v>
      </c>
      <c r="C53">
        <v>1</v>
      </c>
    </row>
    <row r="54" spans="1:3">
      <c r="A54" t="s">
        <v>1863</v>
      </c>
      <c r="B54" t="s">
        <v>1862</v>
      </c>
      <c r="C54">
        <v>1</v>
      </c>
    </row>
    <row r="55" spans="1:3">
      <c r="A55" t="s">
        <v>1864</v>
      </c>
      <c r="B55" t="s">
        <v>1862</v>
      </c>
      <c r="C55">
        <v>1</v>
      </c>
    </row>
    <row r="56" spans="1:3">
      <c r="A56" t="s">
        <v>1865</v>
      </c>
      <c r="B56" t="s">
        <v>1862</v>
      </c>
      <c r="C56">
        <v>1</v>
      </c>
    </row>
    <row r="57" spans="1:3">
      <c r="A57" t="s">
        <v>1866</v>
      </c>
      <c r="B57" t="s">
        <v>1867</v>
      </c>
      <c r="C57">
        <v>1</v>
      </c>
    </row>
    <row r="58" spans="1:3">
      <c r="A58" t="s">
        <v>1868</v>
      </c>
      <c r="B58" t="s">
        <v>1867</v>
      </c>
      <c r="C58">
        <v>1</v>
      </c>
    </row>
    <row r="59" spans="1:3">
      <c r="A59" t="s">
        <v>1321</v>
      </c>
      <c r="B59" t="s">
        <v>1869</v>
      </c>
      <c r="C59">
        <v>1</v>
      </c>
    </row>
    <row r="60" spans="1:3">
      <c r="A60" t="s">
        <v>1870</v>
      </c>
      <c r="B60" t="s">
        <v>1869</v>
      </c>
      <c r="C60">
        <v>1</v>
      </c>
    </row>
    <row r="61" spans="1:3">
      <c r="A61" t="s">
        <v>1107</v>
      </c>
      <c r="B61" t="s">
        <v>1871</v>
      </c>
      <c r="C61">
        <v>1</v>
      </c>
    </row>
    <row r="62" spans="1:3">
      <c r="A62" t="s">
        <v>1872</v>
      </c>
      <c r="B62" t="s">
        <v>1871</v>
      </c>
      <c r="C62">
        <v>1</v>
      </c>
    </row>
    <row r="63" spans="1:3">
      <c r="A63" t="s">
        <v>1873</v>
      </c>
      <c r="B63" t="s">
        <v>1874</v>
      </c>
      <c r="C63">
        <v>1</v>
      </c>
    </row>
    <row r="64" spans="1:3">
      <c r="A64" t="s">
        <v>1875</v>
      </c>
      <c r="B64" t="s">
        <v>1874</v>
      </c>
      <c r="C64">
        <v>1</v>
      </c>
    </row>
    <row r="65" spans="1:3">
      <c r="A65" t="s">
        <v>1876</v>
      </c>
      <c r="B65" t="s">
        <v>1877</v>
      </c>
      <c r="C65">
        <v>1</v>
      </c>
    </row>
    <row r="66" spans="1:3">
      <c r="A66" t="s">
        <v>1878</v>
      </c>
      <c r="B66" t="s">
        <v>1879</v>
      </c>
      <c r="C66">
        <v>1</v>
      </c>
    </row>
    <row r="67" spans="1:3">
      <c r="A67" t="s">
        <v>1880</v>
      </c>
      <c r="B67" t="s">
        <v>1881</v>
      </c>
      <c r="C67">
        <v>1</v>
      </c>
    </row>
    <row r="68" spans="1:3">
      <c r="A68" t="s">
        <v>1882</v>
      </c>
      <c r="B68" t="s">
        <v>1881</v>
      </c>
      <c r="C68">
        <v>1</v>
      </c>
    </row>
    <row r="69" spans="1:3">
      <c r="A69" t="s">
        <v>1883</v>
      </c>
      <c r="B69" t="s">
        <v>1884</v>
      </c>
      <c r="C69">
        <v>1</v>
      </c>
    </row>
    <row r="70" spans="1:3">
      <c r="A70" t="s">
        <v>1885</v>
      </c>
      <c r="B70" t="s">
        <v>1886</v>
      </c>
      <c r="C70">
        <v>1</v>
      </c>
    </row>
    <row r="71" spans="1:3">
      <c r="A71" t="s">
        <v>1887</v>
      </c>
      <c r="B71" t="s">
        <v>1886</v>
      </c>
      <c r="C71">
        <v>1</v>
      </c>
    </row>
    <row r="72" spans="1:3">
      <c r="A72" t="s">
        <v>1888</v>
      </c>
      <c r="B72" t="s">
        <v>1889</v>
      </c>
      <c r="C72">
        <v>1</v>
      </c>
    </row>
    <row r="73" spans="1:3">
      <c r="A73" t="s">
        <v>1890</v>
      </c>
      <c r="B73" t="s">
        <v>1889</v>
      </c>
      <c r="C73">
        <v>1</v>
      </c>
    </row>
    <row r="74" spans="1:3">
      <c r="A74" t="s">
        <v>1891</v>
      </c>
      <c r="B74" t="s">
        <v>1892</v>
      </c>
      <c r="C74">
        <v>1</v>
      </c>
    </row>
    <row r="75" spans="1:3">
      <c r="A75" t="s">
        <v>1893</v>
      </c>
      <c r="B75" t="s">
        <v>1892</v>
      </c>
      <c r="C75">
        <v>1</v>
      </c>
    </row>
    <row r="76" spans="1:3">
      <c r="A76" t="s">
        <v>1894</v>
      </c>
      <c r="B76" t="s">
        <v>1895</v>
      </c>
      <c r="C76">
        <v>1</v>
      </c>
    </row>
    <row r="77" spans="1:3">
      <c r="A77" t="s">
        <v>1896</v>
      </c>
      <c r="B77" t="s">
        <v>1897</v>
      </c>
      <c r="C77">
        <v>1</v>
      </c>
    </row>
    <row r="78" spans="1:3">
      <c r="A78" t="s">
        <v>1898</v>
      </c>
      <c r="B78" t="s">
        <v>1899</v>
      </c>
      <c r="C78">
        <v>1</v>
      </c>
    </row>
    <row r="79" spans="1:3">
      <c r="A79" t="s">
        <v>1900</v>
      </c>
      <c r="B79" t="s">
        <v>1899</v>
      </c>
      <c r="C79">
        <v>1</v>
      </c>
    </row>
    <row r="80" spans="1:3">
      <c r="A80" t="s">
        <v>1901</v>
      </c>
      <c r="B80" t="s">
        <v>1902</v>
      </c>
      <c r="C80">
        <v>1</v>
      </c>
    </row>
    <row r="81" spans="1:3">
      <c r="A81" t="s">
        <v>1903</v>
      </c>
      <c r="B81" t="s">
        <v>1902</v>
      </c>
      <c r="C81">
        <v>1</v>
      </c>
    </row>
    <row r="82" spans="1:3">
      <c r="A82" t="s">
        <v>1904</v>
      </c>
      <c r="B82" t="s">
        <v>1902</v>
      </c>
      <c r="C82">
        <v>1</v>
      </c>
    </row>
    <row r="83" spans="1:3">
      <c r="A83" t="s">
        <v>1905</v>
      </c>
      <c r="B83" t="s">
        <v>1906</v>
      </c>
      <c r="C83">
        <v>1</v>
      </c>
    </row>
    <row r="84" spans="1:3">
      <c r="A84" t="s">
        <v>1907</v>
      </c>
      <c r="B84" t="s">
        <v>1908</v>
      </c>
      <c r="C84">
        <v>1</v>
      </c>
    </row>
    <row r="85" spans="1:3">
      <c r="A85" t="s">
        <v>1909</v>
      </c>
      <c r="B85" t="s">
        <v>1908</v>
      </c>
      <c r="C85">
        <v>1</v>
      </c>
    </row>
    <row r="86" spans="1:3">
      <c r="A86" t="s">
        <v>1910</v>
      </c>
      <c r="B86" t="s">
        <v>1908</v>
      </c>
      <c r="C86">
        <v>1</v>
      </c>
    </row>
    <row r="87" spans="1:3">
      <c r="A87" t="s">
        <v>1815</v>
      </c>
      <c r="B87" t="s">
        <v>1816</v>
      </c>
      <c r="C87">
        <v>1</v>
      </c>
    </row>
    <row r="88" spans="1:3">
      <c r="A88" t="s">
        <v>716</v>
      </c>
      <c r="B88" t="s">
        <v>1911</v>
      </c>
      <c r="C88">
        <v>1</v>
      </c>
    </row>
    <row r="89" spans="1:3">
      <c r="A89" t="s">
        <v>1912</v>
      </c>
      <c r="B89" t="s">
        <v>1911</v>
      </c>
      <c r="C89">
        <v>1</v>
      </c>
    </row>
    <row r="90" spans="1:3">
      <c r="A90" t="s">
        <v>1913</v>
      </c>
      <c r="B90" t="s">
        <v>1914</v>
      </c>
      <c r="C90">
        <v>1</v>
      </c>
    </row>
    <row r="91" spans="1:3">
      <c r="A91" t="s">
        <v>1915</v>
      </c>
      <c r="B91" t="s">
        <v>1914</v>
      </c>
      <c r="C91">
        <v>1</v>
      </c>
    </row>
    <row r="92" spans="1:3">
      <c r="A92" t="s">
        <v>1916</v>
      </c>
      <c r="B92" t="s">
        <v>1914</v>
      </c>
      <c r="C92">
        <v>1</v>
      </c>
    </row>
    <row r="93" spans="1:3">
      <c r="A93" t="s">
        <v>1917</v>
      </c>
      <c r="B93" t="s">
        <v>1914</v>
      </c>
      <c r="C93">
        <v>1</v>
      </c>
    </row>
    <row r="94" spans="1:3">
      <c r="A94" t="s">
        <v>1918</v>
      </c>
      <c r="B94" t="s">
        <v>1919</v>
      </c>
      <c r="C94">
        <v>1</v>
      </c>
    </row>
    <row r="95" spans="1:3">
      <c r="A95" t="s">
        <v>1701</v>
      </c>
      <c r="B95" t="s">
        <v>1919</v>
      </c>
      <c r="C95">
        <v>1</v>
      </c>
    </row>
    <row r="96" spans="1:3">
      <c r="A96" t="s">
        <v>1920</v>
      </c>
      <c r="B96" t="s">
        <v>1919</v>
      </c>
      <c r="C96">
        <v>1</v>
      </c>
    </row>
    <row r="97" spans="1:3">
      <c r="A97" t="s">
        <v>1734</v>
      </c>
      <c r="B97" t="s">
        <v>1919</v>
      </c>
      <c r="C97">
        <v>1</v>
      </c>
    </row>
    <row r="98" spans="1:3">
      <c r="A98" t="s">
        <v>1152</v>
      </c>
      <c r="B98" t="s">
        <v>1921</v>
      </c>
      <c r="C98">
        <v>1</v>
      </c>
    </row>
    <row r="99" spans="1:3">
      <c r="A99" t="s">
        <v>1723</v>
      </c>
      <c r="B99" t="s">
        <v>1921</v>
      </c>
      <c r="C99">
        <v>1</v>
      </c>
    </row>
    <row r="100" spans="1:3">
      <c r="A100" t="s">
        <v>1922</v>
      </c>
      <c r="B100" t="s">
        <v>1921</v>
      </c>
      <c r="C100">
        <v>1</v>
      </c>
    </row>
    <row r="101" spans="1:3">
      <c r="A101" t="s">
        <v>1923</v>
      </c>
      <c r="B101" t="s">
        <v>1921</v>
      </c>
      <c r="C101">
        <v>1</v>
      </c>
    </row>
    <row r="102" spans="1:3">
      <c r="A102" t="s">
        <v>1924</v>
      </c>
      <c r="B102" t="s">
        <v>1925</v>
      </c>
      <c r="C102">
        <v>1</v>
      </c>
    </row>
    <row r="103" spans="1:3">
      <c r="A103" t="s">
        <v>1926</v>
      </c>
      <c r="B103" t="s">
        <v>1927</v>
      </c>
      <c r="C103">
        <v>1</v>
      </c>
    </row>
    <row r="104" spans="1:3">
      <c r="A104" t="s">
        <v>1928</v>
      </c>
      <c r="B104" t="s">
        <v>1927</v>
      </c>
      <c r="C104">
        <v>1</v>
      </c>
    </row>
    <row r="105" spans="1:3">
      <c r="A105" t="s">
        <v>1929</v>
      </c>
      <c r="B105" t="s">
        <v>1930</v>
      </c>
      <c r="C105">
        <v>2</v>
      </c>
    </row>
    <row r="106" spans="1:3">
      <c r="A106" t="s">
        <v>1931</v>
      </c>
      <c r="B106" t="s">
        <v>1930</v>
      </c>
      <c r="C106">
        <v>2</v>
      </c>
    </row>
    <row r="107" spans="1:3">
      <c r="A107" t="s">
        <v>1932</v>
      </c>
      <c r="B107" t="s">
        <v>1930</v>
      </c>
      <c r="C107">
        <v>2</v>
      </c>
    </row>
    <row r="108" spans="1:3">
      <c r="A108" t="s">
        <v>1933</v>
      </c>
      <c r="B108" t="s">
        <v>1930</v>
      </c>
      <c r="C108">
        <v>2</v>
      </c>
    </row>
    <row r="109" spans="1:3">
      <c r="A109" t="s">
        <v>1934</v>
      </c>
      <c r="B109" t="s">
        <v>1930</v>
      </c>
      <c r="C109">
        <v>2</v>
      </c>
    </row>
    <row r="110" spans="1:3">
      <c r="A110" t="s">
        <v>1134</v>
      </c>
      <c r="B110" t="s">
        <v>1930</v>
      </c>
      <c r="C110">
        <v>2</v>
      </c>
    </row>
    <row r="111" spans="1:3">
      <c r="A111" t="s">
        <v>1935</v>
      </c>
      <c r="B111" t="s">
        <v>1930</v>
      </c>
      <c r="C111">
        <v>2</v>
      </c>
    </row>
    <row r="112" spans="1:3">
      <c r="A112" t="s">
        <v>1936</v>
      </c>
      <c r="B112" t="s">
        <v>1930</v>
      </c>
      <c r="C112">
        <v>2</v>
      </c>
    </row>
    <row r="113" spans="1:3">
      <c r="A113" t="s">
        <v>1937</v>
      </c>
      <c r="B113" t="s">
        <v>1938</v>
      </c>
      <c r="C113">
        <v>2</v>
      </c>
    </row>
    <row r="114" spans="1:3">
      <c r="A114" t="s">
        <v>1939</v>
      </c>
      <c r="B114" t="s">
        <v>1938</v>
      </c>
      <c r="C114">
        <v>2</v>
      </c>
    </row>
    <row r="115" spans="1:3">
      <c r="A115" t="s">
        <v>1940</v>
      </c>
      <c r="B115" t="s">
        <v>1941</v>
      </c>
      <c r="C115">
        <v>2</v>
      </c>
    </row>
    <row r="116" spans="1:3">
      <c r="A116" t="s">
        <v>1942</v>
      </c>
      <c r="B116" t="s">
        <v>1941</v>
      </c>
      <c r="C116">
        <v>2</v>
      </c>
    </row>
    <row r="117" spans="1:3">
      <c r="A117" t="s">
        <v>1943</v>
      </c>
      <c r="B117" t="s">
        <v>1941</v>
      </c>
      <c r="C117">
        <v>2</v>
      </c>
    </row>
    <row r="118" spans="1:3">
      <c r="A118" t="s">
        <v>1944</v>
      </c>
      <c r="B118" t="s">
        <v>1941</v>
      </c>
      <c r="C118">
        <v>2</v>
      </c>
    </row>
    <row r="119" spans="1:3">
      <c r="A119" t="s">
        <v>1945</v>
      </c>
      <c r="B119" t="s">
        <v>1946</v>
      </c>
      <c r="C119">
        <v>3</v>
      </c>
    </row>
    <row r="120" spans="1:3">
      <c r="A120" t="s">
        <v>1947</v>
      </c>
      <c r="B120" t="s">
        <v>1946</v>
      </c>
      <c r="C120">
        <v>3</v>
      </c>
    </row>
    <row r="121" spans="1:3">
      <c r="A121" t="s">
        <v>1948</v>
      </c>
      <c r="B121" t="s">
        <v>1946</v>
      </c>
      <c r="C121">
        <v>3</v>
      </c>
    </row>
    <row r="122" spans="1:3">
      <c r="A122" t="s">
        <v>1949</v>
      </c>
      <c r="B122" t="s">
        <v>1946</v>
      </c>
      <c r="C122">
        <v>3</v>
      </c>
    </row>
    <row r="123" spans="1:3">
      <c r="A123" t="s">
        <v>1950</v>
      </c>
      <c r="B123" t="s">
        <v>1951</v>
      </c>
      <c r="C123">
        <v>3</v>
      </c>
    </row>
    <row r="124" spans="1:3">
      <c r="A124" t="s">
        <v>1952</v>
      </c>
      <c r="B124" t="s">
        <v>1951</v>
      </c>
      <c r="C124">
        <v>3</v>
      </c>
    </row>
    <row r="125" spans="1:3">
      <c r="A125" t="s">
        <v>1953</v>
      </c>
      <c r="B125" t="s">
        <v>1951</v>
      </c>
      <c r="C125">
        <v>3</v>
      </c>
    </row>
    <row r="126" spans="1:3">
      <c r="A126" t="s">
        <v>1954</v>
      </c>
      <c r="B126" t="s">
        <v>1951</v>
      </c>
      <c r="C126">
        <v>3</v>
      </c>
    </row>
    <row r="127" spans="1:3">
      <c r="A127" t="s">
        <v>215</v>
      </c>
      <c r="B127" t="s">
        <v>1951</v>
      </c>
      <c r="C127">
        <v>3</v>
      </c>
    </row>
    <row r="128" spans="1:3">
      <c r="A128" t="s">
        <v>1955</v>
      </c>
      <c r="B128" t="s">
        <v>1956</v>
      </c>
      <c r="C128">
        <v>3</v>
      </c>
    </row>
    <row r="129" spans="1:3">
      <c r="A129" t="s">
        <v>146</v>
      </c>
      <c r="B129" t="s">
        <v>1957</v>
      </c>
      <c r="C129">
        <v>3</v>
      </c>
    </row>
    <row r="130" spans="1:3">
      <c r="A130" t="s">
        <v>1580</v>
      </c>
      <c r="B130" t="s">
        <v>1957</v>
      </c>
      <c r="C130">
        <v>3</v>
      </c>
    </row>
    <row r="131" spans="1:3">
      <c r="A131" t="s">
        <v>1958</v>
      </c>
      <c r="B131" t="s">
        <v>1959</v>
      </c>
      <c r="C131">
        <v>3</v>
      </c>
    </row>
    <row r="132" spans="1:3">
      <c r="A132" t="s">
        <v>1960</v>
      </c>
      <c r="B132" t="s">
        <v>1959</v>
      </c>
      <c r="C132">
        <v>3</v>
      </c>
    </row>
    <row r="133" spans="1:3">
      <c r="A133" t="s">
        <v>1961</v>
      </c>
      <c r="B133" t="s">
        <v>1959</v>
      </c>
      <c r="C133">
        <v>3</v>
      </c>
    </row>
    <row r="134" spans="1:3">
      <c r="A134" t="s">
        <v>1962</v>
      </c>
      <c r="B134" t="s">
        <v>1963</v>
      </c>
      <c r="C134">
        <v>3</v>
      </c>
    </row>
    <row r="135" spans="1:3">
      <c r="A135" t="s">
        <v>1964</v>
      </c>
      <c r="B135" t="s">
        <v>1963</v>
      </c>
      <c r="C135">
        <v>3</v>
      </c>
    </row>
    <row r="136" spans="1:3">
      <c r="A136" t="s">
        <v>118</v>
      </c>
      <c r="B136" t="s">
        <v>1965</v>
      </c>
      <c r="C136">
        <v>3</v>
      </c>
    </row>
    <row r="137" spans="1:3">
      <c r="A137" t="s">
        <v>1966</v>
      </c>
      <c r="B137" t="s">
        <v>1965</v>
      </c>
      <c r="C137">
        <v>3</v>
      </c>
    </row>
    <row r="138" spans="1:3">
      <c r="A138" t="s">
        <v>1967</v>
      </c>
      <c r="B138" t="s">
        <v>1968</v>
      </c>
      <c r="C138">
        <v>3</v>
      </c>
    </row>
    <row r="139" spans="1:3">
      <c r="A139" t="s">
        <v>1969</v>
      </c>
      <c r="B139" t="s">
        <v>1968</v>
      </c>
      <c r="C139">
        <v>3</v>
      </c>
    </row>
    <row r="140" spans="1:3">
      <c r="A140" t="s">
        <v>1246</v>
      </c>
      <c r="B140" t="s">
        <v>1970</v>
      </c>
      <c r="C140">
        <v>3</v>
      </c>
    </row>
    <row r="141" spans="1:3">
      <c r="A141" t="s">
        <v>1971</v>
      </c>
      <c r="B141" t="s">
        <v>1970</v>
      </c>
      <c r="C141">
        <v>3</v>
      </c>
    </row>
    <row r="142" spans="1:3">
      <c r="A142" t="s">
        <v>1972</v>
      </c>
      <c r="B142" t="s">
        <v>1970</v>
      </c>
      <c r="C142">
        <v>3</v>
      </c>
    </row>
    <row r="143" spans="1:3">
      <c r="A143" t="s">
        <v>1973</v>
      </c>
      <c r="B143" t="s">
        <v>1911</v>
      </c>
      <c r="C143">
        <v>3</v>
      </c>
    </row>
    <row r="144" spans="1:3">
      <c r="A144" t="s">
        <v>716</v>
      </c>
      <c r="B144" t="s">
        <v>1911</v>
      </c>
      <c r="C144">
        <v>3</v>
      </c>
    </row>
    <row r="145" spans="1:3">
      <c r="A145" t="s">
        <v>744</v>
      </c>
      <c r="B145" t="s">
        <v>1974</v>
      </c>
      <c r="C145">
        <v>3</v>
      </c>
    </row>
    <row r="146" spans="1:3">
      <c r="A146" t="s">
        <v>526</v>
      </c>
      <c r="B146" t="s">
        <v>1975</v>
      </c>
      <c r="C146">
        <v>3</v>
      </c>
    </row>
    <row r="147" spans="1:3">
      <c r="A147" t="s">
        <v>1976</v>
      </c>
      <c r="B147" t="s">
        <v>1975</v>
      </c>
      <c r="C147">
        <v>3</v>
      </c>
    </row>
    <row r="148" spans="1:3">
      <c r="A148" t="s">
        <v>231</v>
      </c>
      <c r="B148" t="s">
        <v>1977</v>
      </c>
      <c r="C148">
        <v>3</v>
      </c>
    </row>
    <row r="149" spans="1:3">
      <c r="A149" t="s">
        <v>1978</v>
      </c>
      <c r="B149" t="s">
        <v>1977</v>
      </c>
      <c r="C149">
        <v>3</v>
      </c>
    </row>
    <row r="150" spans="1:3">
      <c r="A150" t="s">
        <v>652</v>
      </c>
      <c r="B150" t="s">
        <v>1977</v>
      </c>
      <c r="C150">
        <v>3</v>
      </c>
    </row>
    <row r="151" spans="1:3">
      <c r="A151" t="s">
        <v>1979</v>
      </c>
      <c r="B151" t="s">
        <v>1977</v>
      </c>
      <c r="C151">
        <v>3</v>
      </c>
    </row>
    <row r="152" spans="1:3">
      <c r="A152" t="s">
        <v>574</v>
      </c>
      <c r="B152" t="s">
        <v>1977</v>
      </c>
      <c r="C152">
        <v>3</v>
      </c>
    </row>
    <row r="153" spans="1:3">
      <c r="A153" t="s">
        <v>1980</v>
      </c>
      <c r="B153" t="s">
        <v>1981</v>
      </c>
      <c r="C153">
        <v>3</v>
      </c>
    </row>
    <row r="154" spans="1:3">
      <c r="A154" t="s">
        <v>1982</v>
      </c>
      <c r="B154" t="s">
        <v>1981</v>
      </c>
      <c r="C154">
        <v>3</v>
      </c>
    </row>
    <row r="155" spans="1:3">
      <c r="A155" t="s">
        <v>1983</v>
      </c>
      <c r="B155" t="s">
        <v>1981</v>
      </c>
      <c r="C155">
        <v>3</v>
      </c>
    </row>
    <row r="156" spans="1:3">
      <c r="A156" t="s">
        <v>1984</v>
      </c>
      <c r="B156" t="s">
        <v>1981</v>
      </c>
      <c r="C156">
        <v>3</v>
      </c>
    </row>
    <row r="157" spans="1:3">
      <c r="A157" t="s">
        <v>104</v>
      </c>
      <c r="B157" t="s">
        <v>1985</v>
      </c>
      <c r="C157">
        <v>9</v>
      </c>
    </row>
    <row r="158" spans="1:3">
      <c r="A158" t="s">
        <v>1986</v>
      </c>
      <c r="B158" t="s">
        <v>1985</v>
      </c>
      <c r="C158">
        <v>9</v>
      </c>
    </row>
    <row r="159" spans="1:3">
      <c r="A159" t="s">
        <v>180</v>
      </c>
      <c r="B159" t="s">
        <v>1860</v>
      </c>
      <c r="C159">
        <v>9</v>
      </c>
    </row>
    <row r="160" spans="1:3">
      <c r="A160" t="s">
        <v>1987</v>
      </c>
      <c r="B160" t="s">
        <v>1899</v>
      </c>
      <c r="C160">
        <v>9</v>
      </c>
    </row>
    <row r="161" spans="1:3">
      <c r="A161" t="s">
        <v>407</v>
      </c>
      <c r="B161" t="s">
        <v>1807</v>
      </c>
      <c r="C161">
        <v>9</v>
      </c>
    </row>
    <row r="162" spans="1:3">
      <c r="A162" t="s">
        <v>522</v>
      </c>
      <c r="B162" t="s">
        <v>1802</v>
      </c>
      <c r="C162">
        <v>9</v>
      </c>
    </row>
    <row r="163" spans="1:3">
      <c r="A163" t="s">
        <v>1988</v>
      </c>
      <c r="B163" t="s">
        <v>1802</v>
      </c>
      <c r="C163">
        <v>9</v>
      </c>
    </row>
    <row r="164" spans="1:3">
      <c r="A164" t="s">
        <v>1989</v>
      </c>
      <c r="B164" t="s">
        <v>1802</v>
      </c>
      <c r="C164">
        <v>9</v>
      </c>
    </row>
    <row r="165" spans="1:3">
      <c r="A165" t="s">
        <v>1990</v>
      </c>
      <c r="B165" t="s">
        <v>1802</v>
      </c>
      <c r="C165">
        <v>9</v>
      </c>
    </row>
    <row r="166" spans="1:3">
      <c r="A166" t="s">
        <v>198</v>
      </c>
      <c r="B166" t="s">
        <v>1879</v>
      </c>
      <c r="C166">
        <v>9</v>
      </c>
    </row>
    <row r="167" spans="1:3">
      <c r="A167" t="s">
        <v>1425</v>
      </c>
      <c r="B167" t="s">
        <v>1879</v>
      </c>
      <c r="C167">
        <v>9</v>
      </c>
    </row>
    <row r="168" spans="1:3">
      <c r="A168" t="s">
        <v>1991</v>
      </c>
      <c r="B168" t="s">
        <v>1877</v>
      </c>
      <c r="C168">
        <v>9</v>
      </c>
    </row>
    <row r="169" spans="1:3">
      <c r="A169" t="s">
        <v>82</v>
      </c>
      <c r="B169" t="s">
        <v>1877</v>
      </c>
      <c r="C169">
        <v>9</v>
      </c>
    </row>
    <row r="170" spans="1:3">
      <c r="A170" t="s">
        <v>1605</v>
      </c>
      <c r="B170" t="s">
        <v>1877</v>
      </c>
      <c r="C170">
        <v>9</v>
      </c>
    </row>
    <row r="171" spans="1:3">
      <c r="A171" t="s">
        <v>210</v>
      </c>
      <c r="B171" t="s">
        <v>1881</v>
      </c>
      <c r="C171">
        <v>9</v>
      </c>
    </row>
    <row r="172" spans="1:3">
      <c r="A172" t="s">
        <v>187</v>
      </c>
      <c r="B172" t="s">
        <v>1884</v>
      </c>
      <c r="C172">
        <v>9</v>
      </c>
    </row>
    <row r="173" spans="1:3">
      <c r="A173" t="s">
        <v>1992</v>
      </c>
      <c r="B173" t="s">
        <v>1886</v>
      </c>
      <c r="C173">
        <v>9</v>
      </c>
    </row>
    <row r="174" spans="1:3">
      <c r="A174" t="s">
        <v>1993</v>
      </c>
      <c r="B174" t="s">
        <v>1886</v>
      </c>
      <c r="C174">
        <v>9</v>
      </c>
    </row>
    <row r="175" spans="1:3">
      <c r="A175" t="s">
        <v>1994</v>
      </c>
      <c r="B175" t="s">
        <v>1874</v>
      </c>
      <c r="C175">
        <v>9</v>
      </c>
    </row>
    <row r="176" spans="1:3">
      <c r="A176" t="s">
        <v>1995</v>
      </c>
      <c r="B176" t="s">
        <v>1874</v>
      </c>
      <c r="C176">
        <v>9</v>
      </c>
    </row>
    <row r="177" spans="1:3">
      <c r="A177" t="s">
        <v>1996</v>
      </c>
      <c r="B177" t="s">
        <v>1852</v>
      </c>
      <c r="C177">
        <v>9</v>
      </c>
    </row>
    <row r="178" spans="1:3">
      <c r="A178" t="s">
        <v>1997</v>
      </c>
      <c r="B178" t="s">
        <v>1852</v>
      </c>
      <c r="C178">
        <v>9</v>
      </c>
    </row>
    <row r="179" spans="1:3">
      <c r="A179" t="s">
        <v>193</v>
      </c>
      <c r="B179" t="s">
        <v>1998</v>
      </c>
      <c r="C179">
        <v>9</v>
      </c>
    </row>
    <row r="180" spans="1:3">
      <c r="A180" t="s">
        <v>1999</v>
      </c>
      <c r="B180" t="s">
        <v>1836</v>
      </c>
      <c r="C180">
        <v>9</v>
      </c>
    </row>
    <row r="181" spans="1:3">
      <c r="A181" t="s">
        <v>2000</v>
      </c>
      <c r="B181" t="s">
        <v>1836</v>
      </c>
      <c r="C181">
        <v>9</v>
      </c>
    </row>
    <row r="182" spans="1:3">
      <c r="A182" t="s">
        <v>1331</v>
      </c>
      <c r="B182" t="s">
        <v>2001</v>
      </c>
      <c r="C182">
        <v>9</v>
      </c>
    </row>
    <row r="183" spans="1:3">
      <c r="A183" t="s">
        <v>2002</v>
      </c>
      <c r="B183" t="s">
        <v>2003</v>
      </c>
      <c r="C183">
        <v>9</v>
      </c>
    </row>
    <row r="184" spans="1:3">
      <c r="A184" t="s">
        <v>2004</v>
      </c>
      <c r="B184" t="s">
        <v>2003</v>
      </c>
      <c r="C184">
        <v>9</v>
      </c>
    </row>
    <row r="185" spans="1:3">
      <c r="A185" t="s">
        <v>1953</v>
      </c>
      <c r="B185" t="s">
        <v>1951</v>
      </c>
      <c r="C185">
        <v>9</v>
      </c>
    </row>
    <row r="186" spans="1:3">
      <c r="A186" t="s">
        <v>2005</v>
      </c>
      <c r="B186" t="s">
        <v>1970</v>
      </c>
      <c r="C186">
        <v>9</v>
      </c>
    </row>
    <row r="187" spans="1:3">
      <c r="A187" t="s">
        <v>744</v>
      </c>
      <c r="B187" t="s">
        <v>1974</v>
      </c>
      <c r="C187">
        <v>9</v>
      </c>
    </row>
  </sheetData>
  <autoFilter ref="A1:C187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داده خام</vt:lpstr>
      <vt:lpstr>منطق دسته‌بندی</vt:lpstr>
      <vt:lpstr>'داده خام'!Print_Titles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خانم جعفری</dc:creator>
  <cp:lastModifiedBy>خانم جعفری</cp:lastModifiedBy>
  <dcterms:created xsi:type="dcterms:W3CDTF">2026-09-27T04:09:43Z</dcterms:created>
  <dcterms:modified xsi:type="dcterms:W3CDTF">2026-09-28T11:03:13Z</dcterms:modified>
</cp:coreProperties>
</file>