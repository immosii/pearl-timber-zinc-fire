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داشبورد" sheetId="1" state="visible" r:id="rId1"/>
    <sheet xmlns:r="http://schemas.openxmlformats.org/officeDocument/2006/relationships" name="تحلیل" sheetId="2" state="visible" r:id="rId2"/>
    <sheet xmlns:r="http://schemas.openxmlformats.org/officeDocument/2006/relationships" name="داده خام" sheetId="3" state="visible" r:id="rId3"/>
    <sheet xmlns:r="http://schemas.openxmlformats.org/officeDocument/2006/relationships" name="قیمت‌ها و مفروضات" sheetId="4" state="visible" r:id="rId4"/>
    <sheet xmlns:r="http://schemas.openxmlformats.org/officeDocument/2006/relationships" name="تبدیل تاریخ" sheetId="5" state="visible" r:id="rId5"/>
    <sheet xmlns:r="http://schemas.openxmlformats.org/officeDocument/2006/relationships" name="نصب و فروش" sheetId="6" state="visible" r:id="rId6"/>
    <sheet xmlns:r="http://schemas.openxmlformats.org/officeDocument/2006/relationships" name="تحلیل تکمیلی" sheetId="7" state="visible" r:id="rId7"/>
  </sheets>
  <definedNames>
    <definedName name="_xlchart.v1.0" hidden="1" function="0" vbProcedure="0">داشبورد!$B$31:$B$38</definedName>
    <definedName name="_xlchart.v1.1" hidden="1" function="0" vbProcedure="0">داشبورد!$C$31:$C$38</definedName>
    <definedName name="_xlchart.v2.2" hidden="1" function="0" vbProcedure="0">تحلیل!$A$3:$A$7</definedName>
    <definedName name="_xlchart.v2.3" hidden="1" function="0" vbProcedure="0">تحلیل!$B$2</definedName>
    <definedName name="_xlchart.v2.4" hidden="1" function="0" vbProcedure="0">تحلیل!$B$3:$B$7</definedName>
    <definedName name="_xlnm.Print_Area" localSheetId="3">'قیمت‌ها و مفروضات'!$A$1:$E$71</definedName>
    <definedName name="_xlnm.Print_Area" localSheetId="5">'نصب و فروش'!$A$1:$E$166</definedName>
    <definedName name="_xlnm.Print_Area" localSheetId="6">'تحلیل تکمیلی'!$A$1:$G$77</definedName>
  </definedNames>
  <calcPr calcId="124519" fullCalcOnLoad="1" refMode="A1" iterate="0" iterateCount="100" iterateDelta="0.0001"/>
</workbook>
</file>

<file path=xl/styles.xml><?xml version="1.0" encoding="utf-8"?>
<styleSheet xmlns="http://schemas.openxmlformats.org/spreadsheetml/2006/main">
  <numFmts count="4">
    <numFmt numFmtId="164" formatCode="0.0%"/>
    <numFmt numFmtId="165" formatCode="yyyy\-mm\-dd"/>
    <numFmt numFmtId="166" formatCode="m/d/yyyy"/>
    <numFmt numFmtId="167" formatCode="+0.0%;-0.0%;0%"/>
  </numFmts>
  <fonts count="76">
    <font>
      <name val="Calibri"/>
      <charset val="1"/>
      <family val="2"/>
      <color theme="1"/>
      <sz val="11"/>
    </font>
    <font>
      <name val="Arial"/>
      <family val="0"/>
      <sz val="10"/>
    </font>
    <font>
      <name val="Arial"/>
      <family val="0"/>
      <sz val="10"/>
    </font>
    <font>
      <name val="Arial"/>
      <family val="0"/>
      <sz val="10"/>
    </font>
    <font>
      <name val="Calibri"/>
      <charset val="178"/>
      <family val="2"/>
      <color theme="1"/>
      <sz val="11"/>
    </font>
    <font>
      <name val="Calibri"/>
      <charset val="178"/>
      <family val="2"/>
      <color theme="0"/>
      <sz val="11"/>
    </font>
    <font>
      <name val="Calibri"/>
      <charset val="178"/>
      <family val="2"/>
      <color rgb="FF9C0006"/>
      <sz val="11"/>
    </font>
    <font>
      <name val="Calibri"/>
      <charset val="178"/>
      <family val="2"/>
      <b val="1"/>
      <color rgb="FFFA7D00"/>
      <sz val="11"/>
    </font>
    <font>
      <name val="Calibri"/>
      <charset val="178"/>
      <family val="2"/>
      <b val="1"/>
      <color theme="0"/>
      <sz val="11"/>
    </font>
    <font>
      <name val="Calibri"/>
      <charset val="178"/>
      <family val="2"/>
      <i val="1"/>
      <color rgb="FF7F7F7F"/>
      <sz val="11"/>
    </font>
    <font>
      <name val="Calibri"/>
      <charset val="178"/>
      <family val="2"/>
      <color rgb="FF006100"/>
      <sz val="11"/>
    </font>
    <font>
      <name val="Calibri"/>
      <charset val="178"/>
      <family val="2"/>
      <b val="1"/>
      <color theme="3"/>
      <sz val="15"/>
    </font>
    <font>
      <name val="Calibri"/>
      <charset val="178"/>
      <family val="2"/>
      <b val="1"/>
      <color theme="3"/>
      <sz val="13"/>
    </font>
    <font>
      <name val="Calibri"/>
      <charset val="178"/>
      <family val="2"/>
      <b val="1"/>
      <color theme="3"/>
      <sz val="11"/>
    </font>
    <font>
      <name val="Calibri"/>
      <charset val="178"/>
      <family val="2"/>
      <color rgb="FF3F3F76"/>
      <sz val="11"/>
    </font>
    <font>
      <name val="Calibri"/>
      <charset val="178"/>
      <family val="2"/>
      <color rgb="FFFA7D00"/>
      <sz val="11"/>
    </font>
    <font>
      <name val="Calibri"/>
      <charset val="178"/>
      <family val="2"/>
      <color rgb="FF9C5700"/>
      <sz val="11"/>
    </font>
    <font>
      <name val="Calibri"/>
      <charset val="178"/>
      <family val="2"/>
      <b val="1"/>
      <color rgb="FF3F3F3F"/>
      <sz val="11"/>
    </font>
    <font>
      <name val="Cambria"/>
      <charset val="178"/>
      <family val="2"/>
      <color theme="3"/>
      <sz val="18"/>
    </font>
    <font>
      <name val="Calibri"/>
      <charset val="178"/>
      <family val="2"/>
      <b val="1"/>
      <color theme="1"/>
      <sz val="11"/>
    </font>
    <font>
      <name val="Calibri"/>
      <charset val="178"/>
      <family val="2"/>
      <color rgb="FFFF0000"/>
      <sz val="11"/>
    </font>
    <font>
      <name val="Clever2"/>
      <charset val="178"/>
      <family val="2"/>
      <color theme="1"/>
      <sz val="11"/>
    </font>
    <font>
      <name val="Clever2"/>
      <charset val="178"/>
      <family val="2"/>
      <b val="1"/>
      <color rgb="FF1C3454"/>
      <sz val="18"/>
    </font>
    <font>
      <name val="Clever2"/>
      <charset val="178"/>
      <family val="2"/>
      <color rgb="FF5B6472"/>
      <sz val="10"/>
    </font>
    <font>
      <name val="Clever2"/>
      <charset val="178"/>
      <family val="2"/>
      <color rgb="FF5B6472"/>
      <sz val="9"/>
    </font>
    <font>
      <name val="Clever2"/>
      <charset val="178"/>
      <family val="2"/>
      <color rgb="FFFF0000"/>
      <sz val="11"/>
    </font>
    <font>
      <name val="Clever2"/>
      <charset val="178"/>
      <family val="2"/>
      <b val="1"/>
      <color theme="0" tint="-0.5"/>
      <sz val="22"/>
    </font>
    <font>
      <name val="Clever2"/>
      <charset val="178"/>
      <family val="2"/>
      <b val="1"/>
      <color theme="0" tint="-0.5"/>
      <sz val="18"/>
    </font>
    <font>
      <name val="Clever2"/>
      <charset val="178"/>
      <family val="2"/>
      <color theme="0" tint="-0.5"/>
      <sz val="8.5"/>
    </font>
    <font>
      <name val="Clever2"/>
      <charset val="178"/>
      <family val="2"/>
      <b val="1"/>
      <color rgb="FFFFFFFF"/>
      <sz val="11"/>
    </font>
    <font>
      <name val="Clever2"/>
      <charset val="178"/>
      <family val="2"/>
      <b val="1"/>
      <color rgb="FFFFFFFF"/>
      <sz val="10"/>
    </font>
    <font>
      <name val="Clever2"/>
      <charset val="178"/>
      <family val="2"/>
      <color rgb="FF111820"/>
      <sz val="9.5"/>
    </font>
    <font>
      <name val="Clever2"/>
      <charset val="178"/>
      <family val="2"/>
      <sz val="9.5"/>
    </font>
    <font>
      <name val="Clever2"/>
      <charset val="178"/>
      <family val="2"/>
      <b val="1"/>
      <color theme="0"/>
      <sz val="12"/>
    </font>
    <font>
      <name val="Clever2"/>
      <charset val="178"/>
      <family val="2"/>
      <b val="1"/>
      <sz val="12"/>
    </font>
    <font>
      <name val="Clever2"/>
      <charset val="178"/>
      <family val="2"/>
      <sz val="12"/>
    </font>
    <font>
      <name val="Clever2"/>
      <charset val="178"/>
      <family val="2"/>
      <color theme="0"/>
      <sz val="9"/>
    </font>
    <font>
      <name val="Clever2"/>
      <charset val="178"/>
      <family val="2"/>
      <b val="1"/>
      <color rgb="FF1F497D"/>
      <sz val="15"/>
    </font>
    <font>
      <name val="Clever2"/>
      <charset val="178"/>
      <family val="2"/>
      <color theme="1"/>
      <sz val="16"/>
    </font>
    <font>
      <name val="Clever2"/>
      <charset val="178"/>
      <family val="2"/>
      <b val="1"/>
      <color rgb="FFC4622D"/>
      <sz val="12"/>
    </font>
    <font>
      <name val="Clever2"/>
      <charset val="178"/>
      <family val="2"/>
      <b val="1"/>
      <color rgb="FFD99A3B"/>
      <sz val="12"/>
    </font>
    <font>
      <name val="Clever2"/>
      <charset val="178"/>
      <family val="2"/>
      <b val="1"/>
      <color rgb="FF1C3454"/>
      <sz val="12"/>
    </font>
    <font>
      <name val="Clever2"/>
      <charset val="178"/>
      <family val="2"/>
      <color rgb="FF111820"/>
      <sz val="12"/>
    </font>
    <font>
      <name val="Clever2"/>
      <charset val="178"/>
      <family val="2"/>
      <color theme="1"/>
      <sz val="12"/>
    </font>
    <font>
      <name val="Clever2"/>
      <charset val="178"/>
      <family val="2"/>
      <b val="1"/>
      <color rgb="FF2E5077"/>
      <sz val="12"/>
    </font>
    <font>
      <name val="Clever2"/>
      <charset val="178"/>
      <family val="2"/>
      <b val="1"/>
      <color rgb="FF3F7D58"/>
      <sz val="12"/>
    </font>
    <font>
      <name val="Clever2"/>
      <charset val="178"/>
      <family val="2"/>
      <i val="1"/>
      <color rgb="FF5B6472"/>
      <sz val="9"/>
    </font>
    <font>
      <name val="Clever2"/>
      <family val="2"/>
      <b val="1"/>
      <color rgb="FF000000"/>
      <sz val="10"/>
    </font>
    <font>
      <name val="Clever2"/>
      <family val="2"/>
      <color rgb="FF000000"/>
      <sz val="10"/>
    </font>
    <font>
      <name val="Clever2"/>
      <family val="2"/>
      <b val="1"/>
      <color rgb="FF000000"/>
      <sz val="18"/>
    </font>
    <font>
      <name val="Times New Roman"/>
      <family val="1"/>
      <sz val="11"/>
    </font>
    <font>
      <name val="Clever2"/>
      <family val="2"/>
      <color rgb="FF595959"/>
      <sz val="14"/>
    </font>
    <font>
      <name val="Clever2"/>
      <family val="2"/>
      <color rgb="FF595959"/>
      <sz val="9"/>
    </font>
    <font>
      <name val="Clever2"/>
      <charset val="178"/>
      <family val="2"/>
      <b val="1"/>
      <color rgb="FFFFFFFF"/>
      <sz val="12"/>
    </font>
    <font>
      <name val="Clever2"/>
      <charset val="178"/>
      <family val="2"/>
      <sz val="10"/>
    </font>
    <font>
      <name val="Clever2 Bold"/>
      <charset val="178"/>
      <family val="2"/>
      <color theme="1"/>
      <sz val="14"/>
    </font>
    <font>
      <name val="Clever2 Bold"/>
      <charset val="178"/>
      <family val="2"/>
      <b val="1"/>
      <color rgb="FFFFFFFF"/>
      <sz val="14"/>
    </font>
    <font>
      <name val="YEKAN BAKH"/>
      <charset val="1"/>
      <family val="0"/>
      <color theme="1"/>
      <sz val="11"/>
    </font>
    <font>
      <name val="Clever2"/>
      <charset val="178"/>
      <family val="2"/>
      <color theme="1"/>
      <sz val="10"/>
    </font>
    <font>
      <name val="Arial"/>
      <charset val="1"/>
      <family val="2"/>
      <sz val="9.5"/>
    </font>
    <font>
      <name val="Clever2"/>
      <b val="1"/>
      <color rgb="FF1C3454"/>
      <sz val="15"/>
    </font>
    <font>
      <name val="Clever2"/>
      <i val="1"/>
      <color rgb="FF8A8375"/>
      <sz val="9"/>
    </font>
    <font>
      <name val="Clever2"/>
      <b val="1"/>
      <color rgb="FFFFFFFF"/>
      <sz val="10"/>
    </font>
    <font>
      <name val="Clever2"/>
      <sz val="10.5"/>
    </font>
    <font>
      <name val="Clever2"/>
      <b val="1"/>
      <color rgb="FF7A5B00"/>
      <sz val="10.5"/>
    </font>
    <font>
      <name val="Clever2"/>
      <color rgb="FFAAAAAA"/>
      <sz val="8"/>
    </font>
    <font>
      <name val="Clever2"/>
      <color rgb="FF2F6B3A"/>
      <sz val="10.5"/>
    </font>
    <font>
      <name val="Clever2"/>
      <i val="1"/>
      <color rgb="FFAAAAAA"/>
      <sz val="8"/>
    </font>
    <font>
      <name val="Clever2"/>
      <b val="1"/>
      <sz val="9.5"/>
    </font>
    <font>
      <name val="Clever2"/>
      <b val="1"/>
      <color rgb="FFFFFFFF"/>
      <sz val="12"/>
    </font>
    <font>
      <name val="Clever2"/>
      <b val="1"/>
      <sz val="10.5"/>
    </font>
    <font>
      <name val="Clever2"/>
      <b val="1"/>
      <color rgb="FFC4622D"/>
      <sz val="11"/>
    </font>
    <font>
      <name val="Clever2"/>
      <i val="1"/>
      <color rgb="FF9B9483"/>
      <sz val="10"/>
    </font>
    <font>
      <name val="Clever2"/>
      <b val="1"/>
      <sz val="11"/>
    </font>
    <font>
      <name val="Clever2"/>
      <b val="1"/>
      <color rgb="FFC4622D"/>
      <sz val="13"/>
    </font>
    <font>
      <name val="Clever2"/>
      <b val="1"/>
      <color rgb="FF2F6B3A"/>
      <sz val="10.5"/>
    </font>
  </fonts>
  <fills count="47">
    <fill>
      <patternFill/>
    </fill>
    <fill>
      <patternFill patternType="gray125"/>
    </fill>
    <fill>
      <patternFill patternType="solid">
        <fgColor theme="4" tint="0.7998"/>
        <bgColor rgb="FFDBEEF4"/>
      </patternFill>
    </fill>
    <fill>
      <patternFill patternType="solid">
        <fgColor theme="5" tint="0.7998"/>
        <bgColor rgb="FFE3E1D8"/>
      </patternFill>
    </fill>
    <fill>
      <patternFill patternType="solid">
        <fgColor theme="6" tint="0.7998"/>
        <bgColor rgb="FFF2F2F2"/>
      </patternFill>
    </fill>
    <fill>
      <patternFill patternType="solid">
        <fgColor theme="7" tint="0.7998"/>
        <bgColor rgb="FFE3E1D8"/>
      </patternFill>
    </fill>
    <fill>
      <patternFill patternType="solid">
        <fgColor theme="8" tint="0.7998"/>
        <bgColor rgb="FFDCE6F2"/>
      </patternFill>
    </fill>
    <fill>
      <patternFill patternType="solid">
        <fgColor theme="9" tint="0.7998"/>
        <bgColor rgb="FFEBF1DE"/>
      </patternFill>
    </fill>
    <fill>
      <patternFill patternType="solid">
        <fgColor theme="4" tint="0.5998"/>
        <bgColor rgb="FFB7DEE8"/>
      </patternFill>
    </fill>
    <fill>
      <patternFill patternType="solid">
        <fgColor theme="5" tint="0.5998"/>
        <bgColor rgb="FFFAC090"/>
      </patternFill>
    </fill>
    <fill>
      <patternFill patternType="solid">
        <fgColor theme="6" tint="0.5998"/>
        <bgColor rgb="FFE3E1D8"/>
      </patternFill>
    </fill>
    <fill>
      <patternFill patternType="solid">
        <fgColor theme="7" tint="0.5998"/>
        <bgColor rgb="FFB9CDE5"/>
      </patternFill>
    </fill>
    <fill>
      <patternFill patternType="solid">
        <fgColor theme="8" tint="0.5998"/>
        <bgColor rgb="FFB9CDE5"/>
      </patternFill>
    </fill>
    <fill>
      <patternFill patternType="solid">
        <fgColor theme="9" tint="0.5998"/>
        <bgColor rgb="FFFFCC99"/>
      </patternFill>
    </fill>
    <fill>
      <patternFill patternType="solid">
        <fgColor theme="4" tint="0.3998"/>
        <bgColor rgb="FF93CDDD"/>
      </patternFill>
    </fill>
    <fill>
      <patternFill patternType="solid">
        <fgColor theme="5" tint="0.3998"/>
        <bgColor rgb="FFB3A2C7"/>
      </patternFill>
    </fill>
    <fill>
      <patternFill patternType="solid">
        <fgColor theme="6" tint="0.3998"/>
        <bgColor rgb="FFD7E4BD"/>
      </patternFill>
    </fill>
    <fill>
      <patternFill patternType="solid">
        <fgColor theme="7" tint="0.3998"/>
        <bgColor rgb="FFA5A5A5"/>
      </patternFill>
    </fill>
    <fill>
      <patternFill patternType="solid">
        <fgColor theme="8" tint="0.3998"/>
        <bgColor rgb="FF97B5D9"/>
      </patternFill>
    </fill>
    <fill>
      <patternFill patternType="solid">
        <fgColor theme="9" tint="0.3998"/>
        <bgColor rgb="FFFFCC99"/>
      </patternFill>
    </fill>
    <fill>
      <patternFill patternType="solid">
        <fgColor theme="4"/>
        <bgColor rgb="FF4BACC6"/>
      </patternFill>
    </fill>
    <fill>
      <patternFill patternType="solid">
        <fgColor theme="5"/>
        <bgColor rgb="FFC4622D"/>
      </patternFill>
    </fill>
    <fill>
      <patternFill patternType="solid">
        <fgColor theme="6"/>
        <bgColor rgb="FFA5A5A5"/>
      </patternFill>
    </fill>
    <fill>
      <patternFill patternType="solid">
        <fgColor theme="7"/>
        <bgColor rgb="FF7F7F7F"/>
      </patternFill>
    </fill>
    <fill>
      <patternFill patternType="solid">
        <fgColor theme="8"/>
        <bgColor rgb="FF4F81BD"/>
      </patternFill>
    </fill>
    <fill>
      <patternFill patternType="solid">
        <fgColor theme="9"/>
        <bgColor rgb="FFD99A3B"/>
      </patternFill>
    </fill>
    <fill>
      <patternFill patternType="solid">
        <fgColor rgb="FFFFC7CE"/>
        <bgColor rgb="FFFCD5B5"/>
      </patternFill>
    </fill>
    <fill>
      <patternFill patternType="solid">
        <fgColor rgb="FFF2F2F2"/>
        <bgColor rgb="FFEBF1DE"/>
      </patternFill>
    </fill>
    <fill>
      <patternFill patternType="solid">
        <fgColor rgb="FFA5A5A5"/>
        <bgColor rgb="FFB3A2C7"/>
      </patternFill>
    </fill>
    <fill>
      <patternFill patternType="solid">
        <fgColor rgb="FFC6EFCE"/>
        <bgColor rgb="FFD7E4BD"/>
      </patternFill>
    </fill>
    <fill>
      <patternFill patternType="solid">
        <fgColor rgb="FFFFCC99"/>
        <bgColor rgb="FFFAC090"/>
      </patternFill>
    </fill>
    <fill>
      <patternFill patternType="solid">
        <fgColor rgb="FFFFEB9C"/>
        <bgColor rgb="FFFCD5B5"/>
      </patternFill>
    </fill>
    <fill>
      <patternFill patternType="solid">
        <fgColor rgb="FFFFFFCC"/>
        <bgColor rgb="FFEBF1DE"/>
      </patternFill>
    </fill>
    <fill>
      <patternFill patternType="solid">
        <fgColor rgb="FFFFFFFF"/>
        <bgColor rgb="FFF2F2F2"/>
      </patternFill>
    </fill>
    <fill>
      <patternFill patternType="solid">
        <fgColor rgb="FF2E4F77"/>
        <bgColor rgb="FF1F497D"/>
      </patternFill>
    </fill>
    <fill>
      <patternFill patternType="solid">
        <fgColor theme="9" tint="-0.5"/>
        <bgColor rgb="FF9C5700"/>
      </patternFill>
    </fill>
    <fill>
      <patternFill patternType="mediumGray">
        <fgColor theme="4" tint="-0.5"/>
        <bgColor rgb="FF1F497D"/>
      </patternFill>
    </fill>
    <fill>
      <patternFill patternType="solid">
        <fgColor rgb="FF1C3454"/>
        <bgColor rgb="FF134731"/>
      </patternFill>
    </fill>
    <fill>
      <patternFill patternType="solid">
        <fgColor rgb="FFFFFF00"/>
        <bgColor rgb="FFFFEB9C"/>
      </patternFill>
    </fill>
    <fill>
      <patternFill patternType="solid">
        <fgColor rgb="FFC00000"/>
        <bgColor rgb="FF9C0006"/>
      </patternFill>
    </fill>
    <fill>
      <patternFill patternType="solid">
        <fgColor theme="2" tint="-0.5"/>
        <bgColor rgb="FF808080"/>
      </patternFill>
    </fill>
    <fill>
      <patternFill patternType="solid">
        <fgColor rgb="FF1C3454"/>
        <bgColor rgb="FF1C3454"/>
      </patternFill>
    </fill>
    <fill>
      <patternFill patternType="solid">
        <fgColor rgb="FFFEF3D0"/>
        <bgColor rgb="FFFEF3D0"/>
      </patternFill>
    </fill>
    <fill>
      <patternFill patternType="solid">
        <fgColor rgb="FFF2F0EA"/>
        <bgColor rgb="FFF2F0EA"/>
      </patternFill>
    </fill>
    <fill>
      <patternFill patternType="solid">
        <fgColor rgb="FFE3F1E1"/>
        <bgColor rgb="FFE3F1E1"/>
      </patternFill>
    </fill>
    <fill>
      <patternFill patternType="solid">
        <fgColor rgb="FF2E5077"/>
        <bgColor rgb="FF2E5077"/>
      </patternFill>
    </fill>
    <fill>
      <patternFill patternType="solid">
        <fgColor rgb="FFFCE8B2"/>
        <bgColor rgb="FFFCE8B2"/>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8"/>
      </bottom>
      <diagonal/>
    </border>
    <border>
      <left/>
      <right/>
      <top/>
      <bottom style="medium">
        <color theme="4" tint="0.3998"/>
      </bottom>
      <diagonal/>
    </border>
    <border>
      <left/>
      <right/>
      <top/>
      <bottom style="double">
        <color rgb="FFFA7D00"/>
      </bottom>
      <diagonal/>
    </border>
    <border>
      <left style="thin">
        <color rgb="FFB3B3B3"/>
      </left>
      <right style="thin">
        <color rgb="FFB3B3B3"/>
      </right>
      <top style="thin">
        <color rgb="FFB3B3B3"/>
      </top>
      <bottom style="thin">
        <color rgb="FFB3B3B3"/>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ck">
        <color rgb="FFC4622D"/>
      </top>
      <bottom/>
      <diagonal/>
    </border>
    <border>
      <left style="thin">
        <color rgb="FFE3E1D8"/>
      </left>
      <right style="thin">
        <color rgb="FFE3E1D8"/>
      </right>
      <top style="thin">
        <color rgb="FFE3E1D8"/>
      </top>
      <bottom style="thin">
        <color rgb="FFE3E1D8"/>
      </bottom>
      <diagonal/>
    </border>
    <border>
      <left/>
      <right/>
      <top/>
      <bottom style="thin">
        <color rgb="FFE3E1D8"/>
      </bottom>
      <diagonal/>
    </border>
    <border>
      <left/>
      <right/>
      <top style="thick">
        <color rgb="FFD99A3B"/>
      </top>
      <bottom/>
      <diagonal/>
    </border>
    <border>
      <left/>
      <right/>
      <top style="thick">
        <color rgb="FF2E4F77"/>
      </top>
      <bottom/>
      <diagonal/>
    </border>
    <border>
      <left/>
      <right/>
      <top style="thick">
        <color rgb="FF1C3454"/>
      </top>
      <bottom/>
      <diagonal/>
    </border>
    <border>
      <left/>
      <right/>
      <top style="thick">
        <color rgb="FF3F7D58"/>
      </top>
      <bottom/>
      <diagonal/>
    </border>
    <border>
      <left/>
      <right/>
      <top style="thin">
        <color theme="6"/>
      </top>
      <bottom/>
      <diagonal/>
    </border>
    <border>
      <left/>
      <right/>
      <top style="thin">
        <color theme="6"/>
      </top>
      <bottom style="thin">
        <color rgb="FFE3E1D8"/>
      </bottom>
      <diagonal/>
    </border>
    <border>
      <left style="thin">
        <color rgb="FFE3E1D8"/>
      </left>
      <right style="thin">
        <color rgb="FFE3E1D8"/>
      </right>
      <top style="thin">
        <color rgb="FFE3E1D8"/>
      </top>
      <bottom/>
      <diagonal/>
    </border>
    <border>
      <left style="thin"/>
      <right style="thin"/>
      <top style="thin"/>
      <bottom style="thin"/>
      <diagonal/>
    </border>
    <border>
      <left/>
      <right/>
      <top style="thin">
        <color rgb="FFE3E1D8"/>
      </top>
      <bottom/>
      <diagonal/>
    </border>
    <border>
      <left/>
      <right style="thin">
        <color rgb="FFE3E1D8"/>
      </right>
      <top style="thin">
        <color rgb="FFE3E1D8"/>
      </top>
      <bottom/>
      <diagonal/>
    </border>
    <border>
      <left/>
      <right/>
      <top style="thin">
        <color rgb="FFE3E1D8"/>
      </top>
      <bottom style="thin">
        <color rgb="FFE3E1D8"/>
      </bottom>
      <diagonal/>
    </border>
    <border>
      <left/>
      <right style="thin">
        <color rgb="FFE3E1D8"/>
      </right>
      <top style="thin">
        <color rgb="FFE3E1D8"/>
      </top>
      <bottom style="thin">
        <color rgb="FFE3E1D8"/>
      </bottom>
      <diagonal/>
    </border>
    <border>
      <left style="thin">
        <color rgb="FFE3E1D8"/>
      </left>
      <right style="thin">
        <color rgb="FFE3E1D8"/>
      </right>
      <top style="thin">
        <color rgb="FFE3E1D8"/>
      </top>
      <bottom style="thin">
        <color rgb="FFE3E1D8"/>
      </bottom>
    </border>
  </borders>
  <cellStyleXfs count="48">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xf numFmtId="0" fontId="4" fillId="2" borderId="0" applyAlignment="1">
      <alignment horizontal="general" vertical="bottom"/>
    </xf>
    <xf numFmtId="0" fontId="4" fillId="3" borderId="0" applyAlignment="1">
      <alignment horizontal="general" vertical="bottom"/>
    </xf>
    <xf numFmtId="0" fontId="4" fillId="4" borderId="0" applyAlignment="1">
      <alignment horizontal="general" vertical="bottom"/>
    </xf>
    <xf numFmtId="0" fontId="4" fillId="5" borderId="0" applyAlignment="1">
      <alignment horizontal="general" vertical="bottom"/>
    </xf>
    <xf numFmtId="0" fontId="4" fillId="6" borderId="0" applyAlignment="1">
      <alignment horizontal="general" vertical="bottom"/>
    </xf>
    <xf numFmtId="0" fontId="4" fillId="7" borderId="0" applyAlignment="1">
      <alignment horizontal="general" vertical="bottom"/>
    </xf>
    <xf numFmtId="0" fontId="4" fillId="8" borderId="0" applyAlignment="1">
      <alignment horizontal="general" vertical="bottom"/>
    </xf>
    <xf numFmtId="0" fontId="4" fillId="9" borderId="0" applyAlignment="1">
      <alignment horizontal="general" vertical="bottom"/>
    </xf>
    <xf numFmtId="0" fontId="4" fillId="10" borderId="0" applyAlignment="1">
      <alignment horizontal="general" vertical="bottom"/>
    </xf>
    <xf numFmtId="0" fontId="4" fillId="11" borderId="0" applyAlignment="1">
      <alignment horizontal="general" vertical="bottom"/>
    </xf>
    <xf numFmtId="0" fontId="4" fillId="12" borderId="0" applyAlignment="1">
      <alignment horizontal="general" vertical="bottom"/>
    </xf>
    <xf numFmtId="0" fontId="4" fillId="13" borderId="0" applyAlignment="1">
      <alignment horizontal="general" vertical="bottom"/>
    </xf>
    <xf numFmtId="0" fontId="4" fillId="14" borderId="0" applyAlignment="1">
      <alignment horizontal="general" vertical="bottom"/>
    </xf>
    <xf numFmtId="0" fontId="4" fillId="15" borderId="0" applyAlignment="1">
      <alignment horizontal="general" vertical="bottom"/>
    </xf>
    <xf numFmtId="0" fontId="4" fillId="16" borderId="0" applyAlignment="1">
      <alignment horizontal="general" vertical="bottom"/>
    </xf>
    <xf numFmtId="0" fontId="4" fillId="17" borderId="0" applyAlignment="1">
      <alignment horizontal="general" vertical="bottom"/>
    </xf>
    <xf numFmtId="0" fontId="4" fillId="18" borderId="0" applyAlignment="1">
      <alignment horizontal="general" vertical="bottom"/>
    </xf>
    <xf numFmtId="0" fontId="4" fillId="19" borderId="0" applyAlignment="1">
      <alignment horizontal="general" vertical="bottom"/>
    </xf>
    <xf numFmtId="0" fontId="5" fillId="20" borderId="0" applyAlignment="1">
      <alignment horizontal="general" vertical="bottom"/>
    </xf>
    <xf numFmtId="0" fontId="5" fillId="21" borderId="0" applyAlignment="1">
      <alignment horizontal="general" vertical="bottom"/>
    </xf>
    <xf numFmtId="0" fontId="5" fillId="22" borderId="0" applyAlignment="1">
      <alignment horizontal="general" vertical="bottom"/>
    </xf>
    <xf numFmtId="0" fontId="5" fillId="23" borderId="0" applyAlignment="1">
      <alignment horizontal="general" vertical="bottom"/>
    </xf>
    <xf numFmtId="0" fontId="5" fillId="24" borderId="0" applyAlignment="1">
      <alignment horizontal="general" vertical="bottom"/>
    </xf>
    <xf numFmtId="0" fontId="5" fillId="25" borderId="0" applyAlignment="1">
      <alignment horizontal="general" vertical="bottom"/>
    </xf>
    <xf numFmtId="0" fontId="6" fillId="26" borderId="0" applyAlignment="1">
      <alignment horizontal="general" vertical="bottom"/>
    </xf>
    <xf numFmtId="0" fontId="7" fillId="27" borderId="1" applyAlignment="1">
      <alignment horizontal="general" vertical="bottom"/>
    </xf>
    <xf numFmtId="0" fontId="8" fillId="28" borderId="2" applyAlignment="1">
      <alignment horizontal="general" vertical="bottom"/>
    </xf>
    <xf numFmtId="0" fontId="9" fillId="0" borderId="0" applyAlignment="1">
      <alignment horizontal="general" vertical="bottom"/>
    </xf>
    <xf numFmtId="0" fontId="10" fillId="29" borderId="0" applyAlignment="1">
      <alignment horizontal="general" vertical="bottom"/>
    </xf>
    <xf numFmtId="0" fontId="11" fillId="0" borderId="3" applyAlignment="1">
      <alignment horizontal="general" vertical="bottom"/>
    </xf>
    <xf numFmtId="0" fontId="12" fillId="0" borderId="4" applyAlignment="1">
      <alignment horizontal="general" vertical="bottom"/>
    </xf>
    <xf numFmtId="0" fontId="13" fillId="0" borderId="5" applyAlignment="1">
      <alignment horizontal="general" vertical="bottom"/>
    </xf>
    <xf numFmtId="0" fontId="13" fillId="0" borderId="0" applyAlignment="1">
      <alignment horizontal="general" vertical="bottom"/>
    </xf>
    <xf numFmtId="0" fontId="14" fillId="30" borderId="1" applyAlignment="1">
      <alignment horizontal="general" vertical="bottom"/>
    </xf>
    <xf numFmtId="0" fontId="15" fillId="0" borderId="6" applyAlignment="1">
      <alignment horizontal="general" vertical="bottom"/>
    </xf>
    <xf numFmtId="0" fontId="16" fillId="31" borderId="0" applyAlignment="1">
      <alignment horizontal="general" vertical="bottom"/>
    </xf>
    <xf numFmtId="0" fontId="4" fillId="0" borderId="0" applyAlignment="1">
      <alignment horizontal="general" vertical="bottom"/>
    </xf>
    <xf numFmtId="0" fontId="4" fillId="32" borderId="7" applyAlignment="1">
      <alignment horizontal="general" vertical="bottom"/>
    </xf>
    <xf numFmtId="0" fontId="17" fillId="27" borderId="8" applyAlignment="1">
      <alignment horizontal="general" vertical="bottom"/>
    </xf>
    <xf numFmtId="0" fontId="18" fillId="0" borderId="0" applyAlignment="1">
      <alignment horizontal="general" vertical="bottom"/>
    </xf>
    <xf numFmtId="0" fontId="19" fillId="0" borderId="9" applyAlignment="1">
      <alignment horizontal="general" vertical="bottom"/>
    </xf>
    <xf numFmtId="0" fontId="20" fillId="0" borderId="0" applyAlignment="1">
      <alignment horizontal="general" vertical="bottom"/>
    </xf>
  </cellStyleXfs>
  <cellXfs count="242">
    <xf numFmtId="0" fontId="0" fillId="0" borderId="0" applyAlignment="1" pivotButton="0" quotePrefix="0" xfId="0">
      <alignment horizontal="general" vertical="bottom"/>
    </xf>
    <xf numFmtId="0" fontId="0" fillId="0" borderId="0" applyAlignment="1" pivotButton="0" quotePrefix="0" xfId="0">
      <alignment horizontal="general" vertical="bottom"/>
    </xf>
    <xf numFmtId="0" fontId="21" fillId="0" borderId="0" applyAlignment="1" pivotButton="0" quotePrefix="0" xfId="0">
      <alignment horizontal="general" vertical="bottom"/>
    </xf>
    <xf numFmtId="0" fontId="22" fillId="0" borderId="0" applyAlignment="1" pivotButton="0" quotePrefix="0" xfId="0">
      <alignment horizontal="general" vertical="bottom"/>
    </xf>
    <xf numFmtId="0" fontId="23" fillId="0" borderId="0" applyAlignment="1" pivotButton="0" quotePrefix="0" xfId="0">
      <alignment horizontal="general" vertical="bottom"/>
    </xf>
    <xf numFmtId="0" fontId="21" fillId="0" borderId="0" applyAlignment="1" pivotButton="0" quotePrefix="0" xfId="0">
      <alignment horizontal="center" vertical="bottom"/>
    </xf>
    <xf numFmtId="0" fontId="24" fillId="0" borderId="10" applyAlignment="1" pivotButton="0" quotePrefix="0" xfId="0">
      <alignment horizontal="general" vertical="bottom"/>
    </xf>
    <xf numFmtId="0" fontId="25" fillId="0" borderId="0" applyAlignment="1" pivotButton="0" quotePrefix="0" xfId="0">
      <alignment horizontal="general" vertical="bottom"/>
    </xf>
    <xf numFmtId="0" fontId="26" fillId="33" borderId="0" applyAlignment="1" pivotButton="0" quotePrefix="0" xfId="0">
      <alignment horizontal="right" vertical="center"/>
    </xf>
    <xf numFmtId="0" fontId="27" fillId="33" borderId="0" applyAlignment="1" pivotButton="0" quotePrefix="0" xfId="0">
      <alignment horizontal="right" vertical="center"/>
    </xf>
    <xf numFmtId="0" fontId="25" fillId="0" borderId="0" applyAlignment="1" pivotButton="0" quotePrefix="0" xfId="0">
      <alignment horizontal="general" vertical="bottom" readingOrder="2"/>
    </xf>
    <xf numFmtId="0" fontId="28" fillId="33" borderId="0" applyAlignment="1" pivotButton="0" quotePrefix="0" xfId="0">
      <alignment horizontal="general" vertical="bottom" readingOrder="2"/>
    </xf>
    <xf numFmtId="0" fontId="28" fillId="33" borderId="0" applyAlignment="1" pivotButton="0" quotePrefix="0" xfId="0">
      <alignment horizontal="general" vertical="bottom" readingOrder="2"/>
    </xf>
    <xf numFmtId="0" fontId="29" fillId="34" borderId="0" applyAlignment="1" pivotButton="0" quotePrefix="0" xfId="0">
      <alignment horizontal="right" vertical="center"/>
    </xf>
    <xf numFmtId="0" fontId="30" fillId="35" borderId="0" applyAlignment="1" pivotButton="0" quotePrefix="0" xfId="0">
      <alignment horizontal="center" vertical="center" wrapText="1"/>
    </xf>
    <xf numFmtId="0" fontId="31" fillId="0" borderId="0" applyAlignment="1" pivotButton="0" quotePrefix="0" xfId="0">
      <alignment horizontal="general" vertical="top" wrapText="1"/>
    </xf>
    <xf numFmtId="0" fontId="21" fillId="0" borderId="0" applyAlignment="1" pivotButton="0" quotePrefix="0" xfId="0">
      <alignment horizontal="center" vertical="center"/>
    </xf>
    <xf numFmtId="0" fontId="32" fillId="0" borderId="11" applyAlignment="1" pivotButton="0" quotePrefix="0" xfId="0">
      <alignment horizontal="center" vertical="center" wrapText="1"/>
    </xf>
    <xf numFmtId="0" fontId="31" fillId="0" borderId="0" applyAlignment="1" pivotButton="0" quotePrefix="0" xfId="0">
      <alignment horizontal="center" vertical="center" wrapText="1"/>
    </xf>
    <xf numFmtId="0" fontId="21" fillId="0" borderId="0" applyAlignment="1" pivotButton="0" quotePrefix="0" xfId="0">
      <alignment horizontal="general" vertical="center" wrapText="1"/>
    </xf>
    <xf numFmtId="0" fontId="33" fillId="36" borderId="0" applyAlignment="1" pivotButton="0" quotePrefix="0" xfId="0">
      <alignment horizontal="center" vertical="center" wrapText="1"/>
    </xf>
    <xf numFmtId="0" fontId="30" fillId="37" borderId="0" applyAlignment="1" pivotButton="0" quotePrefix="0" xfId="0">
      <alignment horizontal="center" vertical="center" wrapText="1"/>
    </xf>
    <xf numFmtId="0" fontId="34" fillId="0" borderId="11" applyAlignment="1" pivotButton="0" quotePrefix="0" xfId="0">
      <alignment horizontal="center" vertical="center" wrapText="1"/>
    </xf>
    <xf numFmtId="0" fontId="35" fillId="0" borderId="11" applyAlignment="1" pivotButton="0" quotePrefix="0" xfId="0">
      <alignment horizontal="center" vertical="center" wrapText="1"/>
    </xf>
    <xf numFmtId="0" fontId="34" fillId="0" borderId="0" applyAlignment="1" pivotButton="0" quotePrefix="0" xfId="0">
      <alignment horizontal="center" vertical="center" wrapText="1"/>
    </xf>
    <xf numFmtId="0" fontId="35" fillId="0" borderId="0" applyAlignment="1" pivotButton="0" quotePrefix="0" xfId="0">
      <alignment horizontal="center" vertical="center" wrapText="1"/>
    </xf>
    <xf numFmtId="0" fontId="36" fillId="36" borderId="11" applyAlignment="1" pivotButton="0" quotePrefix="0" xfId="0">
      <alignment horizontal="center" vertical="center" wrapText="1"/>
    </xf>
    <xf numFmtId="0" fontId="30" fillId="35" borderId="12" applyAlignment="1" pivotButton="0" quotePrefix="0" xfId="0">
      <alignment horizontal="center" vertical="center" wrapText="1"/>
    </xf>
    <xf numFmtId="0" fontId="24" fillId="0" borderId="10" applyAlignment="1" pivotButton="0" quotePrefix="0" xfId="0">
      <alignment horizontal="right" vertical="bottom"/>
    </xf>
    <xf numFmtId="3" fontId="37" fillId="33" borderId="0" applyAlignment="1" pivotButton="0" quotePrefix="0" xfId="0">
      <alignment horizontal="right" vertical="center"/>
    </xf>
    <xf numFmtId="3" fontId="32" fillId="0" borderId="11" applyAlignment="1" pivotButton="0" quotePrefix="0" xfId="0">
      <alignment horizontal="center" vertical="center" wrapText="1"/>
    </xf>
    <xf numFmtId="164" fontId="32" fillId="0" borderId="11" applyAlignment="1" pivotButton="0" quotePrefix="0" xfId="0">
      <alignment horizontal="center" vertical="center" wrapText="1"/>
    </xf>
    <xf numFmtId="0" fontId="29" fillId="34" borderId="0" applyAlignment="1" pivotButton="0" quotePrefix="0" xfId="0">
      <alignment horizontal="center" vertical="center"/>
    </xf>
    <xf numFmtId="3" fontId="29" fillId="34" borderId="0" applyAlignment="1" pivotButton="0" quotePrefix="0" xfId="0">
      <alignment horizontal="center" vertical="center"/>
    </xf>
    <xf numFmtId="164" fontId="29" fillId="34" borderId="0" applyAlignment="1" pivotButton="0" quotePrefix="0" xfId="0">
      <alignment horizontal="center" vertical="center"/>
    </xf>
    <xf numFmtId="0" fontId="38" fillId="0" borderId="0" applyAlignment="1" pivotButton="0" quotePrefix="0" xfId="0">
      <alignment horizontal="center" vertical="center" wrapText="1" readingOrder="2"/>
    </xf>
    <xf numFmtId="3" fontId="21" fillId="0" borderId="0" applyAlignment="1" pivotButton="0" quotePrefix="0" xfId="0">
      <alignment horizontal="center" vertical="center"/>
    </xf>
    <xf numFmtId="0" fontId="39" fillId="33" borderId="10" applyAlignment="1" pivotButton="0" quotePrefix="0" xfId="0">
      <alignment horizontal="general" vertical="bottom" readingOrder="2"/>
    </xf>
    <xf numFmtId="0" fontId="40" fillId="33" borderId="13" applyAlignment="1" pivotButton="0" quotePrefix="0" xfId="0">
      <alignment horizontal="general" vertical="bottom" readingOrder="2"/>
    </xf>
    <xf numFmtId="0" fontId="41" fillId="33" borderId="0" applyAlignment="1" pivotButton="0" quotePrefix="0" xfId="0">
      <alignment horizontal="general" vertical="bottom" readingOrder="2"/>
    </xf>
    <xf numFmtId="0" fontId="42" fillId="33" borderId="0" applyAlignment="1" pivotButton="0" quotePrefix="0" xfId="0">
      <alignment horizontal="right" vertical="top" wrapText="1" readingOrder="2"/>
    </xf>
    <xf numFmtId="0" fontId="43" fillId="0" borderId="0" applyAlignment="1" pivotButton="0" quotePrefix="0" xfId="0">
      <alignment horizontal="general" vertical="bottom"/>
    </xf>
    <xf numFmtId="0" fontId="44" fillId="33" borderId="14" applyAlignment="1" pivotButton="0" quotePrefix="0" xfId="0">
      <alignment horizontal="general" vertical="bottom" readingOrder="2"/>
    </xf>
    <xf numFmtId="0" fontId="41" fillId="33" borderId="15" applyAlignment="1" pivotButton="0" quotePrefix="0" xfId="0">
      <alignment horizontal="general" vertical="bottom" readingOrder="2"/>
    </xf>
    <xf numFmtId="0" fontId="45" fillId="33" borderId="16" applyAlignment="1" pivotButton="0" quotePrefix="0" xfId="0">
      <alignment horizontal="general" vertical="bottom" readingOrder="2"/>
    </xf>
    <xf numFmtId="0" fontId="46" fillId="0" borderId="0" applyAlignment="1" pivotButton="0" quotePrefix="0" xfId="0">
      <alignment horizontal="right" vertical="bottom"/>
    </xf>
    <xf numFmtId="0" fontId="53" fillId="34" borderId="0" applyAlignment="1" pivotButton="0" quotePrefix="0" xfId="0">
      <alignment horizontal="center" vertical="center"/>
    </xf>
    <xf numFmtId="0" fontId="54" fillId="0" borderId="11" applyAlignment="1" pivotButton="0" quotePrefix="0" xfId="0">
      <alignment horizontal="right" vertical="bottom"/>
    </xf>
    <xf numFmtId="0" fontId="54" fillId="0" borderId="11" applyAlignment="1" pivotButton="0" quotePrefix="0" xfId="0">
      <alignment horizontal="center" vertical="bottom"/>
    </xf>
    <xf numFmtId="9" fontId="21" fillId="0" borderId="0" applyAlignment="1" pivotButton="0" quotePrefix="0" xfId="0">
      <alignment horizontal="general" vertical="bottom"/>
    </xf>
    <xf numFmtId="0" fontId="53" fillId="34" borderId="0" applyAlignment="1" pivotButton="0" quotePrefix="0" xfId="0">
      <alignment horizontal="center" vertical="center" wrapText="1"/>
    </xf>
    <xf numFmtId="0" fontId="32" fillId="0" borderId="11" applyAlignment="1" pivotButton="0" quotePrefix="0" xfId="0">
      <alignment horizontal="right" vertical="bottom"/>
    </xf>
    <xf numFmtId="0" fontId="32" fillId="0" borderId="11" applyAlignment="1" pivotButton="0" quotePrefix="0" xfId="0">
      <alignment horizontal="center" vertical="bottom" wrapText="1"/>
    </xf>
    <xf numFmtId="0" fontId="32" fillId="38" borderId="11" applyAlignment="1" pivotButton="0" quotePrefix="0" xfId="0">
      <alignment horizontal="right" vertical="bottom"/>
    </xf>
    <xf numFmtId="0" fontId="32" fillId="0" borderId="0" applyAlignment="1" pivotButton="0" quotePrefix="0" xfId="0">
      <alignment horizontal="right" vertical="bottom"/>
    </xf>
    <xf numFmtId="0" fontId="32" fillId="0" borderId="0" applyAlignment="1" pivotButton="0" quotePrefix="0" xfId="0">
      <alignment horizontal="center" vertical="bottom" wrapText="1"/>
    </xf>
    <xf numFmtId="0" fontId="32" fillId="0" borderId="11" applyAlignment="1" pivotButton="0" quotePrefix="0" xfId="0">
      <alignment horizontal="general" vertical="bottom"/>
    </xf>
    <xf numFmtId="0" fontId="32" fillId="0" borderId="11" applyAlignment="1" pivotButton="0" quotePrefix="0" xfId="0">
      <alignment horizontal="center" vertical="bottom"/>
    </xf>
    <xf numFmtId="0" fontId="54" fillId="0" borderId="0" applyAlignment="1" pivotButton="0" quotePrefix="0" xfId="0">
      <alignment horizontal="right" vertical="bottom"/>
    </xf>
    <xf numFmtId="0" fontId="54" fillId="0" borderId="0" applyAlignment="1" pivotButton="0" quotePrefix="0" xfId="0">
      <alignment horizontal="center" vertical="bottom"/>
    </xf>
    <xf numFmtId="3" fontId="32" fillId="0" borderId="11" applyAlignment="1" pivotButton="0" quotePrefix="0" xfId="0">
      <alignment horizontal="right" vertical="bottom"/>
    </xf>
    <xf numFmtId="3" fontId="0" fillId="0" borderId="11" applyAlignment="1" pivotButton="0" quotePrefix="0" xfId="0">
      <alignment horizontal="center" vertical="bottom"/>
    </xf>
    <xf numFmtId="0" fontId="0" fillId="0" borderId="11" applyAlignment="1" pivotButton="0" quotePrefix="0" xfId="0">
      <alignment horizontal="center" vertical="bottom"/>
    </xf>
    <xf numFmtId="3" fontId="32" fillId="0" borderId="11" applyAlignment="1" pivotButton="0" quotePrefix="0" xfId="0">
      <alignment horizontal="center" vertical="bottom"/>
    </xf>
    <xf numFmtId="0" fontId="43" fillId="0" borderId="17" applyAlignment="1" pivotButton="0" quotePrefix="0" xfId="0">
      <alignment horizontal="center" vertical="center"/>
    </xf>
    <xf numFmtId="0" fontId="43" fillId="0" borderId="18" applyAlignment="1" pivotButton="0" quotePrefix="0" xfId="0">
      <alignment horizontal="center" vertical="center"/>
    </xf>
    <xf numFmtId="0" fontId="43" fillId="0" borderId="0" applyAlignment="1" pivotButton="0" quotePrefix="0" xfId="0">
      <alignment horizontal="center" vertical="center" wrapText="1"/>
    </xf>
    <xf numFmtId="0" fontId="55" fillId="0" borderId="0" applyAlignment="1" pivotButton="0" quotePrefix="0" xfId="0">
      <alignment horizontal="center" vertical="center" wrapText="1"/>
    </xf>
    <xf numFmtId="0" fontId="56" fillId="0" borderId="0" applyAlignment="1" pivotButton="0" quotePrefix="0" xfId="0">
      <alignment horizontal="center" vertical="center" wrapText="1"/>
    </xf>
    <xf numFmtId="0" fontId="43" fillId="0" borderId="0" applyAlignment="1" pivotButton="0" quotePrefix="0" xfId="0">
      <alignment horizontal="center" vertical="center"/>
    </xf>
    <xf numFmtId="165" fontId="35" fillId="0" borderId="0" applyAlignment="1" pivotButton="0" quotePrefix="0" xfId="0">
      <alignment horizontal="center" vertical="center" wrapText="1"/>
    </xf>
    <xf numFmtId="3" fontId="35" fillId="0" borderId="0" applyAlignment="1" pivotButton="0" quotePrefix="0" xfId="0">
      <alignment horizontal="center" vertical="center" wrapText="1"/>
    </xf>
    <xf numFmtId="0" fontId="35" fillId="0" borderId="17" applyAlignment="1" pivotButton="0" quotePrefix="0" xfId="0">
      <alignment horizontal="center" vertical="center" wrapText="1"/>
    </xf>
    <xf numFmtId="0" fontId="35" fillId="0" borderId="18" applyAlignment="1" pivotButton="0" quotePrefix="0" xfId="0">
      <alignment horizontal="center" vertical="center" wrapText="1"/>
    </xf>
    <xf numFmtId="3" fontId="43" fillId="0" borderId="0" applyAlignment="1" pivotButton="0" quotePrefix="0" xfId="0">
      <alignment horizontal="center" vertical="center" wrapText="1"/>
    </xf>
    <xf numFmtId="0" fontId="35" fillId="39" borderId="0" applyAlignment="1" pivotButton="0" quotePrefix="0" xfId="0">
      <alignment horizontal="center" vertical="center" wrapText="1"/>
    </xf>
    <xf numFmtId="0" fontId="57" fillId="0" borderId="11" applyAlignment="1" pivotButton="0" quotePrefix="0" xfId="0">
      <alignment horizontal="center" vertical="center"/>
    </xf>
    <xf numFmtId="0" fontId="54" fillId="0" borderId="11" applyAlignment="1" pivotButton="0" quotePrefix="0" xfId="0">
      <alignment horizontal="center" vertical="center" wrapText="1"/>
    </xf>
    <xf numFmtId="0" fontId="57" fillId="0" borderId="11" applyAlignment="1" pivotButton="0" quotePrefix="0" xfId="0">
      <alignment horizontal="center" vertical="center" wrapText="1"/>
    </xf>
    <xf numFmtId="166" fontId="54" fillId="0" borderId="11" applyAlignment="1" pivotButton="0" quotePrefix="0" xfId="0">
      <alignment horizontal="center" vertical="center" wrapText="1"/>
    </xf>
    <xf numFmtId="0" fontId="58" fillId="0" borderId="0" applyAlignment="1" pivotButton="0" quotePrefix="0" xfId="0">
      <alignment horizontal="center" vertical="center" wrapText="1"/>
    </xf>
    <xf numFmtId="0" fontId="57" fillId="0" borderId="19" applyAlignment="1" pivotButton="0" quotePrefix="0" xfId="0">
      <alignment horizontal="center" vertical="center"/>
    </xf>
    <xf numFmtId="0" fontId="54" fillId="0" borderId="19" applyAlignment="1" pivotButton="0" quotePrefix="0" xfId="0">
      <alignment horizontal="center" vertical="center" wrapText="1"/>
    </xf>
    <xf numFmtId="0" fontId="57" fillId="0" borderId="19" applyAlignment="1" pivotButton="0" quotePrefix="0" xfId="0">
      <alignment horizontal="center" vertical="center" wrapText="1"/>
    </xf>
    <xf numFmtId="166" fontId="54" fillId="0" borderId="19" applyAlignment="1" pivotButton="0" quotePrefix="0" xfId="0">
      <alignment horizontal="center" vertical="center" wrapText="1"/>
    </xf>
    <xf numFmtId="3" fontId="21" fillId="0" borderId="0" applyAlignment="1" pivotButton="0" quotePrefix="0" xfId="0">
      <alignment horizontal="general" vertical="bottom"/>
    </xf>
    <xf numFmtId="0" fontId="41" fillId="0" borderId="0" applyAlignment="1" pivotButton="0" quotePrefix="0" xfId="0">
      <alignment horizontal="general" vertical="bottom"/>
    </xf>
    <xf numFmtId="0" fontId="30" fillId="37" borderId="0" applyAlignment="1" pivotButton="0" quotePrefix="0" xfId="0">
      <alignment horizontal="general" vertical="bottom"/>
    </xf>
    <xf numFmtId="3" fontId="30" fillId="37" borderId="0" applyAlignment="1" pivotButton="0" quotePrefix="0" xfId="0">
      <alignment horizontal="general" vertical="bottom"/>
    </xf>
    <xf numFmtId="0" fontId="21" fillId="0" borderId="11" applyAlignment="1" pivotButton="0" quotePrefix="0" xfId="0">
      <alignment horizontal="general" vertical="bottom"/>
    </xf>
    <xf numFmtId="3" fontId="21" fillId="0" borderId="11" applyAlignment="1" pivotButton="0" quotePrefix="0" xfId="0">
      <alignment horizontal="center" vertical="center" wrapText="1"/>
    </xf>
    <xf numFmtId="3" fontId="21" fillId="0" borderId="11" applyAlignment="1" pivotButton="0" quotePrefix="0" xfId="0">
      <alignment horizontal="general" vertical="bottom"/>
    </xf>
    <xf numFmtId="0" fontId="21" fillId="0" borderId="11" applyAlignment="1" pivotButton="0" quotePrefix="0" xfId="0">
      <alignment horizontal="general" vertical="bottom" wrapText="1"/>
    </xf>
    <xf numFmtId="3" fontId="32" fillId="0" borderId="11" applyAlignment="1" pivotButton="0" quotePrefix="0" xfId="0">
      <alignment horizontal="general" vertical="top" wrapText="1"/>
    </xf>
    <xf numFmtId="3" fontId="32" fillId="0" borderId="11" applyAlignment="1" pivotButton="0" quotePrefix="0" xfId="0">
      <alignment horizontal="general" vertical="bottom"/>
    </xf>
    <xf numFmtId="0" fontId="59" fillId="0" borderId="0" applyAlignment="1" pivotButton="0" quotePrefix="0" xfId="0">
      <alignment horizontal="general" vertical="bottom"/>
    </xf>
    <xf numFmtId="0" fontId="21" fillId="0" borderId="0" applyAlignment="1" pivotButton="0" quotePrefix="0" xfId="0">
      <alignment horizontal="center" vertical="center" wrapText="1"/>
    </xf>
    <xf numFmtId="0" fontId="30" fillId="40" borderId="20" applyAlignment="1" pivotButton="0" quotePrefix="0" xfId="0">
      <alignment horizontal="center" vertical="center" wrapText="1"/>
    </xf>
    <xf numFmtId="0" fontId="32" fillId="0" borderId="20" applyAlignment="1" pivotButton="0" quotePrefix="0" xfId="0">
      <alignment horizontal="center" vertical="center"/>
    </xf>
    <xf numFmtId="165" fontId="32" fillId="0" borderId="20" applyAlignment="1" pivotButton="0" quotePrefix="0" xfId="0">
      <alignment horizontal="center" vertical="center" wrapText="1"/>
    </xf>
    <xf numFmtId="0" fontId="0" fillId="0" borderId="0" applyAlignment="1" pivotButton="0" quotePrefix="0" xfId="0">
      <alignment horizontal="general" vertical="bottom"/>
    </xf>
    <xf numFmtId="0" fontId="21" fillId="0" borderId="0" applyAlignment="1" pivotButton="0" quotePrefix="0" xfId="0">
      <alignment horizontal="general" vertical="bottom"/>
    </xf>
    <xf numFmtId="0" fontId="22" fillId="0" borderId="0" applyAlignment="1" pivotButton="0" quotePrefix="0" xfId="0">
      <alignment horizontal="general" vertical="bottom"/>
    </xf>
    <xf numFmtId="0" fontId="23" fillId="0" borderId="0" applyAlignment="1" pivotButton="0" quotePrefix="0" xfId="0">
      <alignment horizontal="general" vertical="bottom"/>
    </xf>
    <xf numFmtId="0" fontId="21" fillId="0" borderId="0" applyAlignment="1" pivotButton="0" quotePrefix="0" xfId="0">
      <alignment horizontal="center" vertical="bottom"/>
    </xf>
    <xf numFmtId="0" fontId="24" fillId="0" borderId="10" applyAlignment="1" pivotButton="0" quotePrefix="0" xfId="0">
      <alignment horizontal="general" vertical="bottom"/>
    </xf>
    <xf numFmtId="0" fontId="0" fillId="0" borderId="10" pivotButton="0" quotePrefix="0" xfId="0"/>
    <xf numFmtId="0" fontId="25" fillId="0" borderId="0" applyAlignment="1" pivotButton="0" quotePrefix="0" xfId="0">
      <alignment horizontal="general" vertical="bottom"/>
    </xf>
    <xf numFmtId="0" fontId="26" fillId="33" borderId="0" applyAlignment="1" pivotButton="0" quotePrefix="0" xfId="0">
      <alignment horizontal="right" vertical="center"/>
    </xf>
    <xf numFmtId="0" fontId="27" fillId="33" borderId="0" applyAlignment="1" pivotButton="0" quotePrefix="0" xfId="0">
      <alignment horizontal="right" vertical="center"/>
    </xf>
    <xf numFmtId="0" fontId="25" fillId="0" borderId="0" applyAlignment="1" pivotButton="0" quotePrefix="0" xfId="0">
      <alignment horizontal="general" vertical="bottom" readingOrder="2"/>
    </xf>
    <xf numFmtId="0" fontId="28" fillId="33" borderId="0" applyAlignment="1" pivotButton="0" quotePrefix="0" xfId="0">
      <alignment horizontal="general" vertical="bottom" readingOrder="2"/>
    </xf>
    <xf numFmtId="0" fontId="29" fillId="34" borderId="0" applyAlignment="1" pivotButton="0" quotePrefix="0" xfId="0">
      <alignment horizontal="right" vertical="center"/>
    </xf>
    <xf numFmtId="0" fontId="30" fillId="35" borderId="0" applyAlignment="1" pivotButton="0" quotePrefix="0" xfId="0">
      <alignment horizontal="center" vertical="center" wrapText="1"/>
    </xf>
    <xf numFmtId="0" fontId="31" fillId="0" borderId="0" applyAlignment="1" pivotButton="0" quotePrefix="0" xfId="0">
      <alignment horizontal="general" vertical="top" wrapText="1"/>
    </xf>
    <xf numFmtId="0" fontId="21" fillId="0" borderId="0" applyAlignment="1" pivotButton="0" quotePrefix="0" xfId="0">
      <alignment horizontal="center" vertical="center"/>
    </xf>
    <xf numFmtId="0" fontId="32" fillId="0" borderId="11" applyAlignment="1" pivotButton="0" quotePrefix="0" xfId="0">
      <alignment horizontal="center" vertical="center" wrapText="1"/>
    </xf>
    <xf numFmtId="0" fontId="31" fillId="0" borderId="0" applyAlignment="1" pivotButton="0" quotePrefix="0" xfId="0">
      <alignment horizontal="center" vertical="center" wrapText="1"/>
    </xf>
    <xf numFmtId="0" fontId="21" fillId="0" borderId="0" applyAlignment="1" pivotButton="0" quotePrefix="0" xfId="0">
      <alignment horizontal="general" vertical="center" wrapText="1"/>
    </xf>
    <xf numFmtId="0" fontId="33" fillId="36" borderId="0" applyAlignment="1" pivotButton="0" quotePrefix="0" xfId="0">
      <alignment horizontal="center" vertical="center" wrapText="1"/>
    </xf>
    <xf numFmtId="0" fontId="30" fillId="37" borderId="0" applyAlignment="1" pivotButton="0" quotePrefix="0" xfId="0">
      <alignment horizontal="center" vertical="center" wrapText="1"/>
    </xf>
    <xf numFmtId="0" fontId="34" fillId="0" borderId="11" applyAlignment="1" pivotButton="0" quotePrefix="0" xfId="0">
      <alignment horizontal="center" vertical="center" wrapText="1"/>
    </xf>
    <xf numFmtId="0" fontId="35" fillId="0" borderId="11" applyAlignment="1" pivotButton="0" quotePrefix="0" xfId="0">
      <alignment horizontal="center" vertical="center" wrapText="1"/>
    </xf>
    <xf numFmtId="0" fontId="34" fillId="0" borderId="0" applyAlignment="1" pivotButton="0" quotePrefix="0" xfId="0">
      <alignment horizontal="center" vertical="center" wrapText="1"/>
    </xf>
    <xf numFmtId="0" fontId="35" fillId="0" borderId="0" applyAlignment="1" pivotButton="0" quotePrefix="0" xfId="0">
      <alignment horizontal="center" vertical="center" wrapText="1"/>
    </xf>
    <xf numFmtId="0" fontId="36" fillId="36" borderId="11" applyAlignment="1" pivotButton="0" quotePrefix="0" xfId="0">
      <alignment horizontal="center" vertical="center" wrapText="1"/>
    </xf>
    <xf numFmtId="0" fontId="30" fillId="35" borderId="12" applyAlignment="1" pivotButton="0" quotePrefix="0" xfId="0">
      <alignment horizontal="center" vertical="center" wrapText="1"/>
    </xf>
    <xf numFmtId="0" fontId="0" fillId="0" borderId="12" pivotButton="0" quotePrefix="0" xfId="0"/>
    <xf numFmtId="0" fontId="0" fillId="0" borderId="23" pivotButton="0" quotePrefix="0" xfId="0"/>
    <xf numFmtId="0" fontId="0" fillId="0" borderId="24" pivotButton="0" quotePrefix="0" xfId="0"/>
    <xf numFmtId="0" fontId="24" fillId="0" borderId="10" applyAlignment="1" pivotButton="0" quotePrefix="0" xfId="0">
      <alignment horizontal="right" vertical="bottom"/>
    </xf>
    <xf numFmtId="3" fontId="37" fillId="33" borderId="0" applyAlignment="1" pivotButton="0" quotePrefix="0" xfId="0">
      <alignment horizontal="right" vertical="center"/>
    </xf>
    <xf numFmtId="3" fontId="32" fillId="0" borderId="11" applyAlignment="1" pivotButton="0" quotePrefix="0" xfId="0">
      <alignment horizontal="center" vertical="center" wrapText="1"/>
    </xf>
    <xf numFmtId="164" fontId="32" fillId="0" borderId="11" applyAlignment="1" pivotButton="0" quotePrefix="0" xfId="0">
      <alignment horizontal="center" vertical="center" wrapText="1"/>
    </xf>
    <xf numFmtId="0" fontId="29" fillId="34" borderId="0" applyAlignment="1" pivotButton="0" quotePrefix="0" xfId="0">
      <alignment horizontal="center" vertical="center"/>
    </xf>
    <xf numFmtId="3" fontId="29" fillId="34" borderId="0" applyAlignment="1" pivotButton="0" quotePrefix="0" xfId="0">
      <alignment horizontal="center" vertical="center"/>
    </xf>
    <xf numFmtId="164" fontId="29" fillId="34" borderId="0" applyAlignment="1" pivotButton="0" quotePrefix="0" xfId="0">
      <alignment horizontal="center" vertical="center"/>
    </xf>
    <xf numFmtId="0" fontId="38" fillId="0" borderId="0" applyAlignment="1" pivotButton="0" quotePrefix="0" xfId="0">
      <alignment horizontal="center" vertical="center" wrapText="1" readingOrder="2"/>
    </xf>
    <xf numFmtId="3" fontId="21" fillId="0" borderId="0" applyAlignment="1" pivotButton="0" quotePrefix="0" xfId="0">
      <alignment horizontal="center" vertical="center"/>
    </xf>
    <xf numFmtId="0" fontId="39" fillId="33" borderId="10" applyAlignment="1" pivotButton="0" quotePrefix="0" xfId="0">
      <alignment horizontal="general" vertical="bottom" readingOrder="2"/>
    </xf>
    <xf numFmtId="0" fontId="40" fillId="33" borderId="13" applyAlignment="1" pivotButton="0" quotePrefix="0" xfId="0">
      <alignment horizontal="general" vertical="bottom" readingOrder="2"/>
    </xf>
    <xf numFmtId="0" fontId="0" fillId="0" borderId="13" pivotButton="0" quotePrefix="0" xfId="0"/>
    <xf numFmtId="0" fontId="41" fillId="33" borderId="0" applyAlignment="1" pivotButton="0" quotePrefix="0" xfId="0">
      <alignment horizontal="general" vertical="bottom" readingOrder="2"/>
    </xf>
    <xf numFmtId="0" fontId="42" fillId="33" borderId="0" applyAlignment="1" pivotButton="0" quotePrefix="0" xfId="0">
      <alignment horizontal="right" vertical="top" wrapText="1" readingOrder="2"/>
    </xf>
    <xf numFmtId="0" fontId="43" fillId="0" borderId="0" applyAlignment="1" pivotButton="0" quotePrefix="0" xfId="0">
      <alignment horizontal="general" vertical="bottom"/>
    </xf>
    <xf numFmtId="0" fontId="44" fillId="33" borderId="14" applyAlignment="1" pivotButton="0" quotePrefix="0" xfId="0">
      <alignment horizontal="general" vertical="bottom" readingOrder="2"/>
    </xf>
    <xf numFmtId="0" fontId="0" fillId="0" borderId="14" pivotButton="0" quotePrefix="0" xfId="0"/>
    <xf numFmtId="0" fontId="41" fillId="33" borderId="15" applyAlignment="1" pivotButton="0" quotePrefix="0" xfId="0">
      <alignment horizontal="general" vertical="bottom" readingOrder="2"/>
    </xf>
    <xf numFmtId="0" fontId="0" fillId="0" borderId="15" pivotButton="0" quotePrefix="0" xfId="0"/>
    <xf numFmtId="0" fontId="45" fillId="33" borderId="16" applyAlignment="1" pivotButton="0" quotePrefix="0" xfId="0">
      <alignment horizontal="general" vertical="bottom" readingOrder="2"/>
    </xf>
    <xf numFmtId="0" fontId="0" fillId="0" borderId="16" pivotButton="0" quotePrefix="0" xfId="0"/>
    <xf numFmtId="0" fontId="0" fillId="0" borderId="0" pivotButton="0" quotePrefix="0" xfId="0"/>
    <xf numFmtId="0" fontId="46" fillId="0" borderId="0" applyAlignment="1" pivotButton="0" quotePrefix="0" xfId="0">
      <alignment horizontal="right" vertical="bottom"/>
    </xf>
    <xf numFmtId="0" fontId="53" fillId="34" borderId="0" applyAlignment="1" pivotButton="0" quotePrefix="0" xfId="0">
      <alignment horizontal="center" vertical="center"/>
    </xf>
    <xf numFmtId="0" fontId="54" fillId="0" borderId="11" applyAlignment="1" pivotButton="0" quotePrefix="0" xfId="0">
      <alignment horizontal="right" vertical="bottom"/>
    </xf>
    <xf numFmtId="0" fontId="54" fillId="0" borderId="11" applyAlignment="1" pivotButton="0" quotePrefix="0" xfId="0">
      <alignment horizontal="center" vertical="bottom"/>
    </xf>
    <xf numFmtId="9" fontId="21" fillId="0" borderId="0" applyAlignment="1" pivotButton="0" quotePrefix="0" xfId="0">
      <alignment horizontal="general" vertical="bottom"/>
    </xf>
    <xf numFmtId="0" fontId="53" fillId="34" borderId="0" applyAlignment="1" pivotButton="0" quotePrefix="0" xfId="0">
      <alignment horizontal="center" vertical="center" wrapText="1"/>
    </xf>
    <xf numFmtId="0" fontId="32" fillId="0" borderId="11" applyAlignment="1" pivotButton="0" quotePrefix="0" xfId="0">
      <alignment horizontal="right" vertical="bottom"/>
    </xf>
    <xf numFmtId="0" fontId="32" fillId="0" borderId="11" applyAlignment="1" pivotButton="0" quotePrefix="0" xfId="0">
      <alignment horizontal="center" vertical="bottom" wrapText="1"/>
    </xf>
    <xf numFmtId="0" fontId="32" fillId="38" borderId="11" applyAlignment="1" pivotButton="0" quotePrefix="0" xfId="0">
      <alignment horizontal="right" vertical="bottom"/>
    </xf>
    <xf numFmtId="0" fontId="32" fillId="0" borderId="0" applyAlignment="1" pivotButton="0" quotePrefix="0" xfId="0">
      <alignment horizontal="right" vertical="bottom"/>
    </xf>
    <xf numFmtId="0" fontId="32" fillId="0" borderId="0" applyAlignment="1" pivotButton="0" quotePrefix="0" xfId="0">
      <alignment horizontal="center" vertical="bottom" wrapText="1"/>
    </xf>
    <xf numFmtId="0" fontId="32" fillId="0" borderId="11" applyAlignment="1" pivotButton="0" quotePrefix="0" xfId="0">
      <alignment horizontal="general" vertical="bottom"/>
    </xf>
    <xf numFmtId="0" fontId="32" fillId="0" borderId="11" applyAlignment="1" pivotButton="0" quotePrefix="0" xfId="0">
      <alignment horizontal="center" vertical="bottom"/>
    </xf>
    <xf numFmtId="0" fontId="54" fillId="0" borderId="0" applyAlignment="1" pivotButton="0" quotePrefix="0" xfId="0">
      <alignment horizontal="right" vertical="bottom"/>
    </xf>
    <xf numFmtId="0" fontId="54" fillId="0" borderId="0" applyAlignment="1" pivotButton="0" quotePrefix="0" xfId="0">
      <alignment horizontal="center" vertical="bottom"/>
    </xf>
    <xf numFmtId="3" fontId="32" fillId="0" borderId="11" applyAlignment="1" pivotButton="0" quotePrefix="0" xfId="0">
      <alignment horizontal="right" vertical="bottom"/>
    </xf>
    <xf numFmtId="3" fontId="0" fillId="0" borderId="11" applyAlignment="1" pivotButton="0" quotePrefix="0" xfId="0">
      <alignment horizontal="center" vertical="bottom"/>
    </xf>
    <xf numFmtId="0" fontId="0" fillId="0" borderId="11" applyAlignment="1" pivotButton="0" quotePrefix="0" xfId="0">
      <alignment horizontal="center" vertical="bottom"/>
    </xf>
    <xf numFmtId="3" fontId="32" fillId="0" borderId="11" applyAlignment="1" pivotButton="0" quotePrefix="0" xfId="0">
      <alignment horizontal="center" vertical="bottom"/>
    </xf>
    <xf numFmtId="0" fontId="43" fillId="0" borderId="17" applyAlignment="1" pivotButton="0" quotePrefix="0" xfId="0">
      <alignment horizontal="center" vertical="center"/>
    </xf>
    <xf numFmtId="0" fontId="43" fillId="0" borderId="18" applyAlignment="1" pivotButton="0" quotePrefix="0" xfId="0">
      <alignment horizontal="center" vertical="center"/>
    </xf>
    <xf numFmtId="0" fontId="43" fillId="0" borderId="0" applyAlignment="1" pivotButton="0" quotePrefix="0" xfId="0">
      <alignment horizontal="center" vertical="center" wrapText="1"/>
    </xf>
    <xf numFmtId="0" fontId="55" fillId="0" borderId="0" applyAlignment="1" pivotButton="0" quotePrefix="0" xfId="0">
      <alignment horizontal="center" vertical="center" wrapText="1"/>
    </xf>
    <xf numFmtId="0" fontId="56" fillId="0" borderId="0" applyAlignment="1" pivotButton="0" quotePrefix="0" xfId="0">
      <alignment horizontal="center" vertical="center" wrapText="1"/>
    </xf>
    <xf numFmtId="0" fontId="43" fillId="0" borderId="0" applyAlignment="1" pivotButton="0" quotePrefix="0" xfId="0">
      <alignment horizontal="center" vertical="center"/>
    </xf>
    <xf numFmtId="165" fontId="35" fillId="0" borderId="0" applyAlignment="1" pivotButton="0" quotePrefix="0" xfId="0">
      <alignment horizontal="center" vertical="center" wrapText="1"/>
    </xf>
    <xf numFmtId="3" fontId="35" fillId="0" borderId="0" applyAlignment="1" pivotButton="0" quotePrefix="0" xfId="0">
      <alignment horizontal="center" vertical="center" wrapText="1"/>
    </xf>
    <xf numFmtId="0" fontId="35" fillId="0" borderId="17" applyAlignment="1" pivotButton="0" quotePrefix="0" xfId="0">
      <alignment horizontal="center" vertical="center" wrapText="1"/>
    </xf>
    <xf numFmtId="0" fontId="35" fillId="0" borderId="18" applyAlignment="1" pivotButton="0" quotePrefix="0" xfId="0">
      <alignment horizontal="center" vertical="center" wrapText="1"/>
    </xf>
    <xf numFmtId="3" fontId="43" fillId="0" borderId="0" applyAlignment="1" pivotButton="0" quotePrefix="0" xfId="0">
      <alignment horizontal="center" vertical="center" wrapText="1"/>
    </xf>
    <xf numFmtId="0" fontId="35" fillId="39" borderId="0" applyAlignment="1" pivotButton="0" quotePrefix="0" xfId="0">
      <alignment horizontal="center" vertical="center" wrapText="1"/>
    </xf>
    <xf numFmtId="0" fontId="58" fillId="0" borderId="0" applyAlignment="1" pivotButton="0" quotePrefix="0" xfId="0">
      <alignment horizontal="center" vertical="center" wrapText="1"/>
    </xf>
    <xf numFmtId="0" fontId="57" fillId="0" borderId="11" applyAlignment="1" pivotButton="0" quotePrefix="0" xfId="0">
      <alignment horizontal="center" vertical="center"/>
    </xf>
    <xf numFmtId="0" fontId="54" fillId="0" borderId="11" applyAlignment="1" pivotButton="0" quotePrefix="0" xfId="0">
      <alignment horizontal="center" vertical="center" wrapText="1"/>
    </xf>
    <xf numFmtId="0" fontId="57" fillId="0" borderId="11" applyAlignment="1" pivotButton="0" quotePrefix="0" xfId="0">
      <alignment horizontal="center" vertical="center" wrapText="1"/>
    </xf>
    <xf numFmtId="166" fontId="54" fillId="0" borderId="11" applyAlignment="1" pivotButton="0" quotePrefix="0" xfId="0">
      <alignment horizontal="center" vertical="center" wrapText="1"/>
    </xf>
    <xf numFmtId="0" fontId="57" fillId="0" borderId="19" applyAlignment="1" pivotButton="0" quotePrefix="0" xfId="0">
      <alignment horizontal="center" vertical="center"/>
    </xf>
    <xf numFmtId="0" fontId="54" fillId="0" borderId="19" applyAlignment="1" pivotButton="0" quotePrefix="0" xfId="0">
      <alignment horizontal="center" vertical="center" wrapText="1"/>
    </xf>
    <xf numFmtId="0" fontId="57" fillId="0" borderId="19" applyAlignment="1" pivotButton="0" quotePrefix="0" xfId="0">
      <alignment horizontal="center" vertical="center" wrapText="1"/>
    </xf>
    <xf numFmtId="166" fontId="54" fillId="0" borderId="19" applyAlignment="1" pivotButton="0" quotePrefix="0" xfId="0">
      <alignment horizontal="center" vertical="center" wrapText="1"/>
    </xf>
    <xf numFmtId="3" fontId="21" fillId="0" borderId="0" applyAlignment="1" pivotButton="0" quotePrefix="0" xfId="0">
      <alignment horizontal="general" vertical="bottom"/>
    </xf>
    <xf numFmtId="0" fontId="41" fillId="0" borderId="0" applyAlignment="1" pivotButton="0" quotePrefix="0" xfId="0">
      <alignment horizontal="general" vertical="bottom"/>
    </xf>
    <xf numFmtId="0" fontId="30" fillId="37" borderId="0" applyAlignment="1" pivotButton="0" quotePrefix="0" xfId="0">
      <alignment horizontal="general" vertical="bottom"/>
    </xf>
    <xf numFmtId="3" fontId="30" fillId="37" borderId="0" applyAlignment="1" pivotButton="0" quotePrefix="0" xfId="0">
      <alignment horizontal="general" vertical="bottom"/>
    </xf>
    <xf numFmtId="0" fontId="21" fillId="0" borderId="11" applyAlignment="1" pivotButton="0" quotePrefix="0" xfId="0">
      <alignment horizontal="general" vertical="bottom"/>
    </xf>
    <xf numFmtId="3" fontId="21" fillId="0" borderId="11" applyAlignment="1" pivotButton="0" quotePrefix="0" xfId="0">
      <alignment horizontal="center" vertical="center" wrapText="1"/>
    </xf>
    <xf numFmtId="3" fontId="21" fillId="0" borderId="11" applyAlignment="1" pivotButton="0" quotePrefix="0" xfId="0">
      <alignment horizontal="general" vertical="bottom"/>
    </xf>
    <xf numFmtId="0" fontId="21" fillId="0" borderId="11" applyAlignment="1" pivotButton="0" quotePrefix="0" xfId="0">
      <alignment horizontal="general" vertical="bottom" wrapText="1"/>
    </xf>
    <xf numFmtId="3" fontId="32" fillId="0" borderId="11" applyAlignment="1" pivotButton="0" quotePrefix="0" xfId="0">
      <alignment horizontal="general" vertical="top" wrapText="1"/>
    </xf>
    <xf numFmtId="3" fontId="32" fillId="0" borderId="11" applyAlignment="1" pivotButton="0" quotePrefix="0" xfId="0">
      <alignment horizontal="general" vertical="bottom"/>
    </xf>
    <xf numFmtId="0" fontId="59" fillId="0" borderId="0" applyAlignment="1" pivotButton="0" quotePrefix="0" xfId="0">
      <alignment horizontal="general" vertical="bottom"/>
    </xf>
    <xf numFmtId="0" fontId="21" fillId="0" borderId="0" applyAlignment="1" pivotButton="0" quotePrefix="0" xfId="0">
      <alignment horizontal="center" vertical="center" wrapText="1"/>
    </xf>
    <xf numFmtId="0" fontId="30" fillId="40" borderId="20" applyAlignment="1" pivotButton="0" quotePrefix="0" xfId="0">
      <alignment horizontal="center" vertical="center" wrapText="1"/>
    </xf>
    <xf numFmtId="0" fontId="32" fillId="0" borderId="20" applyAlignment="1" pivotButton="0" quotePrefix="0" xfId="0">
      <alignment horizontal="center" vertical="center"/>
    </xf>
    <xf numFmtId="165" fontId="32" fillId="0" borderId="20" applyAlignment="1" pivotButton="0" quotePrefix="0" xfId="0">
      <alignment horizontal="center" vertical="center" wrapText="1"/>
    </xf>
    <xf numFmtId="0" fontId="62" fillId="41" borderId="25" applyAlignment="1" pivotButton="0" quotePrefix="0" xfId="0">
      <alignment horizontal="center" vertical="center" wrapText="1"/>
    </xf>
    <xf numFmtId="0" fontId="64" fillId="42" borderId="25" applyAlignment="1" pivotButton="0" quotePrefix="0" xfId="0">
      <alignment horizontal="right" vertical="center"/>
    </xf>
    <xf numFmtId="0" fontId="60" fillId="0" borderId="0" applyAlignment="1" pivotButton="0" quotePrefix="0" xfId="0">
      <alignment horizontal="right"/>
    </xf>
    <xf numFmtId="0" fontId="63" fillId="0" borderId="25" applyAlignment="1" pivotButton="0" quotePrefix="0" xfId="0">
      <alignment horizontal="right" vertical="center"/>
    </xf>
    <xf numFmtId="0" fontId="64" fillId="42" borderId="25" applyAlignment="1" pivotButton="0" quotePrefix="0" xfId="0">
      <alignment horizontal="center" vertical="center"/>
    </xf>
    <xf numFmtId="0" fontId="61" fillId="0" borderId="0" applyAlignment="1" pivotButton="0" quotePrefix="0" xfId="0">
      <alignment horizontal="right" wrapText="1"/>
    </xf>
    <xf numFmtId="3" fontId="64" fillId="42" borderId="25" applyAlignment="1" pivotButton="0" quotePrefix="0" xfId="0">
      <alignment horizontal="center" vertical="center"/>
    </xf>
    <xf numFmtId="0" fontId="61" fillId="0" borderId="0" applyAlignment="1" pivotButton="0" quotePrefix="0" xfId="0">
      <alignment horizontal="right" vertical="top" wrapText="1"/>
    </xf>
    <xf numFmtId="0" fontId="67" fillId="0" borderId="0" pivotButton="0" quotePrefix="0" xfId="0"/>
    <xf numFmtId="0" fontId="63" fillId="0" borderId="25" applyAlignment="1" pivotButton="0" quotePrefix="0" xfId="0">
      <alignment horizontal="center" vertical="center"/>
    </xf>
    <xf numFmtId="3" fontId="63" fillId="43" borderId="25" applyAlignment="1" pivotButton="0" quotePrefix="0" xfId="0">
      <alignment horizontal="center" vertical="center"/>
    </xf>
    <xf numFmtId="0" fontId="65" fillId="0" borderId="0" applyAlignment="1" pivotButton="0" quotePrefix="0" xfId="0">
      <alignment horizontal="center"/>
    </xf>
    <xf numFmtId="0" fontId="66" fillId="44" borderId="25" applyAlignment="1" pivotButton="0" quotePrefix="0" xfId="0">
      <alignment horizontal="center" vertical="center"/>
    </xf>
    <xf numFmtId="0" fontId="68" fillId="0" borderId="0" pivotButton="0" quotePrefix="0" xfId="0"/>
    <xf numFmtId="0" fontId="0" fillId="42" borderId="25" pivotButton="0" quotePrefix="0" xfId="0"/>
    <xf numFmtId="0" fontId="0" fillId="43" borderId="25" pivotButton="0" quotePrefix="0" xfId="0"/>
    <xf numFmtId="0" fontId="69" fillId="45" borderId="0" applyAlignment="1" pivotButton="0" quotePrefix="0" xfId="0">
      <alignment horizontal="right"/>
    </xf>
    <xf numFmtId="3" fontId="70" fillId="43" borderId="25" applyAlignment="1" pivotButton="0" quotePrefix="0" xfId="0">
      <alignment horizontal="center" vertical="center"/>
    </xf>
    <xf numFmtId="10" fontId="71" fillId="43" borderId="25" applyAlignment="1" pivotButton="0" quotePrefix="0" xfId="0">
      <alignment horizontal="center" vertical="center"/>
    </xf>
    <xf numFmtId="10" fontId="72" fillId="43" borderId="25" applyAlignment="1" pivotButton="0" quotePrefix="0" xfId="0">
      <alignment horizontal="center" vertical="center"/>
    </xf>
    <xf numFmtId="0" fontId="63" fillId="0" borderId="0" applyAlignment="1" pivotButton="0" quotePrefix="0" xfId="0">
      <alignment horizontal="right"/>
    </xf>
    <xf numFmtId="0" fontId="73" fillId="0" borderId="0" applyAlignment="1" pivotButton="0" quotePrefix="0" xfId="0">
      <alignment horizontal="right"/>
    </xf>
    <xf numFmtId="10" fontId="74" fillId="43" borderId="25" applyAlignment="1" pivotButton="0" quotePrefix="0" xfId="0">
      <alignment horizontal="center" vertical="center"/>
    </xf>
    <xf numFmtId="0" fontId="65" fillId="0" borderId="0" pivotButton="0" quotePrefix="0" xfId="0"/>
    <xf numFmtId="3" fontId="63" fillId="0" borderId="25" applyAlignment="1" pivotButton="0" quotePrefix="0" xfId="0">
      <alignment horizontal="center" vertical="center"/>
    </xf>
    <xf numFmtId="167" fontId="63" fillId="43" borderId="25" applyAlignment="1" pivotButton="0" quotePrefix="0" xfId="0">
      <alignment horizontal="center" vertical="center"/>
    </xf>
    <xf numFmtId="0" fontId="35" fillId="46" borderId="0" applyAlignment="1" pivotButton="0" quotePrefix="0" xfId="0">
      <alignment horizontal="center" vertical="center" wrapText="1"/>
    </xf>
    <xf numFmtId="0" fontId="75" fillId="44" borderId="25" applyAlignment="1" pivotButton="0" quotePrefix="0" xfId="0">
      <alignment horizontal="center" vertical="center"/>
    </xf>
    <xf numFmtId="0" fontId="75" fillId="42" borderId="25" applyAlignment="1" pivotButton="0" quotePrefix="0" xfId="0">
      <alignment horizontal="center" vertical="center"/>
    </xf>
    <xf numFmtId="0" fontId="63" fillId="0" borderId="25" applyAlignment="1" pivotButton="0" quotePrefix="0" xfId="0">
      <alignment horizontal="center"/>
    </xf>
    <xf numFmtId="3" fontId="63" fillId="0" borderId="25" applyAlignment="1" pivotButton="0" quotePrefix="0" xfId="0">
      <alignment horizontal="center"/>
    </xf>
    <xf numFmtId="0" fontId="63" fillId="42" borderId="25" applyAlignment="1" pivotButton="0" quotePrefix="0" xfId="0">
      <alignment horizontal="right" vertical="center"/>
    </xf>
    <xf numFmtId="0" fontId="63" fillId="43" borderId="25" applyAlignment="1" pivotButton="0" quotePrefix="0" xfId="0">
      <alignment horizontal="right" vertical="center"/>
    </xf>
    <xf numFmtId="0" fontId="0" fillId="44" borderId="25" pivotButton="0" quotePrefix="0" xfId="0"/>
    <xf numFmtId="0" fontId="61" fillId="0" borderId="0" pivotButton="0" quotePrefix="0" xfId="0"/>
  </cellXfs>
  <cellStyles count="48">
    <cellStyle name="Normal" xfId="0" builtinId="0"/>
    <cellStyle name="Comma" xfId="1" builtinId="3"/>
    <cellStyle name="Comma [0]" xfId="2" builtinId="6"/>
    <cellStyle name="Currency" xfId="3" builtinId="4"/>
    <cellStyle name="Currency [0]" xfId="4" builtinId="7"/>
    <cellStyle name="Percent" xfId="5" builtinId="5"/>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Calculation 2" xfId="31"/>
    <cellStyle name="Check Cell 2" xfId="32"/>
    <cellStyle name="Explanatory Text 2" xfId="33"/>
    <cellStyle name="Good 2" xfId="34"/>
    <cellStyle name="Heading 1 2" xfId="35"/>
    <cellStyle name="Heading 2 2" xfId="36"/>
    <cellStyle name="Heading 3 2" xfId="37"/>
    <cellStyle name="Heading 4 2" xfId="38"/>
    <cellStyle name="Input 2" xfId="39"/>
    <cellStyle name="Linked Cell 2" xfId="40"/>
    <cellStyle name="Neutral 2" xfId="41"/>
    <cellStyle name="Normal 2" xfId="42"/>
    <cellStyle name="Note 2" xfId="43"/>
    <cellStyle name="Output 2" xfId="44"/>
    <cellStyle name="Title 2" xfId="45"/>
    <cellStyle name="Total 2" xfId="46"/>
    <cellStyle name="Warning Text 2" xfId="47"/>
  </cellStyles>
  <dxfs count="9">
    <dxf>
      <font>
        <color rgb="FF9C0006"/>
      </font>
      <fill>
        <patternFill>
          <bgColor rgb="FFFFC7CE"/>
        </patternFill>
      </fill>
    </dxf>
    <dxf>
      <fill>
        <patternFill patternType="solid">
          <fgColor rgb="FFFFC7CE"/>
          <bgColor rgb="FF000000"/>
        </patternFill>
      </fill>
    </dxf>
    <dxf>
      <fill>
        <patternFill patternType="solid">
          <bgColor rgb="FF000000"/>
        </patternFill>
      </fill>
    </dxf>
    <dxf>
      <fill>
        <patternFill patternType="solid">
          <fgColor rgb="FF000000"/>
          <bgColor rgb="FF000000"/>
        </patternFill>
      </fill>
    </dxf>
    <dxf>
      <fill>
        <patternFill patternType="solid">
          <fgColor rgb="FF9C0006"/>
          <bgColor rgb="FF000000"/>
        </patternFill>
      </fill>
    </dxf>
    <dxf>
      <fill>
        <patternFill patternType="solid">
          <fgColor rgb="FFFFFFFF"/>
          <bgColor rgb="FF000000"/>
        </patternFill>
      </fill>
    </dxf>
    <dxf>
      <fill>
        <patternFill patternType="solid">
          <fgColor rgb="FFC00000"/>
          <bgColor rgb="FF000000"/>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D7E4BD"/>
      <rgbColor rgb="FFE6E0EC"/>
      <rgbColor rgb="FFFFFF00"/>
      <rgbColor rgb="FFFFC7CE"/>
      <rgbColor rgb="FFC3D69B"/>
      <rgbColor rgb="FF9C0006"/>
      <rgbColor rgb="FFE3E1D8"/>
      <rgbColor rgb="FFFDEADA"/>
      <rgbColor rgb="FF948A54"/>
      <rgbColor rgb="FF8064A2"/>
      <rgbColor rgb="FF595959"/>
      <rgbColor rgb="FFCCC1DA"/>
      <rgbColor rgb="FF808080"/>
      <rgbColor rgb="FF97B5D9"/>
      <rgbColor rgb="FFC0504D"/>
      <rgbColor rgb="FFFFFFCC"/>
      <rgbColor rgb="FFDBEEF4"/>
      <rgbColor rgb="FFF2DCDB"/>
      <rgbColor rgb="FFD99694"/>
      <rgbColor rgb="FF2E4F77"/>
      <rgbColor rgb="FFB9CDE5"/>
      <rgbColor rgb="FFF2F2F2"/>
      <rgbColor rgb="FFFCD5B5"/>
      <rgbColor rgb="FFFAC090"/>
      <rgbColor rgb="FFB3B3B3"/>
      <rgbColor rgb="FFC4622D"/>
      <rgbColor rgb="FFC00000"/>
      <rgbColor rgb="FF7F7F7F"/>
      <rgbColor rgb="FFEBF1DE"/>
      <rgbColor rgb="FFB7DEE8"/>
      <rgbColor rgb="FFDCE6F2"/>
      <rgbColor rgb="FFC6EFCE"/>
      <rgbColor rgb="FFFFEB9C"/>
      <rgbColor rgb="FF93CDDD"/>
      <rgbColor rgb="FFE6B9B8"/>
      <rgbColor rgb="FFB3A2C7"/>
      <rgbColor rgb="FFFFCC99"/>
      <rgbColor rgb="FF4F81BD"/>
      <rgbColor rgb="FF4BACC6"/>
      <rgbColor rgb="FF9BBB59"/>
      <rgbColor rgb="FFD99A3B"/>
      <rgbColor rgb="FFF79646"/>
      <rgbColor rgb="FFFA7D00"/>
      <rgbColor rgb="FF5B6472"/>
      <rgbColor rgb="FFA5A5A5"/>
      <rgbColor rgb="FF1C3454"/>
      <rgbColor rgb="FF3F7D58"/>
      <rgbColor rgb="FF134731"/>
      <rgbColor rgb="FF111820"/>
      <rgbColor rgb="FF984807"/>
      <rgbColor rgb="FF9C5700"/>
      <rgbColor rgb="FF1F497D"/>
      <rgbColor rgb="FF3F3F3F"/>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000" b="1" strike="noStrike" spc="-1">
                <a:solidFill>
                  <a:srgbClr val="000000"/>
                </a:solidFill>
                <a:latin typeface="Clever2"/>
              </a:defRPr>
            </a:pPr>
            <a:r>
              <a:rPr sz="1000" b="1" strike="noStrike" spc="-1">
                <a:solidFill>
                  <a:srgbClr val="000000"/>
                </a:solidFill>
                <a:latin typeface="Clever2"/>
              </a:rPr>
              <a:t>توزیع تعداد خرابی بر اساس مدت مصرف (ماه)</a:t>
            </a:r>
          </a:p>
        </rich>
      </tx>
      <overlay val="0"/>
      <spPr>
        <a:noFill xmlns:a="http://schemas.openxmlformats.org/drawingml/2006/main"/>
        <a:ln xmlns:a="http://schemas.openxmlformats.org/drawingml/2006/main" w="0">
          <a:noFill/>
          <a:prstDash val="solid"/>
        </a:ln>
      </spPr>
    </title>
    <plotArea>
      <layout>
        <manualLayout>
          <layoutTarget val="inner"/>
          <xMode val="edge"/>
          <yMode val="edge"/>
          <wMode val="factor"/>
          <hMode val="factor"/>
          <x val="0.071532634032634"/>
          <y val="0.178124696984389"/>
          <w val="0.916958041958042"/>
          <h val="0.712886647920101"/>
        </manualLayout>
      </layout>
      <barChart>
        <barDir val="col"/>
        <grouping val="clustered"/>
        <varyColors val="0"/>
        <ser>
          <idx val="0"/>
          <order val="0"/>
          <tx>
            <strRef>
              <f>تحلیل!$B$114</f>
              <strCache>
                <ptCount val="1"/>
                <pt idx="0">
                  <v>تعداد</v>
                </pt>
              </strCache>
            </strRef>
          </tx>
          <spPr>
            <a:solidFill xmlns:a="http://schemas.openxmlformats.org/drawingml/2006/main">
              <a:srgbClr val="f79646"/>
            </a:solidFill>
            <a:ln xmlns:a="http://schemas.openxmlformats.org/drawingml/2006/main" w="0">
              <a:noFill/>
              <a:prstDash val="solid"/>
            </a:ln>
          </spPr>
          <invertIfNegative val="0"/>
          <dLbls>
            <numFmt formatCode="General"/>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Clever2"/>
                  </a:defRPr>
                </a:pPr>
                <a:r>
                  <a:t>None</a:t>
                </a:r>
              </a:p>
            </txPr>
            <dLblPos val="outEnd"/>
            <showLegendKey val="0"/>
            <showVal val="1"/>
            <showCatName val="0"/>
            <showSerName val="0"/>
            <showPercent val="0"/>
            <showLeaderLines val="0"/>
          </dLbls>
          <cat>
            <strRef>
              <f>تحلیل!$A$115:$A$119</f>
              <strCache>
                <ptCount val="5"/>
                <pt idx="0">
                  <v>۰-۳ (زودهنگام)</v>
                </pt>
                <pt idx="1">
                  <v>۴-۶</v>
                </pt>
                <pt idx="2">
                  <v>۷-۹</v>
                </pt>
                <pt idx="3">
                  <v>۱۰-۱۲</v>
                </pt>
                <pt idx="4">
                  <v>۱۳+ (دیرهنگام)</v>
                </pt>
              </strCache>
            </strRef>
          </cat>
          <val>
            <numRef>
              <f>تحلیل!$B$115:$B$119</f>
              <numCache>
                <formatCode>General</formatCode>
                <ptCount val="5"/>
                <pt idx="0">
                  <v>63</v>
                </pt>
                <pt idx="1">
                  <v>43</v>
                </pt>
                <pt idx="2">
                  <v>51</v>
                </pt>
                <pt idx="3">
                  <v>29</v>
                </pt>
                <pt idx="4">
                  <v>57</v>
                </pt>
              </numCache>
            </numRef>
          </val>
        </ser>
        <gapWidth val="60"/>
        <overlap val="0"/>
        <axId val="45719332"/>
        <axId val="35130777"/>
      </barChart>
      <catAx>
        <axId val="45719332"/>
        <scaling>
          <orientation val="minMax"/>
        </scaling>
        <delete val="0"/>
        <axPos val="b"/>
        <title>
          <tx>
            <rich>
              <a:bodyPr xmlns:a="http://schemas.openxmlformats.org/drawingml/2006/main" rot="0"/>
              <a:lstStyle xmlns:a="http://schemas.openxmlformats.org/drawingml/2006/main"/>
              <a:p xmlns:a="http://schemas.openxmlformats.org/drawingml/2006/main">
                <a:pPr>
                  <a:defRPr sz="1000" b="1" strike="noStrike" spc="-1">
                    <a:solidFill>
                      <a:srgbClr val="000000"/>
                    </a:solidFill>
                    <a:latin typeface="Clever2"/>
                  </a:defRPr>
                </a:pPr>
                <a:r>
                  <a:rPr sz="1000" b="1" strike="noStrike" spc="-1">
                    <a:solidFill>
                      <a:srgbClr val="000000"/>
                    </a:solidFill>
                    <a:latin typeface="Clever2"/>
                  </a:rPr>
                  <a:t>تعداد ماه</a:t>
                </a:r>
              </a:p>
            </rich>
          </tx>
          <overlay val="0"/>
          <spPr>
            <a:noFill xmlns:a="http://schemas.openxmlformats.org/drawingml/2006/main"/>
            <a:ln xmlns:a="http://schemas.openxmlformats.org/drawingml/2006/main" w="0">
              <a:noFill/>
              <a:prstDash val="solid"/>
            </a:ln>
          </spPr>
        </title>
        <numFmt formatCode="General" sourceLinked="0"/>
        <majorTickMark val="none"/>
        <minorTickMark val="none"/>
        <tickLblPos val="nextTo"/>
        <spPr>
          <a:ln xmlns:a="http://schemas.openxmlformats.org/drawingml/2006/main" w="9360">
            <a:solidFill>
              <a:srgbClr val="878787"/>
            </a:solidFill>
            <a:prstDash val="solid"/>
            <a:roun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35130777"/>
        <crosses val="autoZero"/>
        <auto val="1"/>
        <lblAlgn val="ctr"/>
        <lblOffset val="100"/>
        <noMultiLvlLbl val="0"/>
      </catAx>
      <valAx>
        <axId val="35130777"/>
        <scaling>
          <orientation val="minMax"/>
        </scaling>
        <delete val="0"/>
        <axPos val="l"/>
        <numFmt formatCode="General" sourceLinked="0"/>
        <majorTickMark val="none"/>
        <minorTickMark val="none"/>
        <tickLblPos val="nextTo"/>
        <spPr>
          <a:ln xmlns:a="http://schemas.openxmlformats.org/drawingml/2006/main" w="9360">
            <a:solidFill>
              <a:srgbClr val="878787"/>
            </a:solidFill>
            <a:prstDash val="solid"/>
            <a:roun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45719332"/>
        <crosses val="autoZero"/>
        <crossBetween val="between"/>
      </valAx>
    </plotArea>
    <legend>
      <legendPos val="t"/>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800" b="1" strike="noStrike" spc="-1">
                <a:solidFill>
                  <a:srgbClr val="000000"/>
                </a:solidFill>
                <a:latin typeface="Clever2"/>
              </a:defRPr>
            </a:pPr>
            <a:r>
              <a:rPr sz="1800" b="1" strike="noStrike" spc="-1">
                <a:solidFill>
                  <a:srgbClr val="000000"/>
                </a:solidFill>
                <a:latin typeface="Clever2"/>
              </a:rPr>
              <a:t>هزینه گارانتی به تفکیک نوع دستگاه (تومان)</a:t>
            </a:r>
          </a:p>
        </rich>
      </tx>
      <overlay val="0"/>
      <spPr>
        <a:noFill xmlns:a="http://schemas.openxmlformats.org/drawingml/2006/main"/>
        <a:ln xmlns:a="http://schemas.openxmlformats.org/drawingml/2006/main" w="0">
          <a:noFill/>
          <a:prstDash val="solid"/>
        </a:ln>
      </spPr>
    </title>
    <plotArea>
      <barChart>
        <barDir val="bar"/>
        <grouping val="clustered"/>
        <varyColors val="0"/>
        <ser>
          <idx val="0"/>
          <order val="0"/>
          <tx>
            <strRef>
              <f>داشبورد!$D$91</f>
              <strCache>
                <ptCount val="1"/>
                <pt idx="0">
                  <v>هزینه کل (تومان)</v>
                </pt>
              </strCache>
            </strRef>
          </tx>
          <spPr>
            <a:solidFill xmlns:a="http://schemas.openxmlformats.org/drawingml/2006/main">
              <a:srgbClr val="2e5077"/>
            </a:solidFill>
            <a:ln xmlns:a="http://schemas.openxmlformats.org/drawingml/2006/main" w="0">
              <a:noFill/>
              <a:prstDash val="solid"/>
            </a:ln>
          </spPr>
          <invertIfNegative val="0"/>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Clever2"/>
                  </a:defRPr>
                </a:pPr>
                <a:r>
                  <a:t>None</a:t>
                </a:r>
              </a:p>
            </txPr>
            <dLblPos val="outEnd"/>
            <showLegendKey val="0"/>
            <showVal val="0"/>
            <showCatName val="0"/>
            <showSerName val="0"/>
            <showPercent val="0"/>
            <showLeaderLines val="1"/>
          </dLbls>
          <cat>
            <strRef>
              <f>داشبورد!$B$92:$B$96</f>
              <strCache>
                <ptCount val="5"/>
                <pt idx="0">
                  <v>ماشین ظرفشویی</v>
                </pt>
                <pt idx="1">
                  <v>ماشین لباسشویی</v>
                </pt>
                <pt idx="2">
                  <v>یخچال ساید‌بای‌ساید</v>
                </pt>
                <pt idx="3">
                  <v>یخچال مینی</v>
                </pt>
                <pt idx="4">
                  <v>تلویزیون</v>
                </pt>
              </strCache>
            </strRef>
          </cat>
          <val>
            <numRef>
              <f>داشبورد!$D$92:$D$96</f>
              <numCache>
                <formatCode>#,##0</formatCode>
                <ptCount val="5"/>
                <pt idx="0">
                  <v>272300000</v>
                </pt>
                <pt idx="1">
                  <v>343300000</v>
                </pt>
                <pt idx="2">
                  <v>290000000</v>
                </pt>
                <pt idx="3">
                  <v>54900000</v>
                </pt>
                <pt idx="4">
                  <v>64600000</v>
                </pt>
              </numCache>
            </numRef>
          </val>
        </ser>
        <gapWidth val="150"/>
        <overlap val="0"/>
        <axId val="64521339"/>
        <axId val="23813839"/>
      </barChart>
      <catAx>
        <axId val="64521339"/>
        <scaling>
          <orientation val="minMax"/>
        </scaling>
        <delete val="0"/>
        <axPos val="b"/>
        <numFmt formatCode="General" sourceLinked="0"/>
        <majorTickMark val="none"/>
        <minorTickMark val="none"/>
        <tickLblPos val="nextTo"/>
        <spPr>
          <a:ln xmlns:a="http://schemas.openxmlformats.org/drawingml/2006/main" w="0">
            <a:solidFill>
              <a:srgbClr val="b3b3b3"/>
            </a:solid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23813839"/>
        <crosses val="autoZero"/>
        <auto val="1"/>
        <lblAlgn val="ctr"/>
        <lblOffset val="100"/>
        <noMultiLvlLbl val="0"/>
      </catAx>
      <valAx>
        <axId val="23813839"/>
        <scaling>
          <orientation val="minMax"/>
        </scaling>
        <delete val="0"/>
        <axPos val="l"/>
        <majorGridlines>
          <spPr>
            <a:ln xmlns:a="http://schemas.openxmlformats.org/drawingml/2006/main" w="0">
              <a:solidFill>
                <a:srgbClr val="b3b3b3"/>
              </a:solidFill>
              <a:prstDash val="solid"/>
            </a:ln>
          </spPr>
        </majorGridlines>
        <numFmt formatCode="#,##0" sourceLinked="0"/>
        <majorTickMark val="none"/>
        <minorTickMark val="none"/>
        <tickLblPos val="nextTo"/>
        <spPr>
          <a:ln xmlns:a="http://schemas.openxmlformats.org/drawingml/2006/main" w="0">
            <a:solidFill>
              <a:srgbClr val="b3b3b3"/>
            </a:solid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64521339"/>
        <crosses val="autoZero"/>
        <crossBetween val="between"/>
      </valAx>
    </plotArea>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3.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800" b="1" strike="noStrike" spc="-1">
                <a:solidFill>
                  <a:srgbClr val="000000"/>
                </a:solidFill>
                <a:latin typeface="Clever2"/>
              </a:defRPr>
            </a:pPr>
            <a:r>
              <a:rPr sz="1800" b="1" strike="noStrike" spc="-1">
                <a:solidFill>
                  <a:srgbClr val="000000"/>
                </a:solidFill>
                <a:latin typeface="Clever2"/>
              </a:rPr>
              <a:t>روند ماهانه: تعداد مراجعه و هزینه گارانتی</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داشبورد!$C$138</f>
              <strCache>
                <ptCount val="1"/>
                <pt idx="0">
                  <v>تعداد مراجعه</v>
                </pt>
              </strCache>
            </strRef>
          </tx>
          <spPr>
            <a:solidFill xmlns:a="http://schemas.openxmlformats.org/drawingml/2006/main">
              <a:srgbClr val="2e5077"/>
            </a:solidFill>
            <a:ln xmlns:a="http://schemas.openxmlformats.org/drawingml/2006/main" w="0">
              <a:solidFill>
                <a:srgbClr val="000000"/>
              </a:solidFill>
              <a:prstDash val="solid"/>
            </a:ln>
          </spPr>
          <invertIfNegative val="0"/>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Clever2"/>
                  </a:defRPr>
                </a:pPr>
                <a:r>
                  <a:t>None</a:t>
                </a:r>
              </a:p>
            </txPr>
            <dLblPos val="outEnd"/>
            <showLegendKey val="0"/>
            <showVal val="0"/>
            <showCatName val="0"/>
            <showSerName val="0"/>
            <showPercent val="0"/>
            <showLeaderLines val="1"/>
          </dLbls>
          <cat>
            <strRef>
              <f>داشبورد!$B$139:$B$142</f>
              <strCache>
                <ptCount val="4"/>
                <pt idx="0">
                  <v>فروردین</v>
                </pt>
                <pt idx="1">
                  <v>اردیبهشت</v>
                </pt>
                <pt idx="2">
                  <v>خرداد</v>
                </pt>
                <pt idx="3">
                  <v>تیر</v>
                </pt>
              </strCache>
            </strRef>
          </cat>
          <val>
            <numRef>
              <f>داشبورد!$C$139:$C$142</f>
              <numCache>
                <formatCode>General</formatCode>
                <ptCount val="4"/>
                <pt idx="0">
                  <v>150</v>
                </pt>
                <pt idx="1">
                  <v>57</v>
                </pt>
                <pt idx="2">
                  <v>33</v>
                </pt>
                <pt idx="3">
                  <v>4</v>
                </pt>
              </numCache>
            </numRef>
          </val>
        </ser>
        <gapWidth val="150"/>
        <overlap val="0"/>
        <axId val="71675616"/>
        <axId val="45459125"/>
      </barChart>
      <lineChart>
        <grouping val="standard"/>
        <varyColors val="0"/>
        <ser>
          <idx val="1"/>
          <order val="1"/>
          <tx>
            <strRef>
              <f>داشبورد!$D$138</f>
              <strCache>
                <ptCount val="1"/>
                <pt idx="0">
                  <v>هزینه کل (تومان)</v>
                </pt>
              </strCache>
            </strRef>
          </tx>
          <spPr>
            <a:solidFill xmlns:a="http://schemas.openxmlformats.org/drawingml/2006/main">
              <a:srgbClr val="c4622d"/>
            </a:solidFill>
            <a:ln xmlns:a="http://schemas.openxmlformats.org/drawingml/2006/main" w="24840">
              <a:solidFill>
                <a:srgbClr val="c4622d"/>
              </a:solidFill>
              <a:prstDash val="solid"/>
              <a:round/>
            </a:ln>
          </spPr>
          <marker>
            <symbol val="none"/>
            <spPr>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Clever2"/>
                  </a:defRPr>
                </a:pPr>
                <a:r>
                  <a:t>None</a:t>
                </a:r>
              </a:p>
            </txPr>
            <dLblPos val="r"/>
            <showLegendKey val="0"/>
            <showVal val="0"/>
            <showCatName val="0"/>
            <showSerName val="0"/>
            <showPercent val="0"/>
            <showLeaderLines val="1"/>
          </dLbls>
          <cat>
            <strRef>
              <f>داشبورد!$B$139:$B$142</f>
              <strCache>
                <ptCount val="4"/>
                <pt idx="0">
                  <v>فروردین</v>
                </pt>
                <pt idx="1">
                  <v>اردیبهشت</v>
                </pt>
                <pt idx="2">
                  <v>خرداد</v>
                </pt>
                <pt idx="3">
                  <v>تیر</v>
                </pt>
              </strCache>
            </strRef>
          </cat>
          <val>
            <numRef>
              <f>داشبورد!$D$139:$D$142</f>
              <numCache>
                <formatCode>#,##0</formatCode>
                <ptCount val="4"/>
                <pt idx="0">
                  <v>514100000</v>
                </pt>
                <pt idx="1">
                  <v>345800000</v>
                </pt>
                <pt idx="2">
                  <v>155200000</v>
                </pt>
                <pt idx="3">
                  <v>10000000</v>
                </pt>
              </numCache>
            </numRef>
          </val>
          <smooth val="0"/>
        </ser>
        <hiLowLines>
          <spPr>
            <a:ln xmlns:a="http://schemas.openxmlformats.org/drawingml/2006/main" w="0">
              <a:noFill/>
              <a:prstDash val="solid"/>
            </a:ln>
          </spPr>
        </hiLowLines>
        <marker val="0"/>
        <axId val="34870965"/>
        <axId val="86185732"/>
      </lineChart>
      <catAx>
        <axId val="71675616"/>
        <scaling>
          <orientation val="minMax"/>
        </scaling>
        <delete val="0"/>
        <axPos val="b"/>
        <numFmt formatCode="General" sourceLinked="0"/>
        <majorTickMark val="none"/>
        <minorTickMark val="none"/>
        <tickLblPos val="nextTo"/>
        <spPr>
          <a:ln xmlns:a="http://schemas.openxmlformats.org/drawingml/2006/main" w="0">
            <a:solidFill>
              <a:srgbClr val="b3b3b3"/>
            </a:solid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45459125"/>
        <crosses val="autoZero"/>
        <auto val="1"/>
        <lblAlgn val="ctr"/>
        <lblOffset val="100"/>
        <noMultiLvlLbl val="0"/>
      </catAx>
      <valAx>
        <axId val="45459125"/>
        <scaling>
          <orientation val="minMax"/>
        </scaling>
        <delete val="0"/>
        <axPos val="l"/>
        <title>
          <tx>
            <rich>
              <a:bodyPr xmlns:a="http://schemas.openxmlformats.org/drawingml/2006/main" rot="-5400000"/>
              <a:lstStyle xmlns:a="http://schemas.openxmlformats.org/drawingml/2006/main"/>
              <a:p xmlns:a="http://schemas.openxmlformats.org/drawingml/2006/main">
                <a:pPr>
                  <a:defRPr sz="1000" b="1" strike="noStrike" spc="-1">
                    <a:solidFill>
                      <a:srgbClr val="000000"/>
                    </a:solidFill>
                    <a:latin typeface="Clever2"/>
                  </a:defRPr>
                </a:pPr>
                <a:r>
                  <a:rPr sz="1000" b="1" strike="noStrike" spc="-1">
                    <a:solidFill>
                      <a:srgbClr val="000000"/>
                    </a:solidFill>
                    <a:latin typeface="Clever2"/>
                  </a:rPr>
                  <a:t>تعداد مراجعه</a:t>
                </a:r>
              </a:p>
            </rich>
          </tx>
          <overlay val="0"/>
          <spPr>
            <a:noFill xmlns:a="http://schemas.openxmlformats.org/drawingml/2006/main"/>
            <a:ln xmlns:a="http://schemas.openxmlformats.org/drawingml/2006/main" w="0">
              <a:noFill/>
              <a:prstDash val="solid"/>
            </a:ln>
          </spPr>
        </title>
        <numFmt formatCode="General" sourceLinked="0"/>
        <majorTickMark val="none"/>
        <minorTickMark val="none"/>
        <tickLblPos val="nextTo"/>
        <spPr>
          <a:ln xmlns:a="http://schemas.openxmlformats.org/drawingml/2006/main" w="0">
            <a:solidFill>
              <a:srgbClr val="b3b3b3"/>
            </a:solid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71675616"/>
        <crosses val="autoZero"/>
        <crossBetween val="between"/>
      </valAx>
      <catAx>
        <axId val="34870965"/>
        <scaling>
          <orientation val="minMax"/>
        </scaling>
        <delete val="0"/>
        <axPos val="t"/>
        <numFmt formatCode="General" sourceLinked="0"/>
        <majorTickMark val="none"/>
        <minorTickMark val="none"/>
        <tickLblPos val="nextTo"/>
        <spPr>
          <a:ln xmlns:a="http://schemas.openxmlformats.org/drawingml/2006/main" w="0">
            <a:solidFill>
              <a:srgbClr val="b3b3b3"/>
            </a:solid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86185732"/>
        <crosses val="autoZero"/>
        <auto val="1"/>
        <lblAlgn val="ctr"/>
        <lblOffset val="100"/>
        <noMultiLvlLbl val="0"/>
      </catAx>
      <valAx>
        <axId val="86185732"/>
        <scaling>
          <orientation val="minMax"/>
        </scaling>
        <delete val="0"/>
        <axPos val="r"/>
        <title>
          <tx>
            <rich>
              <a:bodyPr xmlns:a="http://schemas.openxmlformats.org/drawingml/2006/main" rot="-5400000"/>
              <a:lstStyle xmlns:a="http://schemas.openxmlformats.org/drawingml/2006/main"/>
              <a:p xmlns:a="http://schemas.openxmlformats.org/drawingml/2006/main">
                <a:pPr>
                  <a:defRPr sz="1000" b="1" strike="noStrike" spc="-1">
                    <a:solidFill>
                      <a:srgbClr val="000000"/>
                    </a:solidFill>
                    <a:latin typeface="Clever2"/>
                  </a:defRPr>
                </a:pPr>
                <a:r>
                  <a:rPr sz="1000" b="1" strike="noStrike" spc="-1">
                    <a:solidFill>
                      <a:srgbClr val="000000"/>
                    </a:solidFill>
                    <a:latin typeface="Clever2"/>
                  </a:rPr>
                  <a:t>هزینه کل (تومان)</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0">
            <a:solidFill>
              <a:srgbClr val="b3b3b3"/>
            </a:solid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crossAx val="34870965"/>
        <crosses val="max"/>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spc="-1">
              <a:solidFill>
                <a:srgbClr val="000000"/>
              </a:solidFill>
              <a:latin typeface="Clever2"/>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4.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400" b="0" strike="noStrike" spc="-1">
                <a:solidFill>
                  <a:srgbClr val="595959"/>
                </a:solidFill>
                <a:latin typeface="Clever2"/>
              </a:defRPr>
            </a:pPr>
            <a:r>
              <a:rPr sz="1400" b="0" strike="noStrike" spc="-1">
                <a:solidFill>
                  <a:srgbClr val="595959"/>
                </a:solidFill>
                <a:latin typeface="Clever2"/>
              </a:rPr>
              <a:t>میانگین ماه خرابی محصول</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تحلیل!$B$68</f>
              <strCache>
                <ptCount val="1"/>
                <pt idx="0">
                  <v>میانگین ماه</v>
                </pt>
              </strCache>
            </strRef>
          </tx>
          <spPr>
            <a:solidFill xmlns:a="http://schemas.openxmlformats.org/drawingml/2006/main">
              <a:srgbClr val="f79646"/>
            </a:solidFill>
            <a:ln xmlns:a="http://schemas.openxmlformats.org/drawingml/2006/main" w="0">
              <a:noFill/>
              <a:prstDash val="solid"/>
            </a:ln>
          </spPr>
          <invertIfNegative val="0"/>
          <dLbls>
            <txPr>
              <a:bodyPr xmlns:a="http://schemas.openxmlformats.org/drawingml/2006/main" wrap="square"/>
              <a:lstStyle xmlns:a="http://schemas.openxmlformats.org/drawingml/2006/main"/>
              <a:p xmlns:a="http://schemas.openxmlformats.org/drawingml/2006/main">
                <a:pPr>
                  <a:defRPr sz="1000" b="0" strike="noStrike" spc="-1">
                    <a:solidFill>
                      <a:srgbClr val="000000"/>
                    </a:solidFill>
                    <a:latin typeface="Clever2"/>
                  </a:defRPr>
                </a:pPr>
                <a:r>
                  <a:t>None</a:t>
                </a:r>
              </a:p>
            </txPr>
            <dLblPos val="outEnd"/>
            <showLegendKey val="0"/>
            <showVal val="0"/>
            <showCatName val="0"/>
            <showSerName val="0"/>
            <showPercent val="0"/>
            <showLeaderLines val="1"/>
          </dLbls>
          <cat>
            <strRef>
              <f>تحلیل!$A$69:$A$73</f>
              <strCache>
                <ptCount val="5"/>
                <pt idx="0">
                  <v>ماشین ظرفشویی</v>
                </pt>
                <pt idx="1">
                  <v>ماشین لباسشویی</v>
                </pt>
                <pt idx="2">
                  <v>یخچال ساید‌بای‌ساید</v>
                </pt>
                <pt idx="3">
                  <v>یخچال مینی</v>
                </pt>
                <pt idx="4">
                  <v>تلویزیون</v>
                </pt>
              </strCache>
            </strRef>
          </cat>
          <val>
            <numRef>
              <f>تحلیل!$B$69:$B$73</f>
              <numCache>
                <formatCode>General</formatCode>
                <ptCount val="5"/>
                <pt idx="0">
                  <v>7.6</v>
                </pt>
                <pt idx="1">
                  <v>8.199999999999999</v>
                </pt>
                <pt idx="2">
                  <v>10.8</v>
                </pt>
                <pt idx="3">
                  <v>7.4</v>
                </pt>
                <pt idx="4">
                  <v>10.3</v>
                </pt>
              </numCache>
            </numRef>
          </val>
        </ser>
        <gapWidth val="219"/>
        <overlap val="-27"/>
        <axId val="86082483"/>
        <axId val="37112465"/>
      </barChart>
      <catAx>
        <axId val="86082483"/>
        <scaling>
          <orientation val="maxMin"/>
        </scaling>
        <delete val="0"/>
        <axPos val="b"/>
        <numFmt formatCode="General" sourceLinked="0"/>
        <majorTickMark val="none"/>
        <minorTickMark val="none"/>
        <tickLblPos val="nextTo"/>
        <spPr>
          <a:ln xmlns:a="http://schemas.openxmlformats.org/drawingml/2006/main" w="9360">
            <a:solidFill>
              <a:srgbClr val="d9d9d9"/>
            </a:solidFill>
            <a:prstDash val="solid"/>
            <a:round/>
          </a:ln>
        </spPr>
        <txPr>
          <a:bodyPr xmlns:a="http://schemas.openxmlformats.org/drawingml/2006/main"/>
          <a:lstStyle xmlns:a="http://schemas.openxmlformats.org/drawingml/2006/main"/>
          <a:p xmlns:a="http://schemas.openxmlformats.org/drawingml/2006/main">
            <a:pPr>
              <a:defRPr sz="900" b="0" strike="noStrike" spc="-1">
                <a:solidFill>
                  <a:srgbClr val="595959"/>
                </a:solidFill>
                <a:latin typeface="Clever2"/>
              </a:defRPr>
            </a:pPr>
            <a:r>
              <a:t>None</a:t>
            </a:r>
          </a:p>
        </txPr>
        <crossAx val="37112465"/>
        <crosses val="autoZero"/>
        <auto val="1"/>
        <lblAlgn val="ctr"/>
        <lblOffset val="100"/>
        <noMultiLvlLbl val="0"/>
      </catAx>
      <valAx>
        <axId val="37112465"/>
        <scaling>
          <orientation val="minMax"/>
        </scaling>
        <delete val="0"/>
        <axPos val="l"/>
        <majorGridlines>
          <spPr>
            <a:ln xmlns:a="http://schemas.openxmlformats.org/drawingml/2006/main" w="9360">
              <a:solidFill>
                <a:srgbClr val="d9d9d9"/>
              </a:solidFill>
              <a:prstDash val="solid"/>
              <a:round/>
            </a:ln>
          </spPr>
        </majorGridlines>
        <numFmt formatCode="General" sourceLinked="0"/>
        <majorTickMark val="none"/>
        <minorTickMark val="none"/>
        <tickLblPos val="nextTo"/>
        <spPr>
          <a:ln xmlns:a="http://schemas.openxmlformats.org/drawingml/2006/main" w="9360">
            <a:noFill/>
            <a:prstDash val="solid"/>
          </a:ln>
        </spPr>
        <txPr>
          <a:bodyPr xmlns:a="http://schemas.openxmlformats.org/drawingml/2006/main"/>
          <a:lstStyle xmlns:a="http://schemas.openxmlformats.org/drawingml/2006/main"/>
          <a:p xmlns:a="http://schemas.openxmlformats.org/drawingml/2006/main">
            <a:pPr>
              <a:defRPr sz="900" b="0" strike="noStrike" spc="-1">
                <a:solidFill>
                  <a:srgbClr val="595959"/>
                </a:solidFill>
                <a:latin typeface="Clever2"/>
              </a:defRPr>
            </a:pPr>
            <a:r>
              <a:t>None</a:t>
            </a:r>
          </a:p>
        </txPr>
        <crossAx val="86082483"/>
        <crosses val="autoZero"/>
        <crossBetween val="between"/>
      </valAx>
    </plotArea>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twoCellAnchor editAs="oneCell">
    <from>
      <col>11</col>
      <colOff>-739800</colOff>
      <row>10</row>
      <rowOff>102600</rowOff>
    </from>
    <to>
      <col>16</col>
      <colOff>-762120</colOff>
      <row>26</row>
      <rowOff>147960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col>
      <colOff>-234360</colOff>
      <row>88</row>
      <rowOff>0</rowOff>
    </from>
    <to>
      <col>16</col>
      <colOff>-212760</colOff>
      <row>105</row>
      <rowOff>87120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5</col>
      <colOff>-435600</colOff>
      <row>136</row>
      <rowOff>152280</rowOff>
    </from>
    <to>
      <col>12</col>
      <colOff>-981360</colOff>
      <row>151</row>
      <rowOff>97560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editAs="oneCell">
    <from>
      <col>1</col>
      <colOff>-923760</colOff>
      <row>10</row>
      <rowOff>123840</rowOff>
    </from>
    <to>
      <col>5</col>
      <colOff>-123840</colOff>
      <row>26</row>
      <rowOff>114120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 displayName="Table1" ref="A1:Q318" headerRowCount="1" totalsRowCount="0" totalsRowShown="0">
  <autoFilter ref="A1:Q318"/>
  <tableColumns count="17">
    <tableColumn id="1" name="شماره پذیرش"/>
    <tableColumn id="2" name="ماه"/>
    <tableColumn id="3" name="نوع محصول"/>
    <tableColumn id="4" name="مدل محصول"/>
    <tableColumn id="5" name="شماره سریال"/>
    <tableColumn id="6" name="اظهار مشتری"/>
    <tableColumn id="7" name="شرح خرابی"/>
    <tableColumn id="8" name="تاریخ پذیرش"/>
    <tableColumn id="9" name="تاریخ تولید"/>
    <tableColumn id="10" name="تاریخ نصب"/>
    <tableColumn id="11" name="میلادی پذیرش"/>
    <tableColumn id="12" name="میلادی تولید"/>
    <tableColumn id="13" name="میلادی نصب"/>
    <tableColumn id="14" name="مدت زمان مصرف"/>
    <tableColumn id="15" name="دسته علت خرابی"/>
    <tableColumn id="16" name="قطعه تعویضی"/>
    <tableColumn id="17" name="مشئول ایاب ذهاب" totalsRowFunction="count"/>
  </tableColumns>
</table>
</file>

<file path=xl/tables/table2.xml><?xml version="1.0" encoding="utf-8"?>
<table xmlns="http://schemas.openxmlformats.org/spreadsheetml/2006/main" id="2" name="Table2" displayName="Table2" ref="R1:V337" headerRowCount="1" totalsRowCount="0" totalsRowShown="0">
  <autoFilter ref="R1:V337"/>
  <tableColumns count="5">
    <tableColumn id="1" name="هزینه قطعه (تومان)"/>
    <tableColumn id="2" name="هزینه اجرت+ایاب‌وذهاب (تومان)"/>
    <tableColumn id="3" name="هزینه کل ردیف (تومان)"/>
    <tableColumn id="4" name="مراجعه تکراری؟ (سریال)"/>
    <tableColumn id="5" name="هزینه ضرر تکرار (تومان)"/>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3.xml.rels><Relationships xmlns="http://schemas.openxmlformats.org/package/2006/relationships"><Relationship Type="http://schemas.openxmlformats.org/officeDocument/2006/relationships/table" Target="/xl/tables/table1.xml" Id="rId1"/><Relationship Type="http://schemas.openxmlformats.org/officeDocument/2006/relationships/table" Target="/xl/tables/table2.xml" Id="rId2"/></Relationships>
</file>

<file path=xl/worksheets/sheet1.xml><?xml version="1.0" encoding="utf-8"?>
<worksheet xmlns="http://schemas.openxmlformats.org/spreadsheetml/2006/main">
  <sheetPr filterMode="0">
    <tabColor rgb="FF1C3454"/>
    <outlinePr summaryBelow="1" summaryRight="1"/>
    <pageSetUpPr fitToPage="0"/>
  </sheetPr>
  <dimension ref="A2:R143"/>
  <sheetViews>
    <sheetView showFormulas="0" showGridLines="0" showRowColHeaders="1" showZeros="1" rightToLeft="1" tabSelected="1" showOutlineSymbols="1" defaultGridColor="1" view="normal" topLeftCell="A139" colorId="64" zoomScale="100" zoomScaleNormal="100" zoomScalePageLayoutView="100" workbookViewId="0">
      <selection pane="topLeft" activeCell="F14" activeCellId="0" sqref="F14"/>
    </sheetView>
  </sheetViews>
  <sheetFormatPr baseColWidth="8" defaultColWidth="8.71484375" defaultRowHeight="15" zeroHeight="0" outlineLevelRow="0"/>
  <cols>
    <col width="2" customWidth="1" style="100" min="1" max="1"/>
    <col width="31.42" customWidth="1" style="100" min="2" max="2"/>
    <col width="15" customWidth="1" style="100" min="3" max="4"/>
    <col width="13.86" customWidth="1" style="100" min="5" max="5"/>
    <col width="17.29" customWidth="1" style="100" min="6" max="6"/>
    <col width="13.42" customWidth="1" style="100" min="7" max="7"/>
    <col width="15" customWidth="1" style="100" min="8" max="14"/>
    <col width="12.71" customWidth="1" style="100" min="15" max="17"/>
  </cols>
  <sheetData>
    <row r="1" ht="18" customFormat="1" customHeight="1" s="101"/>
    <row r="2" ht="27.75" customFormat="1" customHeight="1" s="101">
      <c r="B2" s="102" t="inlineStr">
        <is>
          <t>داشبورد تعمیرات و خدمات پس از فروش — پنج ماهه اول ۱۴۰۵</t>
        </is>
      </c>
    </row>
    <row r="3" ht="18" customFormat="1" customHeight="1" s="101">
      <c r="B3" s="103">
        <f>"آرتا گستر افق پارسیان   |   بازه  فروردین تا ۲۰ مرداد   |   "&amp;COUNTA('داده خام'!A2:A456)&amp;"  رکورد تعمیر گارانتی (مرداد تا روز ۲۰ام)   |   منابع داده: گزارش نصب و تعمیر دریافتی از خدمات پس از فروش"</f>
        <v/>
      </c>
    </row>
    <row r="4" ht="20.25" customFormat="1" customHeight="1" s="101">
      <c r="H4" s="104" t="n"/>
    </row>
    <row r="5" ht="23.25" customFormat="1" customHeight="1" s="101">
      <c r="B5" s="105" t="inlineStr">
        <is>
          <t>کل تماس‌های خدماتی</t>
        </is>
      </c>
      <c r="C5" s="106" t="n"/>
      <c r="D5" s="106" t="n"/>
      <c r="E5" s="105" t="inlineStr">
        <is>
          <t>پرتکرارترین دستگاه</t>
        </is>
      </c>
      <c r="F5" s="106" t="n"/>
      <c r="G5" s="106" t="n"/>
      <c r="H5" s="105" t="inlineStr">
        <is>
          <t>علت غالب خرابی</t>
        </is>
      </c>
    </row>
    <row r="6" ht="18" customFormat="1" customHeight="1" s="101">
      <c r="A6" s="107" t="n"/>
      <c r="B6" s="108">
        <f>COUNTA('داده خام'!A2:A456)</f>
        <v/>
      </c>
      <c r="E6" s="108" t="inlineStr">
        <is>
          <t>ظرفشویی</t>
        </is>
      </c>
      <c r="H6" s="109" t="inlineStr">
        <is>
          <t>مکانیزم درب - میکروسوئیچ/قلاب (تعویض/تنظیم)</t>
        </is>
      </c>
    </row>
    <row r="7" ht="18" customFormat="1" customHeight="1" s="101">
      <c r="A7" s="107" t="n"/>
    </row>
    <row r="8" ht="17.25" customFormat="1" customHeight="1" s="110">
      <c r="B8" s="111" t="inlineStr">
        <is>
          <t>۵ نوع دستگاه / ۳۶ مدل</t>
        </is>
      </c>
      <c r="E8" s="111" t="inlineStr">
        <is>
          <t>127 مورد — 39.1٪ از کل</t>
        </is>
      </c>
      <c r="H8" s="111" t="inlineStr">
        <is>
          <t>33 مورد — 10.2٪ از کل</t>
        </is>
      </c>
    </row>
    <row r="9" ht="18" customFormat="1" customHeight="1" s="101"/>
    <row r="10" ht="19.5" customFormat="1" customHeight="1" s="101">
      <c r="B10" s="112" t="inlineStr">
        <is>
          <t>۰۱  |  توزیع دستگاه،  زمان‌بندی خرابی</t>
        </is>
      </c>
    </row>
    <row r="11" ht="18" customFormat="1" customHeight="1" s="101"/>
    <row r="12" ht="18.75" customFormat="1" customHeight="1" s="101"/>
    <row r="13" ht="18" customFormat="1" customHeight="1" s="101"/>
    <row r="14" ht="18" customFormat="1" customHeight="1" s="101"/>
    <row r="15" ht="18" customFormat="1" customHeight="1" s="101"/>
    <row r="16" ht="18" customFormat="1" customHeight="1" s="101"/>
    <row r="17" ht="17.25" customFormat="1" customHeight="1" s="101"/>
    <row r="18" ht="18.75" customFormat="1" customHeight="1" s="101"/>
    <row r="19" ht="18" customFormat="1" customHeight="1" s="101"/>
    <row r="20" ht="18" customFormat="1" customHeight="1" s="101"/>
    <row r="21" ht="18" customFormat="1" customHeight="1" s="101"/>
    <row r="22" ht="18" customFormat="1" customHeight="1" s="101"/>
    <row r="23" ht="18" customFormat="1" customHeight="1" s="101"/>
    <row r="24" ht="18" customFormat="1" customHeight="1" s="101"/>
    <row r="25" ht="18" customFormat="1" customHeight="1" s="101"/>
    <row r="26" ht="18" customFormat="1" customHeight="1" s="101"/>
    <row r="27" ht="19.5" customFormat="1" customHeight="1" s="101"/>
    <row r="28" ht="19.5" customFormat="1" customHeight="1" s="101">
      <c r="B28" s="112" t="inlineStr">
        <is>
          <t>۰۲  |  دسته‌بندی دقیق علت خرابی</t>
        </is>
      </c>
    </row>
    <row r="29" ht="18" customFormat="1" customHeight="1" s="101"/>
    <row r="30" ht="30" customFormat="1" customHeight="1" s="101">
      <c r="B30" s="113" t="inlineStr">
        <is>
          <t>دسته دقیق علت خرابی</t>
        </is>
      </c>
      <c r="C30" s="113" t="inlineStr">
        <is>
          <t>تعداد</t>
        </is>
      </c>
      <c r="D30" s="113" t="inlineStr">
        <is>
          <t>سهم از کل</t>
        </is>
      </c>
      <c r="E30" s="113" t="inlineStr">
        <is>
          <t>میانگین ماه تا خرابی</t>
        </is>
      </c>
      <c r="F30" s="113" t="inlineStr">
        <is>
          <t>اولویت بازبینی</t>
        </is>
      </c>
      <c r="M30" s="114" t="n"/>
      <c r="N30" s="114" t="n"/>
    </row>
    <row r="31" ht="31.5" customFormat="1" customHeight="1" s="115">
      <c r="B31" s="116">
        <f>تحلیل!A11</f>
        <v/>
      </c>
      <c r="C31" s="116">
        <f>تحلیل!B11</f>
        <v/>
      </c>
      <c r="D31" s="116">
        <f>تحلیل!C11</f>
        <v/>
      </c>
      <c r="E31" s="116">
        <f>تحلیل!D11</f>
        <v/>
      </c>
      <c r="F31" s="116">
        <f>تحلیل!E11</f>
        <v/>
      </c>
      <c r="M31" s="117" t="n"/>
      <c r="N31" s="117" t="n"/>
    </row>
    <row r="32" ht="31.5" customFormat="1" customHeight="1" s="115">
      <c r="B32" s="116">
        <f>تحلیل!A12</f>
        <v/>
      </c>
      <c r="C32" s="116">
        <f>تحلیل!B12</f>
        <v/>
      </c>
      <c r="D32" s="116">
        <f>تحلیل!C12</f>
        <v/>
      </c>
      <c r="E32" s="116">
        <f>تحلیل!D12</f>
        <v/>
      </c>
      <c r="F32" s="116">
        <f>تحلیل!E12</f>
        <v/>
      </c>
      <c r="M32" s="117" t="n"/>
      <c r="N32" s="117" t="n"/>
    </row>
    <row r="33" ht="31.5" customFormat="1" customHeight="1" s="115">
      <c r="B33" s="116">
        <f>تحلیل!A13</f>
        <v/>
      </c>
      <c r="C33" s="116">
        <f>تحلیل!B13</f>
        <v/>
      </c>
      <c r="D33" s="116">
        <f>تحلیل!C13</f>
        <v/>
      </c>
      <c r="E33" s="116">
        <f>تحلیل!D13</f>
        <v/>
      </c>
      <c r="F33" s="116">
        <f>تحلیل!E13</f>
        <v/>
      </c>
      <c r="M33" s="117" t="n"/>
      <c r="N33" s="117" t="n"/>
    </row>
    <row r="34" ht="31.5" customFormat="1" customHeight="1" s="115">
      <c r="B34" s="116">
        <f>تحلیل!A14</f>
        <v/>
      </c>
      <c r="C34" s="116">
        <f>تحلیل!B14</f>
        <v/>
      </c>
      <c r="D34" s="116">
        <f>تحلیل!C14</f>
        <v/>
      </c>
      <c r="E34" s="116">
        <f>تحلیل!D14</f>
        <v/>
      </c>
      <c r="F34" s="116">
        <f>تحلیل!E14</f>
        <v/>
      </c>
      <c r="M34" s="117" t="n"/>
      <c r="N34" s="117" t="n"/>
    </row>
    <row r="35" ht="31.5" customFormat="1" customHeight="1" s="115">
      <c r="B35" s="116">
        <f>تحلیل!A15</f>
        <v/>
      </c>
      <c r="C35" s="116">
        <f>تحلیل!B15</f>
        <v/>
      </c>
      <c r="D35" s="116">
        <f>تحلیل!C15</f>
        <v/>
      </c>
      <c r="E35" s="116">
        <f>تحلیل!D15</f>
        <v/>
      </c>
      <c r="F35" s="116">
        <f>تحلیل!E15</f>
        <v/>
      </c>
      <c r="M35" s="117" t="n"/>
      <c r="N35" s="117" t="n"/>
    </row>
    <row r="36" ht="31.5" customFormat="1" customHeight="1" s="115">
      <c r="B36" s="116">
        <f>تحلیل!A16</f>
        <v/>
      </c>
      <c r="C36" s="116">
        <f>تحلیل!B16</f>
        <v/>
      </c>
      <c r="D36" s="116">
        <f>تحلیل!C16</f>
        <v/>
      </c>
      <c r="E36" s="116">
        <f>تحلیل!D16</f>
        <v/>
      </c>
      <c r="F36" s="116">
        <f>تحلیل!E16</f>
        <v/>
      </c>
      <c r="M36" s="117" t="n"/>
      <c r="N36" s="117" t="n"/>
    </row>
    <row r="37" ht="31.5" customFormat="1" customHeight="1" s="115">
      <c r="B37" s="116">
        <f>تحلیل!A17</f>
        <v/>
      </c>
      <c r="C37" s="116">
        <f>تحلیل!B17</f>
        <v/>
      </c>
      <c r="D37" s="116">
        <f>تحلیل!C17</f>
        <v/>
      </c>
      <c r="E37" s="116">
        <f>تحلیل!D17</f>
        <v/>
      </c>
      <c r="F37" s="116">
        <f>تحلیل!E17</f>
        <v/>
      </c>
      <c r="M37" s="117" t="n"/>
      <c r="N37" s="117" t="n"/>
    </row>
    <row r="38" ht="31.5" customFormat="1" customHeight="1" s="115">
      <c r="B38" s="116">
        <f>تحلیل!A18</f>
        <v/>
      </c>
      <c r="C38" s="116">
        <f>تحلیل!B18</f>
        <v/>
      </c>
      <c r="D38" s="116">
        <f>تحلیل!C18</f>
        <v/>
      </c>
      <c r="E38" s="116">
        <f>تحلیل!D18</f>
        <v/>
      </c>
      <c r="F38" s="116">
        <f>تحلیل!E18</f>
        <v/>
      </c>
      <c r="M38" s="117" t="n"/>
      <c r="N38" s="117" t="n"/>
    </row>
    <row r="39" ht="31.5" customFormat="1" customHeight="1" s="115">
      <c r="B39" s="116">
        <f>تحلیل!A19</f>
        <v/>
      </c>
      <c r="C39" s="116">
        <f>تحلیل!B19</f>
        <v/>
      </c>
      <c r="D39" s="116">
        <f>تحلیل!C19</f>
        <v/>
      </c>
      <c r="E39" s="116">
        <f>تحلیل!D19</f>
        <v/>
      </c>
      <c r="F39" s="116">
        <f>تحلیل!E19</f>
        <v/>
      </c>
      <c r="M39" s="117" t="n"/>
      <c r="N39" s="117" t="n"/>
    </row>
    <row r="40" ht="31.5" customFormat="1" customHeight="1" s="115">
      <c r="B40" s="116">
        <f>تحلیل!A20</f>
        <v/>
      </c>
      <c r="C40" s="116">
        <f>تحلیل!B20</f>
        <v/>
      </c>
      <c r="D40" s="116">
        <f>تحلیل!C20</f>
        <v/>
      </c>
      <c r="E40" s="116">
        <f>تحلیل!D20</f>
        <v/>
      </c>
      <c r="F40" s="116">
        <f>تحلیل!E20</f>
        <v/>
      </c>
      <c r="M40" s="117" t="n"/>
      <c r="N40" s="117" t="n"/>
    </row>
    <row r="41" ht="31.5" customFormat="1" customHeight="1" s="115">
      <c r="B41" s="116">
        <f>تحلیل!A21</f>
        <v/>
      </c>
      <c r="C41" s="116">
        <f>تحلیل!B21</f>
        <v/>
      </c>
      <c r="D41" s="116">
        <f>تحلیل!C21</f>
        <v/>
      </c>
      <c r="E41" s="116">
        <f>تحلیل!D21</f>
        <v/>
      </c>
      <c r="F41" s="116">
        <f>تحلیل!E21</f>
        <v/>
      </c>
      <c r="M41" s="117" t="n"/>
      <c r="N41" s="117" t="n"/>
    </row>
    <row r="42" ht="31.5" customFormat="1" customHeight="1" s="115">
      <c r="B42" s="116">
        <f>تحلیل!A22</f>
        <v/>
      </c>
      <c r="C42" s="116">
        <f>تحلیل!B22</f>
        <v/>
      </c>
      <c r="D42" s="116">
        <f>تحلیل!C22</f>
        <v/>
      </c>
      <c r="E42" s="116">
        <f>تحلیل!D22</f>
        <v/>
      </c>
      <c r="F42" s="116">
        <f>تحلیل!E22</f>
        <v/>
      </c>
      <c r="M42" s="117" t="n"/>
      <c r="N42" s="117" t="n"/>
    </row>
    <row r="43" ht="31.5" customFormat="1" customHeight="1" s="115">
      <c r="B43" s="116">
        <f>تحلیل!A23</f>
        <v/>
      </c>
      <c r="C43" s="116">
        <f>تحلیل!B23</f>
        <v/>
      </c>
      <c r="D43" s="116">
        <f>تحلیل!C23</f>
        <v/>
      </c>
      <c r="E43" s="116">
        <f>تحلیل!D23</f>
        <v/>
      </c>
      <c r="F43" s="116">
        <f>تحلیل!E23</f>
        <v/>
      </c>
      <c r="M43" s="117" t="n"/>
      <c r="N43" s="117" t="n"/>
    </row>
    <row r="44" ht="31.5" customFormat="1" customHeight="1" s="115">
      <c r="B44" s="116">
        <f>تحلیل!A24</f>
        <v/>
      </c>
      <c r="C44" s="116">
        <f>تحلیل!B24</f>
        <v/>
      </c>
      <c r="D44" s="116">
        <f>تحلیل!C24</f>
        <v/>
      </c>
      <c r="E44" s="116">
        <f>تحلیل!D24</f>
        <v/>
      </c>
      <c r="F44" s="116">
        <f>تحلیل!E24</f>
        <v/>
      </c>
      <c r="M44" s="117" t="n"/>
      <c r="N44" s="117" t="n"/>
    </row>
    <row r="45" ht="31.5" customFormat="1" customHeight="1" s="115">
      <c r="B45" s="116">
        <f>تحلیل!A25</f>
        <v/>
      </c>
      <c r="C45" s="116">
        <f>تحلیل!B25</f>
        <v/>
      </c>
      <c r="D45" s="116">
        <f>تحلیل!C25</f>
        <v/>
      </c>
      <c r="E45" s="116">
        <f>تحلیل!D25</f>
        <v/>
      </c>
      <c r="F45" s="116">
        <f>تحلیل!E25</f>
        <v/>
      </c>
      <c r="M45" s="117" t="n"/>
      <c r="N45" s="117" t="n"/>
    </row>
    <row r="46" ht="16.5" customFormat="1" customHeight="1" s="101"/>
    <row r="47" ht="19.5" customFormat="1" customHeight="1" s="101">
      <c r="B47" s="112" t="inlineStr">
        <is>
          <t>۰۳  |  ماتریس دستگاه × علت خرابی (نقشه حرارتی)</t>
        </is>
      </c>
    </row>
    <row r="48" ht="18" customFormat="1" customHeight="1" s="101"/>
    <row r="49" ht="56.25" customFormat="1" customHeight="1" s="118">
      <c r="D49" s="119" t="inlineStr">
        <is>
          <t>نوع دستگاه</t>
        </is>
      </c>
      <c r="E49" s="120" t="inlineStr">
        <is>
          <t>تراز/لرزش - نصب (رگلاژ پایه)</t>
        </is>
      </c>
      <c r="F49" s="120" t="inlineStr">
        <is>
          <t>خرابی - برد الکترونیک (تعویض)</t>
        </is>
      </c>
      <c r="G49" s="120" t="inlineStr">
        <is>
          <t>غیرگارانتی/بدون قطعه</t>
        </is>
      </c>
      <c r="H49" s="120" t="inlineStr">
        <is>
          <t>مکانیزم درب - میکروسوئیچ/قلاب (تعویض/تنظیم)</t>
        </is>
      </c>
      <c r="I49" s="120" t="inlineStr">
        <is>
          <t>نشتی - شیلنگ (تعمیر/آب‌بندی)</t>
        </is>
      </c>
      <c r="J49" s="120" t="inlineStr">
        <is>
          <t>یخساز - تنظیم/عایق (تعمیر)</t>
        </is>
      </c>
      <c r="K49" s="120" t="inlineStr">
        <is>
          <t>نشتی - پمپ تخلیه (تعمیر/آب‌بندی)</t>
        </is>
      </c>
      <c r="L49" s="120" t="inlineStr">
        <is>
          <t>ریست نرم‌افزاری (بدون قطعه)</t>
        </is>
      </c>
      <c r="M49" s="120" t="inlineStr">
        <is>
          <t>لاستیک درزگیر - دفرمگی/پارگی (تعویض)</t>
        </is>
      </c>
    </row>
    <row r="50" ht="42.75" customFormat="1" customHeight="1" s="118">
      <c r="D50" s="121" t="inlineStr">
        <is>
          <t>ماشین ظرفشویی</t>
        </is>
      </c>
      <c r="E50" s="122">
        <f>تحلیل!B60</f>
        <v/>
      </c>
      <c r="F50" s="122">
        <f>تحلیل!C60</f>
        <v/>
      </c>
      <c r="G50" s="122">
        <f>تحلیل!D60</f>
        <v/>
      </c>
      <c r="H50" s="122">
        <f>تحلیل!E60</f>
        <v/>
      </c>
      <c r="I50" s="122">
        <f>تحلیل!F60</f>
        <v/>
      </c>
      <c r="J50" s="122">
        <f>تحلیل!G60</f>
        <v/>
      </c>
      <c r="K50" s="122">
        <f>تحلیل!H60</f>
        <v/>
      </c>
      <c r="L50" s="122">
        <f>تحلیل!I60</f>
        <v/>
      </c>
      <c r="M50" s="122">
        <f>تحلیل!J60</f>
        <v/>
      </c>
    </row>
    <row r="51" ht="42.75" customFormat="1" customHeight="1" s="118">
      <c r="D51" s="121" t="inlineStr">
        <is>
          <t>ماشین لباسشویی</t>
        </is>
      </c>
      <c r="E51" s="122">
        <f>تحلیل!B61</f>
        <v/>
      </c>
      <c r="F51" s="122">
        <f>تحلیل!C61</f>
        <v/>
      </c>
      <c r="G51" s="122">
        <f>تحلیل!D61</f>
        <v/>
      </c>
      <c r="H51" s="122">
        <f>تحلیل!E61</f>
        <v/>
      </c>
      <c r="I51" s="122">
        <f>تحلیل!F61</f>
        <v/>
      </c>
      <c r="J51" s="122">
        <f>تحلیل!G61</f>
        <v/>
      </c>
      <c r="K51" s="122">
        <f>تحلیل!H61</f>
        <v/>
      </c>
      <c r="L51" s="122">
        <f>تحلیل!I61</f>
        <v/>
      </c>
      <c r="M51" s="122">
        <f>تحلیل!J61</f>
        <v/>
      </c>
    </row>
    <row r="52" ht="42.75" customFormat="1" customHeight="1" s="118">
      <c r="D52" s="121" t="inlineStr">
        <is>
          <t>یخچال ساید‌بای‌ساید</t>
        </is>
      </c>
      <c r="E52" s="122">
        <f>تحلیل!B62</f>
        <v/>
      </c>
      <c r="F52" s="122">
        <f>تحلیل!C62</f>
        <v/>
      </c>
      <c r="G52" s="122">
        <f>تحلیل!D62</f>
        <v/>
      </c>
      <c r="H52" s="122">
        <f>تحلیل!E62</f>
        <v/>
      </c>
      <c r="I52" s="122">
        <f>تحلیل!F62</f>
        <v/>
      </c>
      <c r="J52" s="122">
        <f>تحلیل!G62</f>
        <v/>
      </c>
      <c r="K52" s="122">
        <f>تحلیل!H62</f>
        <v/>
      </c>
      <c r="L52" s="122">
        <f>تحلیل!I62</f>
        <v/>
      </c>
      <c r="M52" s="122">
        <f>تحلیل!J62</f>
        <v/>
      </c>
    </row>
    <row r="53" ht="42.75" customFormat="1" customHeight="1" s="118">
      <c r="D53" s="121" t="inlineStr">
        <is>
          <t>یخچال مینی</t>
        </is>
      </c>
      <c r="E53" s="122">
        <f>تحلیل!B63</f>
        <v/>
      </c>
      <c r="F53" s="122">
        <f>تحلیل!C63</f>
        <v/>
      </c>
      <c r="G53" s="122">
        <f>تحلیل!D63</f>
        <v/>
      </c>
      <c r="H53" s="122">
        <f>تحلیل!E63</f>
        <v/>
      </c>
      <c r="I53" s="122">
        <f>تحلیل!F63</f>
        <v/>
      </c>
      <c r="J53" s="122">
        <f>تحلیل!G63</f>
        <v/>
      </c>
      <c r="K53" s="122">
        <f>تحلیل!H63</f>
        <v/>
      </c>
      <c r="L53" s="122">
        <f>تحلیل!I63</f>
        <v/>
      </c>
      <c r="M53" s="122">
        <f>تحلیل!J63</f>
        <v/>
      </c>
    </row>
    <row r="54" ht="42.75" customFormat="1" customHeight="1" s="118">
      <c r="D54" s="121" t="inlineStr">
        <is>
          <t>تلویزیون</t>
        </is>
      </c>
      <c r="E54" s="122">
        <f>تحلیل!B64</f>
        <v/>
      </c>
      <c r="F54" s="122">
        <f>تحلیل!C64</f>
        <v/>
      </c>
      <c r="G54" s="122">
        <f>تحلیل!D64</f>
        <v/>
      </c>
      <c r="H54" s="122">
        <f>تحلیل!E64</f>
        <v/>
      </c>
      <c r="I54" s="122">
        <f>تحلیل!F64</f>
        <v/>
      </c>
      <c r="J54" s="122">
        <f>تحلیل!G64</f>
        <v/>
      </c>
      <c r="K54" s="122">
        <f>تحلیل!H64</f>
        <v/>
      </c>
      <c r="L54" s="122">
        <f>تحلیل!I64</f>
        <v/>
      </c>
      <c r="M54" s="122">
        <f>تحلیل!J64</f>
        <v/>
      </c>
    </row>
    <row r="55" ht="42.75" customFormat="1" customHeight="1" s="118">
      <c r="D55" s="123" t="n"/>
      <c r="E55" s="124" t="n"/>
      <c r="F55" s="124" t="n"/>
      <c r="G55" s="124" t="n"/>
      <c r="H55" s="124" t="n"/>
      <c r="I55" s="124" t="n"/>
      <c r="J55" s="124" t="n"/>
      <c r="K55" s="124" t="n"/>
      <c r="L55" s="124" t="n"/>
      <c r="M55" s="124" t="n"/>
      <c r="N55" s="124" t="n"/>
      <c r="O55" s="124" t="n"/>
      <c r="P55" s="124" t="n"/>
      <c r="Q55" s="124" t="n"/>
    </row>
    <row r="56" ht="49.5" customFormat="1" customHeight="1" s="118">
      <c r="D56" s="119" t="inlineStr">
        <is>
          <t>نوع دستگاه</t>
        </is>
      </c>
      <c r="E56" s="125" t="inlineStr">
        <is>
          <t>خرابی - پمپ تخلیه (تعویض)</t>
        </is>
      </c>
      <c r="F56" s="125" t="inlineStr">
        <is>
          <t>خرابی - شیربرقی (تعویض)</t>
        </is>
      </c>
      <c r="G56" s="125" t="inlineStr">
        <is>
          <t>نشتی - درب مخزن نمک (تعمیر/آب‌بندی)</t>
        </is>
      </c>
      <c r="H56" s="125" t="inlineStr">
        <is>
          <t>مکانیزم درب - لولا (تعویض)</t>
        </is>
      </c>
      <c r="I56" s="125" t="inlineStr">
        <is>
          <t>خرابی - لامپ/LED داخلی (تعویض)</t>
        </is>
      </c>
      <c r="J56" s="125" t="inlineStr">
        <is>
          <t>سایر اجزای درب (بازبینی)</t>
        </is>
      </c>
      <c r="K56" s="125" t="inlineStr">
        <is>
          <t>خرابی - ترموستات (تعویض)</t>
        </is>
      </c>
      <c r="L56" s="125" t="inlineStr">
        <is>
          <t>خرابی - تاب برداشتن درام (تعویض)</t>
        </is>
      </c>
      <c r="M56" s="125" t="inlineStr">
        <is>
          <t>خرابی - واترجت (تعویض)</t>
        </is>
      </c>
    </row>
    <row r="57" ht="42.75" customFormat="1" customHeight="1" s="118">
      <c r="D57" s="121" t="inlineStr">
        <is>
          <t>ماشین ظرفشویی</t>
        </is>
      </c>
      <c r="E57" s="122">
        <f>تحلیل!K60</f>
        <v/>
      </c>
      <c r="F57" s="122">
        <f>تحلیل!L60</f>
        <v/>
      </c>
      <c r="G57" s="122">
        <f>تحلیل!M60</f>
        <v/>
      </c>
      <c r="H57" s="122">
        <f>تحلیل!N60</f>
        <v/>
      </c>
      <c r="I57" s="122">
        <f>تحلیل!O60</f>
        <v/>
      </c>
      <c r="J57" s="122">
        <f>تحلیل!P60</f>
        <v/>
      </c>
      <c r="K57" s="122">
        <f>تحلیل!Q60</f>
        <v/>
      </c>
      <c r="L57" s="122">
        <f>تحلیل!R60</f>
        <v/>
      </c>
      <c r="M57" s="122">
        <f>تحلیل!S60</f>
        <v/>
      </c>
    </row>
    <row r="58" ht="42.75" customFormat="1" customHeight="1" s="118">
      <c r="D58" s="121" t="inlineStr">
        <is>
          <t>ماشین لباسشویی</t>
        </is>
      </c>
      <c r="E58" s="122">
        <f>تحلیل!K61</f>
        <v/>
      </c>
      <c r="F58" s="122">
        <f>تحلیل!L61</f>
        <v/>
      </c>
      <c r="G58" s="122">
        <f>تحلیل!M61</f>
        <v/>
      </c>
      <c r="H58" s="122">
        <f>تحلیل!N61</f>
        <v/>
      </c>
      <c r="I58" s="122">
        <f>تحلیل!O61</f>
        <v/>
      </c>
      <c r="J58" s="122">
        <f>تحلیل!P61</f>
        <v/>
      </c>
      <c r="K58" s="122">
        <f>تحلیل!Q61</f>
        <v/>
      </c>
      <c r="L58" s="122">
        <f>تحلیل!R61</f>
        <v/>
      </c>
      <c r="M58" s="122">
        <f>تحلیل!S61</f>
        <v/>
      </c>
    </row>
    <row r="59" ht="42.75" customFormat="1" customHeight="1" s="118">
      <c r="D59" s="121" t="inlineStr">
        <is>
          <t>یخچال ساید‌بای‌ساید</t>
        </is>
      </c>
      <c r="E59" s="122">
        <f>تحلیل!K62</f>
        <v/>
      </c>
      <c r="F59" s="122">
        <f>تحلیل!L62</f>
        <v/>
      </c>
      <c r="G59" s="122">
        <f>تحلیل!M62</f>
        <v/>
      </c>
      <c r="H59" s="122">
        <f>تحلیل!N62</f>
        <v/>
      </c>
      <c r="I59" s="122">
        <f>تحلیل!O62</f>
        <v/>
      </c>
      <c r="J59" s="122">
        <f>تحلیل!P62</f>
        <v/>
      </c>
      <c r="K59" s="122">
        <f>تحلیل!Q62</f>
        <v/>
      </c>
      <c r="L59" s="122">
        <f>تحلیل!R62</f>
        <v/>
      </c>
      <c r="M59" s="122">
        <f>تحلیل!S62</f>
        <v/>
      </c>
    </row>
    <row r="60" ht="42.75" customFormat="1" customHeight="1" s="118">
      <c r="D60" s="121" t="inlineStr">
        <is>
          <t>یخچال مینی</t>
        </is>
      </c>
      <c r="E60" s="122">
        <f>تحلیل!K63</f>
        <v/>
      </c>
      <c r="F60" s="122">
        <f>تحلیل!L63</f>
        <v/>
      </c>
      <c r="G60" s="122">
        <f>تحلیل!M63</f>
        <v/>
      </c>
      <c r="H60" s="122">
        <f>تحلیل!N63</f>
        <v/>
      </c>
      <c r="I60" s="122">
        <f>تحلیل!O63</f>
        <v/>
      </c>
      <c r="J60" s="122">
        <f>تحلیل!P63</f>
        <v/>
      </c>
      <c r="K60" s="122">
        <f>تحلیل!Q63</f>
        <v/>
      </c>
      <c r="L60" s="122">
        <f>تحلیل!R63</f>
        <v/>
      </c>
      <c r="M60" s="122">
        <f>تحلیل!S63</f>
        <v/>
      </c>
    </row>
    <row r="61" ht="43.5" customFormat="1" customHeight="1" s="101">
      <c r="D61" s="121" t="inlineStr">
        <is>
          <t>تلویزیون</t>
        </is>
      </c>
      <c r="E61" s="122">
        <f>تحلیل!K64</f>
        <v/>
      </c>
      <c r="F61" s="122">
        <f>تحلیل!L64</f>
        <v/>
      </c>
      <c r="G61" s="122">
        <f>تحلیل!M64</f>
        <v/>
      </c>
      <c r="H61" s="122">
        <f>تحلیل!N64</f>
        <v/>
      </c>
      <c r="I61" s="122">
        <f>تحلیل!O64</f>
        <v/>
      </c>
      <c r="J61" s="122">
        <f>تحلیل!P64</f>
        <v/>
      </c>
      <c r="K61" s="122">
        <f>تحلیل!Q64</f>
        <v/>
      </c>
      <c r="L61" s="122">
        <f>تحلیل!R64</f>
        <v/>
      </c>
      <c r="M61" s="122">
        <f>تحلیل!S64</f>
        <v/>
      </c>
    </row>
    <row r="62" ht="18" customFormat="1" customHeight="1" s="101"/>
    <row r="63" ht="19.5" customFormat="1" customHeight="1" s="101">
      <c r="B63" s="112" t="inlineStr">
        <is>
          <t>میانگین مدت مصرف تا خرابی (ماه)  و اقدامات اصلاحی— به تفکیک قطعه تعویضی</t>
        </is>
      </c>
    </row>
    <row r="64" ht="18" customFormat="1" customHeight="1" s="101"/>
    <row r="65" ht="38.25" customFormat="1" customHeight="1" s="101">
      <c r="B65" s="113" t="inlineStr">
        <is>
          <t xml:space="preserve">قطعه </t>
        </is>
      </c>
      <c r="C65" s="113" t="inlineStr">
        <is>
          <t>میانگین ماه مصرف</t>
        </is>
      </c>
      <c r="D65" s="113" t="inlineStr">
        <is>
          <t xml:space="preserve">تعداد </t>
        </is>
      </c>
      <c r="E65" s="126" t="inlineStr">
        <is>
          <t>نظرات/اقدامات</t>
        </is>
      </c>
      <c r="F65" s="127" t="n"/>
      <c r="G65" s="127" t="n"/>
      <c r="H65" s="113" t="inlineStr">
        <is>
          <t xml:space="preserve">زمان اقدام </t>
        </is>
      </c>
      <c r="I65" s="113" t="inlineStr">
        <is>
          <t>نتیجه</t>
        </is>
      </c>
    </row>
    <row r="66" ht="18" customFormat="1" customHeight="1" s="101">
      <c r="B66" s="116">
        <f>تحلیل!A77</f>
        <v/>
      </c>
      <c r="C66" s="116">
        <f>تحلیل!B77</f>
        <v/>
      </c>
      <c r="D66" s="116">
        <f>تحلیل!C77</f>
        <v/>
      </c>
      <c r="E66" s="116" t="inlineStr">
        <is>
          <t>تهیه چک لیست تنظیم محصول هنگام نصب</t>
        </is>
      </c>
      <c r="F66" s="128" t="n"/>
      <c r="G66" s="129" t="n"/>
      <c r="H66" s="116" t="inlineStr">
        <is>
          <t>-</t>
        </is>
      </c>
      <c r="I66" s="116" t="inlineStr">
        <is>
          <t>در دست اقدام</t>
        </is>
      </c>
    </row>
    <row r="67" ht="18" customFormat="1" customHeight="1" s="101">
      <c r="B67" s="116">
        <f>تحلیل!A78</f>
        <v/>
      </c>
      <c r="C67" s="116">
        <f>تحلیل!B78</f>
        <v/>
      </c>
      <c r="D67" s="116">
        <f>تحلیل!C78</f>
        <v/>
      </c>
      <c r="E67" s="116" t="inlineStr">
        <is>
          <t>اقدام اصلاحی</t>
        </is>
      </c>
      <c r="F67" s="128" t="n"/>
      <c r="G67" s="129" t="n"/>
      <c r="H67" s="116" t="inlineStr">
        <is>
          <t>1404/08/06</t>
        </is>
      </c>
      <c r="I67" s="116" t="inlineStr">
        <is>
          <t>در حال بهبود</t>
        </is>
      </c>
    </row>
    <row r="68" ht="18" customFormat="1" customHeight="1" s="101">
      <c r="B68" s="116">
        <f>تحلیل!A79</f>
        <v/>
      </c>
      <c r="C68" s="116">
        <f>تحلیل!B79</f>
        <v/>
      </c>
      <c r="D68" s="116">
        <f>تحلیل!C79</f>
        <v/>
      </c>
      <c r="E68" s="116" t="inlineStr">
        <is>
          <t>استحلاک طبیعی قطعه / بررسی دقیق تر نحوه مونتاژ</t>
        </is>
      </c>
      <c r="F68" s="128" t="n"/>
      <c r="G68" s="129" t="n"/>
      <c r="H68" s="116" t="inlineStr">
        <is>
          <t>1405/05/25</t>
        </is>
      </c>
      <c r="I68" s="116" t="inlineStr">
        <is>
          <t>در دست اقدام</t>
        </is>
      </c>
    </row>
    <row r="69" ht="18" customFormat="1" customHeight="1" s="101">
      <c r="B69" s="116">
        <f>تحلیل!A80</f>
        <v/>
      </c>
      <c r="C69" s="116">
        <f>تحلیل!B80</f>
        <v/>
      </c>
      <c r="D69" s="116">
        <f>تحلیل!C80</f>
        <v/>
      </c>
      <c r="E69" s="116" t="inlineStr">
        <is>
          <t>نوسانات برق / ادرخواست پروژه داخلی سازی</t>
        </is>
      </c>
      <c r="F69" s="128" t="n"/>
      <c r="G69" s="129" t="n"/>
      <c r="H69" s="116" t="inlineStr">
        <is>
          <t>1405/05/28</t>
        </is>
      </c>
      <c r="I69" s="116" t="inlineStr">
        <is>
          <t>در دست اقدام</t>
        </is>
      </c>
    </row>
    <row r="70" ht="18" customFormat="1" customHeight="1" s="101">
      <c r="B70" s="116">
        <f>تحلیل!A81</f>
        <v/>
      </c>
      <c r="C70" s="116">
        <f>تحلیل!B81</f>
        <v/>
      </c>
      <c r="D70" s="116">
        <f>تحلیل!C81</f>
        <v/>
      </c>
      <c r="E70" s="116" t="inlineStr">
        <is>
          <t>نوسانات برق / استحلاک</t>
        </is>
      </c>
      <c r="F70" s="128" t="n"/>
      <c r="G70" s="129" t="n"/>
      <c r="H70" s="116" t="inlineStr">
        <is>
          <t>-</t>
        </is>
      </c>
      <c r="I70" s="116" t="inlineStr">
        <is>
          <t>-</t>
        </is>
      </c>
    </row>
    <row r="71" ht="18" customFormat="1" customHeight="1" s="101">
      <c r="B71" s="116">
        <f>تحلیل!A82</f>
        <v/>
      </c>
      <c r="C71" s="116">
        <f>تحلیل!B82</f>
        <v/>
      </c>
      <c r="D71" s="116">
        <f>تحلیل!C82</f>
        <v/>
      </c>
      <c r="E71" s="116" t="inlineStr">
        <is>
          <t xml:space="preserve"> بررسی دقیق تر نحوه مونتاژ</t>
        </is>
      </c>
      <c r="F71" s="128" t="n"/>
      <c r="G71" s="129" t="n"/>
      <c r="H71" s="116" t="inlineStr">
        <is>
          <t>-</t>
        </is>
      </c>
      <c r="I71" s="116" t="inlineStr">
        <is>
          <t>-</t>
        </is>
      </c>
    </row>
    <row r="72" ht="18" customFormat="1" customHeight="1" s="101">
      <c r="B72" s="116">
        <f>تحلیل!A83</f>
        <v/>
      </c>
      <c r="C72" s="116">
        <f>تحلیل!B83</f>
        <v/>
      </c>
      <c r="D72" s="116">
        <f>تحلیل!C83</f>
        <v/>
      </c>
      <c r="E72" s="116" t="inlineStr">
        <is>
          <t>در دست بررسی</t>
        </is>
      </c>
      <c r="F72" s="128" t="n"/>
      <c r="G72" s="129" t="n"/>
      <c r="H72" s="116" t="inlineStr">
        <is>
          <t>1405/05/20</t>
        </is>
      </c>
      <c r="I72" s="116" t="inlineStr">
        <is>
          <t>-</t>
        </is>
      </c>
    </row>
    <row r="73" ht="18" customFormat="1" customHeight="1" s="101">
      <c r="B73" s="116">
        <f>تحلیل!A84</f>
        <v/>
      </c>
      <c r="C73" s="116">
        <f>تحلیل!B84</f>
        <v/>
      </c>
      <c r="D73" s="116">
        <f>تحلیل!C84</f>
        <v/>
      </c>
      <c r="E73" s="116" t="inlineStr">
        <is>
          <t>داخلی سازی قلاب میکروسوئیچ</t>
        </is>
      </c>
      <c r="F73" s="128" t="n"/>
      <c r="G73" s="129" t="n"/>
      <c r="H73" s="116" t="inlineStr">
        <is>
          <t>در دست اقدام</t>
        </is>
      </c>
      <c r="I73" s="116" t="inlineStr">
        <is>
          <t>-</t>
        </is>
      </c>
    </row>
    <row r="74" ht="18" customFormat="1" customHeight="1" s="101">
      <c r="B74" s="116">
        <f>تحلیل!A85</f>
        <v/>
      </c>
      <c r="C74" s="116">
        <f>تحلیل!B85</f>
        <v/>
      </c>
      <c r="D74" s="116">
        <f>تحلیل!C85</f>
        <v/>
      </c>
      <c r="E74" s="116" t="inlineStr">
        <is>
          <t>بررسی دقیق تر شیربرقی هنگام شروع تولید</t>
        </is>
      </c>
      <c r="F74" s="128" t="n"/>
      <c r="G74" s="129" t="n"/>
      <c r="H74" s="116" t="inlineStr">
        <is>
          <t>1405/05/28</t>
        </is>
      </c>
      <c r="I74" s="116" t="inlineStr">
        <is>
          <t>-</t>
        </is>
      </c>
    </row>
    <row r="75" ht="18" customFormat="1" customHeight="1" s="101">
      <c r="B75" s="116">
        <f>تحلیل!A86</f>
        <v/>
      </c>
      <c r="C75" s="116">
        <f>تحلیل!B86</f>
        <v/>
      </c>
      <c r="D75" s="116">
        <f>تحلیل!C86</f>
        <v/>
      </c>
      <c r="E75" s="116" t="inlineStr">
        <is>
          <t>در دست بررسی</t>
        </is>
      </c>
      <c r="F75" s="128" t="n"/>
      <c r="G75" s="129" t="n"/>
      <c r="H75" s="116" t="inlineStr">
        <is>
          <t>1405/05/20</t>
        </is>
      </c>
      <c r="I75" s="116" t="inlineStr">
        <is>
          <t>-</t>
        </is>
      </c>
    </row>
    <row r="76" ht="18" customFormat="1" customHeight="1" s="101">
      <c r="B76" s="116">
        <f>تحلیل!A87</f>
        <v/>
      </c>
      <c r="C76" s="116">
        <f>تحلیل!B87</f>
        <v/>
      </c>
      <c r="D76" s="116">
        <f>تحلیل!C87</f>
        <v/>
      </c>
      <c r="E76" s="116" t="inlineStr">
        <is>
          <t>نوسانات برق / ادرخواست پروژه داخلی سازی</t>
        </is>
      </c>
      <c r="F76" s="128" t="n"/>
      <c r="G76" s="129" t="n"/>
      <c r="H76" s="116" t="inlineStr">
        <is>
          <t>1405/05/20</t>
        </is>
      </c>
      <c r="I76" s="116" t="inlineStr">
        <is>
          <t>در دست اقدام</t>
        </is>
      </c>
    </row>
    <row r="77" ht="18" customFormat="1" customHeight="1" s="101">
      <c r="B77" s="116">
        <f>تحلیل!A88</f>
        <v/>
      </c>
      <c r="C77" s="116">
        <f>تحلیل!B88</f>
        <v/>
      </c>
      <c r="D77" s="116">
        <f>تحلیل!C88</f>
        <v/>
      </c>
      <c r="E77" s="116" t="inlineStr">
        <is>
          <t>در دست بررسی</t>
        </is>
      </c>
      <c r="F77" s="128" t="n"/>
      <c r="G77" s="129" t="n"/>
      <c r="H77" s="116" t="inlineStr">
        <is>
          <t>1405/05/20</t>
        </is>
      </c>
      <c r="I77" s="116" t="inlineStr">
        <is>
          <t>-</t>
        </is>
      </c>
    </row>
    <row r="78" ht="18" customFormat="1" customHeight="1" s="101">
      <c r="B78" s="116">
        <f>تحلیل!A89</f>
        <v/>
      </c>
      <c r="C78" s="116">
        <f>تحلیل!B89</f>
        <v/>
      </c>
      <c r="D78" s="116">
        <f>تحلیل!C89</f>
        <v/>
      </c>
      <c r="E78" s="116" t="inlineStr">
        <is>
          <t>در دست بررسی</t>
        </is>
      </c>
      <c r="F78" s="128" t="n"/>
      <c r="G78" s="129" t="n"/>
      <c r="H78" s="116" t="inlineStr">
        <is>
          <t>1405/05/20</t>
        </is>
      </c>
      <c r="I78" s="116" t="inlineStr">
        <is>
          <t>-</t>
        </is>
      </c>
    </row>
    <row r="79" ht="18" customFormat="1" customHeight="1" s="101">
      <c r="B79" s="116">
        <f>تحلیل!A90</f>
        <v/>
      </c>
      <c r="C79" s="116">
        <f>تحلیل!B90</f>
        <v/>
      </c>
      <c r="D79" s="116">
        <f>تحلیل!C90</f>
        <v/>
      </c>
      <c r="E79" s="116" t="inlineStr">
        <is>
          <t>در دست بررسی</t>
        </is>
      </c>
      <c r="F79" s="128" t="n"/>
      <c r="G79" s="129" t="n"/>
      <c r="H79" s="116" t="inlineStr">
        <is>
          <t>1405/05/20</t>
        </is>
      </c>
      <c r="I79" s="116" t="inlineStr">
        <is>
          <t>-</t>
        </is>
      </c>
    </row>
    <row r="80" ht="18" customFormat="1" customHeight="1" s="101">
      <c r="B80" s="116">
        <f>تحلیل!A91</f>
        <v/>
      </c>
      <c r="C80" s="116">
        <f>تحلیل!B91</f>
        <v/>
      </c>
      <c r="D80" s="116">
        <f>تحلیل!C91</f>
        <v/>
      </c>
      <c r="E80" s="116" t="inlineStr">
        <is>
          <t>در دست بررسی</t>
        </is>
      </c>
      <c r="F80" s="128" t="n"/>
      <c r="G80" s="129" t="n"/>
      <c r="H80" s="116" t="inlineStr">
        <is>
          <t>1405/05/20</t>
        </is>
      </c>
      <c r="I80" s="116" t="inlineStr">
        <is>
          <t>-</t>
        </is>
      </c>
    </row>
    <row r="81" ht="18" customFormat="1" customHeight="1" s="101"/>
    <row r="82" ht="18" customFormat="1" customHeight="1" s="101"/>
    <row r="83" ht="19.5" customFormat="1" customHeight="1" s="101">
      <c r="B83" s="112" t="inlineStr">
        <is>
          <t>۰۴  |  تحلیل هزینه گارانتی (تقریبی)</t>
        </is>
      </c>
    </row>
    <row r="84" ht="18" customFormat="1" customHeight="1" s="101"/>
    <row r="85" ht="18" customFormat="1" customHeight="1" s="101">
      <c r="B85" s="130" t="inlineStr">
        <is>
          <t>کل هزینه گارانتی (تومان)</t>
        </is>
      </c>
      <c r="C85" s="106" t="n"/>
      <c r="D85" s="106" t="n"/>
      <c r="E85" s="130" t="inlineStr">
        <is>
          <t>هزینه قطعات (تومان)</t>
        </is>
      </c>
      <c r="F85" s="106" t="n"/>
      <c r="G85" s="106" t="n"/>
      <c r="H85" s="130" t="inlineStr">
        <is>
          <t>هزینه اجرت + ایاب‌وذهاب (تومان)</t>
        </is>
      </c>
      <c r="I85" s="106" t="n"/>
      <c r="J85" s="106" t="n"/>
      <c r="K85" s="130" t="inlineStr">
        <is>
          <t>هزینه ضرر مراجعه تکراری (تومان)</t>
        </is>
      </c>
      <c r="L85" s="106" t="n"/>
      <c r="M85" s="106" t="n"/>
      <c r="N85" s="130" t="inlineStr">
        <is>
          <t>میانگین هزینه هر مراجعه (تومان)</t>
        </is>
      </c>
      <c r="O85" s="106" t="n"/>
      <c r="P85" s="106" t="n"/>
    </row>
    <row r="86" ht="18" customFormat="1" customHeight="1" s="101">
      <c r="B86" s="131">
        <f>تحلیل!C140</f>
        <v/>
      </c>
      <c r="E86" s="131">
        <f>تحلیل!A140</f>
        <v/>
      </c>
      <c r="H86" s="131">
        <f>تحلیل!B140</f>
        <v/>
      </c>
      <c r="K86" s="131">
        <f>تحلیل!D140</f>
        <v/>
      </c>
      <c r="N86" s="131">
        <f>تحلیل!E140</f>
        <v/>
      </c>
    </row>
    <row r="87" ht="18" customFormat="1" customHeight="1" s="101"/>
    <row r="88" ht="18" customFormat="1" customHeight="1" s="101"/>
    <row r="89" ht="18" customFormat="1" customHeight="1" s="101">
      <c r="B89" s="112" t="inlineStr">
        <is>
          <t>هزینه گارانتی به تفکیک نوع دستگاه</t>
        </is>
      </c>
    </row>
    <row r="90" ht="18" customFormat="1" customHeight="1" s="101"/>
    <row r="91" ht="27.75" customFormat="1" customHeight="1" s="101">
      <c r="B91" s="113" t="inlineStr">
        <is>
          <t>نوع دستگاه</t>
        </is>
      </c>
      <c r="C91" s="113" t="inlineStr">
        <is>
          <t>تعداد مراجعه</t>
        </is>
      </c>
      <c r="D91" s="113" t="inlineStr">
        <is>
          <t>هزینه کل (تومان)</t>
        </is>
      </c>
      <c r="E91" s="113" t="inlineStr">
        <is>
          <t>هزینه میانگین (تومان)</t>
        </is>
      </c>
      <c r="F91" s="113" t="inlineStr">
        <is>
          <t>سهم از کل هزینه</t>
        </is>
      </c>
    </row>
    <row r="92" ht="18" customFormat="1" customHeight="1" s="101">
      <c r="B92" s="116">
        <f>تحلیل!A193</f>
        <v/>
      </c>
      <c r="C92" s="116">
        <f>تحلیل!B193</f>
        <v/>
      </c>
      <c r="D92" s="132">
        <f>تحلیل!C193</f>
        <v/>
      </c>
      <c r="E92" s="132">
        <f>D92/C92</f>
        <v/>
      </c>
      <c r="F92" s="133">
        <f>D92/D$97</f>
        <v/>
      </c>
    </row>
    <row r="93" ht="18" customFormat="1" customHeight="1" s="101">
      <c r="B93" s="116">
        <f>تحلیل!A194</f>
        <v/>
      </c>
      <c r="C93" s="116">
        <f>تحلیل!B194</f>
        <v/>
      </c>
      <c r="D93" s="132">
        <f>تحلیل!C194</f>
        <v/>
      </c>
      <c r="E93" s="132">
        <f>D93/C93</f>
        <v/>
      </c>
      <c r="F93" s="133">
        <f>D93/D$97</f>
        <v/>
      </c>
    </row>
    <row r="94" ht="18" customFormat="1" customHeight="1" s="101">
      <c r="B94" s="116">
        <f>تحلیل!A195</f>
        <v/>
      </c>
      <c r="C94" s="116">
        <f>تحلیل!B195</f>
        <v/>
      </c>
      <c r="D94" s="132">
        <f>تحلیل!C195</f>
        <v/>
      </c>
      <c r="E94" s="132">
        <f>D94/C94</f>
        <v/>
      </c>
      <c r="F94" s="133">
        <f>D94/D$97</f>
        <v/>
      </c>
    </row>
    <row r="95" ht="18" customFormat="1" customHeight="1" s="101">
      <c r="B95" s="116">
        <f>تحلیل!A196</f>
        <v/>
      </c>
      <c r="C95" s="116">
        <f>تحلیل!B196</f>
        <v/>
      </c>
      <c r="D95" s="132">
        <f>تحلیل!C196</f>
        <v/>
      </c>
      <c r="E95" s="132">
        <f>D95/C95</f>
        <v/>
      </c>
      <c r="F95" s="133">
        <f>D95/D$97</f>
        <v/>
      </c>
    </row>
    <row r="96" ht="18" customFormat="1" customHeight="1" s="101">
      <c r="B96" s="116">
        <f>تحلیل!A197</f>
        <v/>
      </c>
      <c r="C96" s="116">
        <f>تحلیل!B197</f>
        <v/>
      </c>
      <c r="D96" s="132">
        <f>تحلیل!C197</f>
        <v/>
      </c>
      <c r="E96" s="132">
        <f>D96/C96</f>
        <v/>
      </c>
      <c r="F96" s="133">
        <f>D96/D$97</f>
        <v/>
      </c>
    </row>
    <row r="97" ht="18" customFormat="1" customHeight="1" s="101">
      <c r="B97" s="134" t="inlineStr">
        <is>
          <t>جمع</t>
        </is>
      </c>
      <c r="C97" s="134">
        <f>SUM(C92:C96)</f>
        <v/>
      </c>
      <c r="D97" s="135">
        <f>SUM(D92:D96)</f>
        <v/>
      </c>
      <c r="E97" s="135">
        <f>D97/C97</f>
        <v/>
      </c>
      <c r="F97" s="136" t="inlineStr">
        <is>
          <t>100%</t>
        </is>
      </c>
    </row>
    <row r="98" ht="18" customFormat="1" customHeight="1" s="101"/>
    <row r="99" ht="18" customFormat="1" customHeight="1" s="101"/>
    <row r="100" ht="18" customFormat="1" customHeight="1" s="101">
      <c r="B100" s="112" t="inlineStr">
        <is>
          <t>۱۰ علت خرابی با بیشترین هزینه گارانتی</t>
        </is>
      </c>
    </row>
    <row r="101" ht="18" customFormat="1" customHeight="1" s="101"/>
    <row r="102" ht="18" customFormat="1" customHeight="1" s="101">
      <c r="B102" s="113" t="inlineStr">
        <is>
          <t>دسته دقیق علت خرابی</t>
        </is>
      </c>
      <c r="C102" s="113" t="inlineStr">
        <is>
          <t>تعداد</t>
        </is>
      </c>
      <c r="D102" s="113" t="inlineStr">
        <is>
          <t>هزینه کل (تومان)</t>
        </is>
      </c>
      <c r="E102" s="113" t="inlineStr">
        <is>
          <t>سهم از کل هزینه</t>
        </is>
      </c>
      <c r="L102" s="137" t="n"/>
    </row>
    <row r="103" ht="18" customFormat="1" customHeight="1" s="101">
      <c r="B103" s="116">
        <f>تحلیل!A187</f>
        <v/>
      </c>
      <c r="C103" s="116">
        <f>تحلیل!B187</f>
        <v/>
      </c>
      <c r="D103" s="132">
        <f>تحلیل!C187</f>
        <v/>
      </c>
      <c r="E103" s="133">
        <f>D103/تحلیل!C140</f>
        <v/>
      </c>
    </row>
    <row r="104" ht="35.25" customFormat="1" customHeight="1" s="101">
      <c r="B104" s="116">
        <f>تحلیل!A148</f>
        <v/>
      </c>
      <c r="C104" s="116">
        <f>تحلیل!B148</f>
        <v/>
      </c>
      <c r="D104" s="132">
        <f>تحلیل!C148</f>
        <v/>
      </c>
      <c r="E104" s="133">
        <f>D104/تحلیل!C140</f>
        <v/>
      </c>
    </row>
    <row r="105" ht="18" customFormat="1" customHeight="1" s="101">
      <c r="B105" s="116">
        <f>تحلیل!A147</f>
        <v/>
      </c>
      <c r="C105" s="116">
        <f>تحلیل!B147</f>
        <v/>
      </c>
      <c r="D105" s="132">
        <f>تحلیل!C147</f>
        <v/>
      </c>
      <c r="E105" s="133">
        <f>D105/تحلیل!C140</f>
        <v/>
      </c>
    </row>
    <row r="106" ht="18" customFormat="1" customHeight="1" s="101">
      <c r="B106" s="116">
        <f>تحلیل!A154</f>
        <v/>
      </c>
      <c r="C106" s="116">
        <f>تحلیل!B154</f>
        <v/>
      </c>
      <c r="D106" s="132">
        <f>تحلیل!C154</f>
        <v/>
      </c>
      <c r="E106" s="133">
        <f>D106/تحلیل!C140</f>
        <v/>
      </c>
    </row>
    <row r="107" ht="18" customFormat="1" customHeight="1" s="101">
      <c r="B107" s="116">
        <f>تحلیل!A186</f>
        <v/>
      </c>
      <c r="C107" s="116">
        <f>تحلیل!B186</f>
        <v/>
      </c>
      <c r="D107" s="132">
        <f>تحلیل!C186</f>
        <v/>
      </c>
      <c r="E107" s="133">
        <f>D107/تحلیل!C140</f>
        <v/>
      </c>
    </row>
    <row r="108" ht="18" customFormat="1" customHeight="1" s="101">
      <c r="B108" s="116">
        <f>تحلیل!A163</f>
        <v/>
      </c>
      <c r="C108" s="116">
        <f>تحلیل!B163</f>
        <v/>
      </c>
      <c r="D108" s="132">
        <f>تحلیل!C163</f>
        <v/>
      </c>
      <c r="E108" s="133">
        <f>D108/تحلیل!C140</f>
        <v/>
      </c>
    </row>
    <row r="109" ht="18" customFormat="1" customHeight="1" s="101">
      <c r="B109" s="116">
        <f>تحلیل!A146</f>
        <v/>
      </c>
      <c r="C109" s="116">
        <f>تحلیل!B146</f>
        <v/>
      </c>
      <c r="D109" s="132">
        <f>تحلیل!C146</f>
        <v/>
      </c>
      <c r="E109" s="133">
        <f>D109/تحلیل!C140</f>
        <v/>
      </c>
    </row>
    <row r="110" ht="18" customFormat="1" customHeight="1" s="101">
      <c r="B110" s="116">
        <f>تحلیل!A153</f>
        <v/>
      </c>
      <c r="C110" s="116">
        <f>تحلیل!B153</f>
        <v/>
      </c>
      <c r="D110" s="132">
        <f>تحلیل!C153</f>
        <v/>
      </c>
      <c r="E110" s="133">
        <f>D110/تحلیل!C140</f>
        <v/>
      </c>
    </row>
    <row r="111" ht="18" customFormat="1" customHeight="1" s="101">
      <c r="B111" s="116">
        <f>تحلیل!A157</f>
        <v/>
      </c>
      <c r="C111" s="116">
        <f>تحلیل!B157</f>
        <v/>
      </c>
      <c r="D111" s="132">
        <f>تحلیل!C157</f>
        <v/>
      </c>
      <c r="E111" s="133">
        <f>D111/تحلیل!C140</f>
        <v/>
      </c>
    </row>
    <row r="112" ht="18" customFormat="1" customHeight="1" s="101">
      <c r="B112" s="116">
        <f>تحلیل!A145</f>
        <v/>
      </c>
      <c r="C112" s="116">
        <f>تحلیل!B145</f>
        <v/>
      </c>
      <c r="D112" s="132">
        <f>تحلیل!C145</f>
        <v/>
      </c>
      <c r="E112" s="133">
        <f>D112/تحلیل!C140</f>
        <v/>
      </c>
    </row>
    <row r="113" ht="51" customFormat="1" customHeight="1" s="101">
      <c r="N113" s="138" t="n"/>
    </row>
    <row r="114" ht="19.5" customFormat="1" customHeight="1" s="101">
      <c r="B114" s="112" t="inlineStr">
        <is>
          <t>۰۵  |  اقدامات و اصلاحات</t>
        </is>
      </c>
    </row>
    <row r="115" ht="18.75" customFormat="1" customHeight="1" s="101"/>
    <row r="116" ht="19.5" customFormat="1" customHeight="1" s="101">
      <c r="B116" s="139" t="inlineStr">
        <is>
          <t xml:space="preserve"> ۱ — بحرانی</t>
        </is>
      </c>
      <c r="C116" s="106" t="n"/>
      <c r="D116" s="106" t="n"/>
      <c r="E116" s="106" t="n"/>
      <c r="F116" s="139" t="inlineStr">
        <is>
          <t xml:space="preserve"> ۲ — هزینه</t>
        </is>
      </c>
      <c r="G116" s="106" t="n"/>
      <c r="H116" s="106" t="n"/>
      <c r="I116" s="106" t="n"/>
      <c r="J116" s="140" t="inlineStr">
        <is>
          <t xml:space="preserve"> ۳ — الگوی نصب</t>
        </is>
      </c>
      <c r="K116" s="141" t="n"/>
      <c r="L116" s="141" t="n"/>
      <c r="M116" s="141" t="n"/>
    </row>
    <row r="117" ht="19.5" customFormat="1" customHeight="1" s="101">
      <c r="B117" s="142" t="inlineStr">
        <is>
          <t>میکروسوئیچ ۱۵نفره، خرابی غیرعادی زودهنگام</t>
        </is>
      </c>
      <c r="F117" s="142" t="inlineStr">
        <is>
          <t>برد الکترونیک، بزرگ‌ترین بار مالی گارانتی</t>
        </is>
      </c>
      <c r="J117" s="142" t="inlineStr">
        <is>
          <t>رگلاژ پایه لباسشویی، بزرگ‌ترین حجم بدون هزینه قطعه</t>
        </is>
      </c>
    </row>
    <row r="118" ht="15" customFormat="1" customHeight="1" s="101">
      <c r="B118" s="143" t="inlineStr">
        <is>
          <t>میکروسوئیچ ۱۵نفره ظرفشویی میانگین فقط ۲.۸ ماه تا خرابی دارد (۵ مورد) — در برابر ۶.۱ ماه برای مدل ۱۶نفره (۱۱ مورد). این اختلاف بیش از دوبرابری بین دو مدل مشابه، نشانه قوی نقص طراحی یا پارت تأمین مختص مدل ۱۵نفره است، نه فرسودگی عادی.</t>
        </is>
      </c>
      <c r="F118" s="143" t="inlineStr">
        <is>
          <t>مجموع بردهای معیوب (لباسشویی ۹، ساید ۵، تلویزیون ۴، ظرفشویی ۳ = ۲۱ مورد) با قیمت واحد ۳.۵ میلیون تومان، به‌تنهایی سنگین‌ترین ردیف هزینه قطعه در کل گزارش می باشد — پیش از هر اقدام دیگر، بازبینی تأمین‌کننده برد اولویت اول می باشد.</t>
        </is>
      </c>
      <c r="J118" s="143" t="inlineStr">
        <is>
          <t>۲۴ مورد (بزرگ‌ترین ردیف منفرد جدول طول عمر قطعات) صرفاً با تراز پایه بسته شده — هیچ قطعه‌ای تعویض نشده. یعنی معادل ۲۴ اعزام تکنسین کامل، فقط بابت نصب ناقص. آموزش نصب یا الزام تراز مستند می‌تواند این حجم را مستقیماً حذف کند.</t>
        </is>
      </c>
    </row>
    <row r="119" ht="18" customFormat="1" customHeight="1" s="101"/>
    <row r="120" ht="18" customFormat="1" customHeight="1" s="101"/>
    <row r="121" ht="18" customFormat="1" customHeight="1" s="101"/>
    <row r="122" ht="18" customFormat="1" customHeight="1" s="101"/>
    <row r="123" ht="29.25" customFormat="1" customHeight="1" s="101"/>
    <row r="124" ht="19.5" customFormat="1" customHeight="1" s="101">
      <c r="B124" s="144" t="n"/>
      <c r="C124" s="144" t="n"/>
      <c r="D124" s="144" t="n"/>
      <c r="E124" s="144" t="n"/>
      <c r="F124" s="144" t="n"/>
      <c r="G124" s="144" t="n"/>
      <c r="H124" s="144" t="n"/>
      <c r="I124" s="144" t="n"/>
      <c r="J124" s="144" t="n"/>
      <c r="K124" s="144" t="n"/>
      <c r="L124" s="144" t="n"/>
      <c r="M124" s="144" t="n"/>
    </row>
    <row r="125" ht="19.5" customFormat="1" customHeight="1" s="101">
      <c r="B125" s="145" t="inlineStr">
        <is>
          <t xml:space="preserve"> ۴ — هشدار آماری</t>
        </is>
      </c>
      <c r="C125" s="146" t="n"/>
      <c r="D125" s="146" t="n"/>
      <c r="E125" s="146" t="n"/>
      <c r="F125" s="147" t="inlineStr">
        <is>
          <t xml:space="preserve"> ۵ — نقطه قوت</t>
        </is>
      </c>
      <c r="G125" s="148" t="n"/>
      <c r="H125" s="148" t="n"/>
      <c r="I125" s="148" t="n"/>
      <c r="J125" s="149" t="n"/>
      <c r="K125" s="150" t="n"/>
      <c r="L125" s="150" t="n"/>
      <c r="M125" s="150" t="n"/>
    </row>
    <row r="126" ht="19.5" customFormat="1" customHeight="1" s="101">
      <c r="B126" s="142" t="inlineStr">
        <is>
          <t>دو قطعه با تک‌نمونه ولی خرابی در ماه اول</t>
        </is>
      </c>
      <c r="F126" s="142" t="n"/>
      <c r="J126" s="142" t="n"/>
    </row>
    <row r="127" ht="15" customFormat="1" customHeight="1" s="101">
      <c r="B127" s="143" t="inlineStr">
        <is>
          <t>میکروسوئیچ لباسشویی و هیدروستات ظرفشویی هرکدام فقط ۱ نمونه دارند اما هردو دقیقاً در ماه اول خراب شده‌اند. با یک نمونه نمی‌شود نتیجه قطعی گرفت، اما این دو ردیف باید در گزارش ماه بعد اولویت پیگیری داشته باشند تا مشخص شود الگو تکرار می‌شود یا نه.</t>
        </is>
      </c>
      <c r="F127" s="143" t="n"/>
      <c r="J127" s="143" t="n"/>
    </row>
    <row r="128" ht="18" customFormat="1" customHeight="1" s="101"/>
    <row r="129" ht="18" customFormat="1" customHeight="1" s="101"/>
    <row r="130" ht="18" customFormat="1" customHeight="1" s="101"/>
    <row r="131" ht="18" customFormat="1" customHeight="1" s="101"/>
    <row r="132" ht="15" customHeight="1" s="151"/>
    <row r="135" ht="15" customHeight="1" s="151">
      <c r="B135" s="112" t="inlineStr">
        <is>
          <t>۰۶  |  روند ماهانه مراجعات و هزینه گارانتی</t>
        </is>
      </c>
    </row>
    <row r="136" ht="15" customHeight="1" s="151">
      <c r="B136" s="152" t="n"/>
    </row>
    <row r="138" ht="48.75" customHeight="1" s="151">
      <c r="B138" s="113" t="inlineStr">
        <is>
          <t>ماه</t>
        </is>
      </c>
      <c r="C138" s="113" t="inlineStr">
        <is>
          <t>تعداد مراجعه</t>
        </is>
      </c>
      <c r="D138" s="113" t="inlineStr">
        <is>
          <t>هزینه کل (تومان)</t>
        </is>
      </c>
      <c r="E138" s="113" t="inlineStr">
        <is>
          <t>میانگین هزینه هر مراجعه (تومان)</t>
        </is>
      </c>
    </row>
    <row r="139" ht="15" customHeight="1" s="151">
      <c r="B139" s="116" t="inlineStr">
        <is>
          <t>فروردین</t>
        </is>
      </c>
      <c r="C139" s="116">
        <f>COUNTIF('داده خام'!$B$2:$B$1000,"فروردین")</f>
        <v/>
      </c>
      <c r="D139" s="132">
        <f>SUMIF('داده خام'!$B$2:$B$1000,"فروردین",'داده خام'!$T$2:$T$1000)</f>
        <v/>
      </c>
      <c r="E139" s="132">
        <f>IF(C139=0,0,D139/C139)</f>
        <v/>
      </c>
    </row>
    <row r="140" ht="15" customHeight="1" s="151">
      <c r="B140" s="116" t="inlineStr">
        <is>
          <t>اردیبهشت</t>
        </is>
      </c>
      <c r="C140" s="116">
        <f>COUNTIF('داده خام'!$B$2:$B$1000,"اردیبهشت")</f>
        <v/>
      </c>
      <c r="D140" s="132">
        <f>SUMIF('داده خام'!$B$2:$B$1000,"اردیبهشت",'داده خام'!$T$2:$T$1000)</f>
        <v/>
      </c>
      <c r="E140" s="132">
        <f>IF(C140=0,0,D140/C140)</f>
        <v/>
      </c>
    </row>
    <row r="141" ht="15" customHeight="1" s="151">
      <c r="B141" s="116" t="inlineStr">
        <is>
          <t>خرداد</t>
        </is>
      </c>
      <c r="C141" s="116">
        <f>COUNTIF('داده خام'!$B$2:$B$1000,"خرداد")</f>
        <v/>
      </c>
      <c r="D141" s="132">
        <f>SUMIF('داده خام'!$B$2:$B$1000,"خرداد",'داده خام'!$T$2:$T$1000)</f>
        <v/>
      </c>
      <c r="E141" s="132">
        <f>IF(C141=0,0,D141/C141)</f>
        <v/>
      </c>
    </row>
    <row r="142" ht="15" customHeight="1" s="151">
      <c r="B142" s="116" t="inlineStr">
        <is>
          <t>تیر</t>
        </is>
      </c>
      <c r="C142" s="116">
        <f>COUNTIF('داده خام'!$B$2:$B$1000,"تیر")</f>
        <v/>
      </c>
      <c r="D142" s="132">
        <f>SUMIF('داده خام'!$B$2:$B$1000,"تیر",'داده خام'!$T$2:$T$1000)</f>
        <v/>
      </c>
      <c r="E142" s="132">
        <f>IF(C142=0,0,D142/C142)</f>
        <v/>
      </c>
    </row>
    <row r="143" ht="15" customHeight="1" s="151">
      <c r="B143" s="134" t="inlineStr">
        <is>
          <t>جمع / میانگین</t>
        </is>
      </c>
      <c r="C143" s="134">
        <f>SUM(C139:C142)</f>
        <v/>
      </c>
      <c r="D143" s="135">
        <f>SUM(D139:D142)</f>
        <v/>
      </c>
      <c r="E143" s="135">
        <f>D143/C143</f>
        <v/>
      </c>
    </row>
  </sheetData>
  <mergeCells count="65">
    <mergeCell ref="K85:M85"/>
    <mergeCell ref="N86:P87"/>
    <mergeCell ref="B135:R135"/>
    <mergeCell ref="H85:J85"/>
    <mergeCell ref="B8:D8"/>
    <mergeCell ref="E69:G69"/>
    <mergeCell ref="B47:R47"/>
    <mergeCell ref="E65:G65"/>
    <mergeCell ref="E78:G78"/>
    <mergeCell ref="J125:M125"/>
    <mergeCell ref="E74:G74"/>
    <mergeCell ref="H4:I4"/>
    <mergeCell ref="F117:I117"/>
    <mergeCell ref="E77:G77"/>
    <mergeCell ref="F127:I132"/>
    <mergeCell ref="F118:I123"/>
    <mergeCell ref="E80:G80"/>
    <mergeCell ref="B126:E126"/>
    <mergeCell ref="J127:M132"/>
    <mergeCell ref="J126:M126"/>
    <mergeCell ref="F116:I116"/>
    <mergeCell ref="E70:G70"/>
    <mergeCell ref="J116:M116"/>
    <mergeCell ref="B125:E125"/>
    <mergeCell ref="B86:D87"/>
    <mergeCell ref="B3:N3"/>
    <mergeCell ref="E76:G76"/>
    <mergeCell ref="B136:R136"/>
    <mergeCell ref="B114:R114"/>
    <mergeCell ref="E85:G85"/>
    <mergeCell ref="H6:J7"/>
    <mergeCell ref="E72:G72"/>
    <mergeCell ref="B5:D5"/>
    <mergeCell ref="E66:G66"/>
    <mergeCell ref="B89:J89"/>
    <mergeCell ref="B85:D85"/>
    <mergeCell ref="E75:G75"/>
    <mergeCell ref="J117:M117"/>
    <mergeCell ref="B10:R10"/>
    <mergeCell ref="B28:R28"/>
    <mergeCell ref="B117:E117"/>
    <mergeCell ref="E68:G68"/>
    <mergeCell ref="B2:N2"/>
    <mergeCell ref="B100:J100"/>
    <mergeCell ref="E71:G71"/>
    <mergeCell ref="E6:G7"/>
    <mergeCell ref="E86:G87"/>
    <mergeCell ref="K86:M87"/>
    <mergeCell ref="B118:E123"/>
    <mergeCell ref="B6:D7"/>
    <mergeCell ref="N85:P85"/>
    <mergeCell ref="J118:M123"/>
    <mergeCell ref="E67:G67"/>
    <mergeCell ref="F126:I126"/>
    <mergeCell ref="E5:G5"/>
    <mergeCell ref="B83:R83"/>
    <mergeCell ref="L102:P112"/>
    <mergeCell ref="B127:E132"/>
    <mergeCell ref="E8:G8"/>
    <mergeCell ref="E79:G79"/>
    <mergeCell ref="B116:E116"/>
    <mergeCell ref="E73:G73"/>
    <mergeCell ref="F125:I125"/>
    <mergeCell ref="B63:R63"/>
    <mergeCell ref="H86:J87"/>
  </mergeCells>
  <conditionalFormatting sqref="E50:M54 E55:L55 E57:M61">
    <cfRule type="colorScale" priority="2">
      <colorScale>
        <cfvo type="min" val="0"/>
        <cfvo type="max" val="0"/>
        <color rgb="FFFFFFFF"/>
        <color rgb="FFC4622D"/>
      </colorScale>
    </cfRule>
  </conditionalFormatting>
  <conditionalFormatting sqref="M55:Q55">
    <cfRule type="colorScale" priority="3">
      <colorScale>
        <cfvo type="min" val="0"/>
        <cfvo type="max" val="0"/>
        <color rgb="FFFFFFFF"/>
        <color rgb="FFC4622D"/>
      </colorScale>
    </cfRule>
  </conditionalFormatting>
  <conditionalFormatting sqref="D92:D96">
    <cfRule type="dataBar" priority="4">
      <dataBar minLength="10" maxLength="90" showValue="1">
        <cfvo type="min" val="0"/>
        <cfvo type="max" val="0"/>
        <color rgb="FFC4622D"/>
      </dataBar>
    </cfRule>
  </conditionalFormatting>
  <conditionalFormatting sqref="D103:D112">
    <cfRule type="dataBar" priority="5">
      <dataBar minLength="10" maxLength="90" showValue="1">
        <cfvo type="min" val="0"/>
        <cfvo type="max" val="0"/>
        <color rgb="FFC4622D"/>
      </dataBar>
    </cfRule>
  </conditionalFormatting>
  <printOptions horizontalCentered="0" verticalCentered="0" headings="0" gridLines="0" gridLinesSet="1"/>
  <pageMargins left="0.75" right="0.75" top="1" bottom="1" header="0.511811023622047" footer="0.511811023622047"/>
  <pageSetup orientation="portrait" paperSize="9" scale="33" fitToHeight="1" fitToWidth="1" pageOrder="downThenOver" blackAndWhite="0" draft="0" horizontalDpi="300" verticalDpi="300" copies="1"/>
  <rowBreaks count="1" manualBreakCount="1">
    <brk id="82" min="0" max="16383" man="1"/>
  </rowBreaks>
  <drawing xmlns:r="http://schemas.openxmlformats.org/officeDocument/2006/relationships" r:id="rId1"/>
</worksheet>
</file>

<file path=xl/worksheets/sheet2.xml><?xml version="1.0" encoding="utf-8"?>
<worksheet xmlns="http://schemas.openxmlformats.org/spreadsheetml/2006/main">
  <sheetPr filterMode="0">
    <outlinePr summaryBelow="1" summaryRight="1"/>
    <pageSetUpPr fitToPage="0"/>
  </sheetPr>
  <dimension ref="A1:AE240"/>
  <sheetViews>
    <sheetView showFormulas="0" showGridLines="0" showRowColHeaders="1" showZeros="1" rightToLeft="1" tabSelected="0" showOutlineSymbols="1" defaultGridColor="1" view="normal" topLeftCell="A247" colorId="64" zoomScale="100" zoomScaleNormal="100" zoomScalePageLayoutView="100" workbookViewId="0">
      <selection pane="topLeft" activeCell="A68" activeCellId="0" sqref="A68"/>
    </sheetView>
  </sheetViews>
  <sheetFormatPr baseColWidth="8" defaultColWidth="8.71484375" defaultRowHeight="18" zeroHeight="0" outlineLevelRow="0"/>
  <cols>
    <col width="38.86" customWidth="1" style="101" min="1" max="1"/>
    <col width="18.71" customWidth="1" style="101" min="2" max="2"/>
    <col width="15.57" customWidth="1" style="101" min="3" max="3"/>
    <col width="16.14" customWidth="1" style="101" min="4" max="4"/>
    <col width="15.57" customWidth="1" style="101" min="5" max="5"/>
    <col width="9.859999999999999" customWidth="1" style="101" min="6" max="30"/>
    <col width="8.710000000000001" customWidth="1" style="101" min="31" max="16384"/>
  </cols>
  <sheetData>
    <row r="1" ht="19.5" customHeight="1" s="151">
      <c r="A1" s="153" t="inlineStr">
        <is>
          <t>توزیع بر اساس نوع دستگاه</t>
        </is>
      </c>
      <c r="C1" s="101" t="inlineStr">
        <is>
          <t>کل</t>
        </is>
      </c>
    </row>
    <row r="2" ht="18" customHeight="1" s="151">
      <c r="A2" s="120" t="inlineStr">
        <is>
          <t>نوع دستگاه</t>
        </is>
      </c>
      <c r="B2" s="120" t="inlineStr">
        <is>
          <t>تعداد</t>
        </is>
      </c>
      <c r="C2" s="101">
        <f>COUNTA('داده خام'!$C$2:$C$1093)</f>
        <v/>
      </c>
    </row>
    <row r="3" ht="18" customHeight="1" s="151">
      <c r="A3" s="154" t="inlineStr">
        <is>
          <t>ماشین ظرفشویی</t>
        </is>
      </c>
      <c r="B3" s="155" t="n">
        <v>91</v>
      </c>
      <c r="C3" s="156">
        <f>B3/C$2*100/100</f>
        <v/>
      </c>
    </row>
    <row r="4" ht="18" customHeight="1" s="151">
      <c r="A4" s="154" t="inlineStr">
        <is>
          <t>ماشین لباسشویی</t>
        </is>
      </c>
      <c r="B4" s="155">
        <f>COUNTIF('داده خام'!$C$2:$C$1093,"ماشين لباسشويي")</f>
        <v/>
      </c>
      <c r="C4" s="156">
        <f>B4/C$2*100/100</f>
        <v/>
      </c>
    </row>
    <row r="5" ht="18" customHeight="1" s="151">
      <c r="A5" s="154" t="inlineStr">
        <is>
          <t>یخچال ساید‌بای‌ساید</t>
        </is>
      </c>
      <c r="B5" s="155">
        <f>COUNTIF('داده خام'!$C$2:$C$1093,"یخچال ساید‌بای‌ساید")</f>
        <v/>
      </c>
      <c r="C5" s="156">
        <f>B5/C$2*100/100</f>
        <v/>
      </c>
    </row>
    <row r="6" ht="18" customHeight="1" s="151">
      <c r="A6" s="154" t="inlineStr">
        <is>
          <t>یخچال مینی</t>
        </is>
      </c>
      <c r="B6" s="155">
        <f>COUNTIF('داده خام'!$C$2:$C$1093,"يخچال ميني")</f>
        <v/>
      </c>
      <c r="C6" s="156">
        <f>B6/C$2*100/100</f>
        <v/>
      </c>
    </row>
    <row r="7" ht="18" customHeight="1" s="151">
      <c r="A7" s="154" t="inlineStr">
        <is>
          <t>تلویزیون</t>
        </is>
      </c>
      <c r="B7" s="155">
        <f>COUNTIF('داده خام'!$C$2:$C$1093,"تلویزیون")</f>
        <v/>
      </c>
      <c r="C7" s="156">
        <f>B7/C$2*100/100</f>
        <v/>
      </c>
    </row>
    <row r="9" ht="18" customHeight="1" s="151">
      <c r="A9" s="157" t="inlineStr">
        <is>
          <t xml:space="preserve">دسته‌بندی دقیق علت خرابی </t>
        </is>
      </c>
    </row>
    <row r="10" ht="18" customHeight="1" s="151">
      <c r="A10" s="120" t="inlineStr">
        <is>
          <t>دسته دقیق علت خرابی</t>
        </is>
      </c>
      <c r="B10" s="120" t="inlineStr">
        <is>
          <t>تعداد</t>
        </is>
      </c>
      <c r="C10" s="120" t="inlineStr">
        <is>
          <t>سهم از کل</t>
        </is>
      </c>
      <c r="D10" s="120" t="inlineStr">
        <is>
          <t>میانگین ماه تا خرابی</t>
        </is>
      </c>
      <c r="E10" s="120" t="inlineStr">
        <is>
          <t>اولویت بازبینی</t>
        </is>
      </c>
    </row>
    <row r="11" ht="18" customHeight="1" s="151">
      <c r="A11" s="158" t="inlineStr">
        <is>
          <t>تراز/لرزش - نصب (رگلاژ پایه)</t>
        </is>
      </c>
      <c r="B11" s="159">
        <f>COUNTIF('داده خام'!$O$2:$O$10131,A11)</f>
        <v/>
      </c>
      <c r="C11" s="159">
        <f>ROUND(B11/107*100,1)&amp;"%"</f>
        <v/>
      </c>
      <c r="D11" s="159">
        <f>IFERROR(ROUND(AVERAGEIFS('داده خام'!$N$2:$N$10131,'داده خام'!$O$2:$O$10131,A11),1),"-")</f>
        <v/>
      </c>
      <c r="E11" s="159">
        <f>IF(D11&lt;5,IF(B11&gt;=15,"[بحرانی] حجم بالا + خرابی زودهنگام — اولویت ۱ بازبینی تأمین‌کننده",IF(B11&gt;=8,"[هشدار] خرابی زودهنگام حجم متوسط — نیازمند ریشه‌یابی","[پایش ویژه] خرابی زودهنگام حجم کم — جمع‌آوری داده بیشتر")),IF(B11&gt;=20,"[حجم بالا] علت احتمالاً فرآیندی (نصب/تنظیم) نه قطعه",IF(B11&gt;=10,"[پایش دوره‌ای] حجم متوسط، عمر طبیعی","[عادی] حجم کم و عمر طبیعی")))</f>
        <v/>
      </c>
    </row>
    <row r="12" ht="18" customHeight="1" s="151">
      <c r="A12" s="160" t="inlineStr">
        <is>
          <t>خرابی - برد الکترونیک (تعویض)</t>
        </is>
      </c>
      <c r="B12" s="159">
        <f>COUNTIF('داده خام'!$O$2:$O$10131,A12)</f>
        <v/>
      </c>
      <c r="C12" s="159">
        <f>ROUND(B12/107*100,1)&amp;"%"</f>
        <v/>
      </c>
      <c r="D12" s="159">
        <f>IFERROR(ROUND(AVERAGEIFS('داده خام'!$N$2:$N$10131,'داده خام'!$O$2:$O$10131,A12),1),"-")</f>
        <v/>
      </c>
      <c r="E12" s="159">
        <f>IF(D12&lt;5,IF(B12&gt;=15,"[بحرانی] حجم بالا + خرابی زودهنگام — اولویت ۱ بازبینی تأمین‌کننده",IF(B12&gt;=8,"[هشدار] خرابی زودهنگام حجم متوسط — نیازمند ریشه‌یابی","[پایش ویژه] خرابی زودهنگام حجم کم — جمع‌آوری داده بیشتر")),IF(B12&gt;=20,"[حجم بالا] علت احتمالاً فرآیندی (نصب/تنظیم) نه قطعه",IF(B12&gt;=10,"[پایش دوره‌ای] حجم متوسط، عمر طبیعی","[عادی] حجم کم و عمر طبیعی")))</f>
        <v/>
      </c>
    </row>
    <row r="13" ht="18" customHeight="1" s="151">
      <c r="A13" s="158" t="inlineStr">
        <is>
          <t>غیرگارانتی/بدون قطعه</t>
        </is>
      </c>
      <c r="B13" s="159">
        <f>COUNTIF('داده خام'!$O$2:$O$10131,A13)</f>
        <v/>
      </c>
      <c r="C13" s="159">
        <f>ROUND(B13/107*100,1)&amp;"%"</f>
        <v/>
      </c>
      <c r="D13" s="159">
        <f>IFERROR(ROUND(AVERAGEIFS('داده خام'!$N$2:$N$10131,'داده خام'!$O$2:$O$10131,A13),1),"-")</f>
        <v/>
      </c>
      <c r="E13" s="159">
        <f>IF(D13&lt;5,IF(B13&gt;=15,"[بحرانی] حجم بالا + خرابی زودهنگام — اولویت ۱ بازبینی تأمین‌کننده",IF(B13&gt;=8,"[هشدار] خرابی زودهنگام حجم متوسط — نیازمند ریشه‌یابی","[پایش ویژه] خرابی زودهنگام حجم کم — جمع‌آوری داده بیشتر")),IF(B13&gt;=20,"[حجم بالا] علت احتمالاً فرآیندی (نصب/تنظیم) نه قطعه",IF(B13&gt;=10,"[پایش دوره‌ای] حجم متوسط، عمر طبیعی","[عادی] حجم کم و عمر طبیعی")))</f>
        <v/>
      </c>
    </row>
    <row r="14" ht="18" customHeight="1" s="151">
      <c r="A14" s="158" t="inlineStr">
        <is>
          <t>مکانیزم درب - میکروسوئیچ/قلاب (تعویض/تنظیم)</t>
        </is>
      </c>
      <c r="B14" s="159">
        <f>COUNTIF('داده خام'!$O$2:$O$10131,A14)</f>
        <v/>
      </c>
      <c r="C14" s="159">
        <f>ROUND(B14/107*100,1)&amp;"%"</f>
        <v/>
      </c>
      <c r="D14" s="159">
        <f>IFERROR(ROUND(AVERAGEIFS('داده خام'!$N$2:$N$10131,'داده خام'!$O$2:$O$10131,A14),1),"-")</f>
        <v/>
      </c>
      <c r="E14" s="159">
        <f>IF(D14&lt;5,IF(B14&gt;=15,"[بحرانی] حجم بالا + خرابی زودهنگام — اولویت ۱ بازبینی تأمین‌کننده",IF(B14&gt;=8,"[هشدار] خرابی زودهنگام حجم متوسط — نیازمند ریشه‌یابی","[پایش ویژه] خرابی زودهنگام حجم کم — جمع‌آوری داده بیشتر")),IF(B14&gt;=20,"[حجم بالا] علت احتمالاً فرآیندی (نصب/تنظیم) نه قطعه",IF(B14&gt;=10,"[پایش دوره‌ای] حجم متوسط، عمر طبیعی","[عادی] حجم کم و عمر طبیعی")))</f>
        <v/>
      </c>
    </row>
    <row r="15" ht="18" customHeight="1" s="151">
      <c r="A15" s="158" t="inlineStr">
        <is>
          <t>نشتی - شیلنگ (تعمیر/آب‌بندی)</t>
        </is>
      </c>
      <c r="B15" s="159">
        <f>COUNTIF('داده خام'!$O$2:$O$10131,A15)</f>
        <v/>
      </c>
      <c r="C15" s="159">
        <f>ROUND(B15/107*100,1)&amp;"%"</f>
        <v/>
      </c>
      <c r="D15" s="159">
        <f>IFERROR(ROUND(AVERAGEIFS('داده خام'!$N$2:$N$10131,'داده خام'!$O$2:$O$10131,A15),1),"-")</f>
        <v/>
      </c>
      <c r="E15" s="159">
        <f>IF(D15&lt;5,IF(B15&gt;=15,"[بحرانی] حجم بالا + خرابی زودهنگام — اولویت ۱ بازبینی تأمین‌کننده",IF(B15&gt;=8,"[هشدار] خرابی زودهنگام حجم متوسط — نیازمند ریشه‌یابی","[پایش ویژه] خرابی زودهنگام حجم کم — جمع‌آوری داده بیشتر")),IF(B15&gt;=20,"[حجم بالا] علت احتمالاً فرآیندی (نصب/تنظیم) نه قطعه",IF(B15&gt;=10,"[پایش دوره‌ای] حجم متوسط، عمر طبیعی","[عادی] حجم کم و عمر طبیعی")))</f>
        <v/>
      </c>
    </row>
    <row r="16" ht="18" customHeight="1" s="151">
      <c r="A16" s="158" t="inlineStr">
        <is>
          <t>یخساز - تنظیم/عایق (تعمیر)</t>
        </is>
      </c>
      <c r="B16" s="159">
        <f>COUNTIF('داده خام'!$O$2:$O$10131,A16)</f>
        <v/>
      </c>
      <c r="C16" s="159">
        <f>ROUND(B16/107*100,1)&amp;"%"</f>
        <v/>
      </c>
      <c r="D16" s="159">
        <f>IFERROR(ROUND(AVERAGEIFS('داده خام'!$N$2:$N$10131,'داده خام'!$O$2:$O$10131,A16),1),"-")</f>
        <v/>
      </c>
      <c r="E16" s="159">
        <f>IF(D16&lt;5,IF(B16&gt;=15,"[بحرانی] حجم بالا + خرابی زودهنگام — اولویت ۱ بازبینی تأمین‌کننده",IF(B16&gt;=8,"[هشدار] خرابی زودهنگام حجم متوسط — نیازمند ریشه‌یابی","[پایش ویژه] خرابی زودهنگام حجم کم — جمع‌آوری داده بیشتر")),IF(B16&gt;=20,"[حجم بالا] علت احتمالاً فرآیندی (نصب/تنظیم) نه قطعه",IF(B16&gt;=10,"[پایش دوره‌ای] حجم متوسط، عمر طبیعی","[عادی] حجم کم و عمر طبیعی")))</f>
        <v/>
      </c>
    </row>
    <row r="17" ht="18" customHeight="1" s="151">
      <c r="A17" s="158" t="inlineStr">
        <is>
          <t>نشتی - پمپ تخلیه (تعمیر/آب‌بندی)</t>
        </is>
      </c>
      <c r="B17" s="159">
        <f>COUNTIF('داده خام'!$O$2:$O$10131,A17)</f>
        <v/>
      </c>
      <c r="C17" s="159">
        <f>ROUND(B17/107*100,1)&amp;"%"</f>
        <v/>
      </c>
      <c r="D17" s="159">
        <f>IFERROR(ROUND(AVERAGEIFS('داده خام'!$N$2:$N$10131,'داده خام'!$O$2:$O$10131,A17),1),"-")</f>
        <v/>
      </c>
      <c r="E17" s="159">
        <f>IF(D17&lt;5,IF(B17&gt;=15,"[بحرانی] حجم بالا + خرابی زودهنگام — اولویت ۱ بازبینی تأمین‌کننده",IF(B17&gt;=8,"[هشدار] خرابی زودهنگام حجم متوسط — نیازمند ریشه‌یابی","[پایش ویژه] خرابی زودهنگام حجم کم — جمع‌آوری داده بیشتر")),IF(B17&gt;=20,"[حجم بالا] علت احتمالاً فرآیندی (نصب/تنظیم) نه قطعه",IF(B17&gt;=10,"[پایش دوره‌ای] حجم متوسط، عمر طبیعی","[عادی] حجم کم و عمر طبیعی")))</f>
        <v/>
      </c>
    </row>
    <row r="18" ht="18" customHeight="1" s="151">
      <c r="A18" s="158" t="inlineStr">
        <is>
          <t>ریست نرم‌افزاری (بدون قطعه)</t>
        </is>
      </c>
      <c r="B18" s="159">
        <f>COUNTIF('داده خام'!$O$2:$O$10131,A18)</f>
        <v/>
      </c>
      <c r="C18" s="159">
        <f>ROUND(B18/107*100,1)&amp;"%"</f>
        <v/>
      </c>
      <c r="D18" s="159">
        <f>IFERROR(ROUND(AVERAGEIFS('داده خام'!$N$2:$N$10131,'داده خام'!$O$2:$O$10131,A18),1),"-")</f>
        <v/>
      </c>
      <c r="E18" s="159">
        <f>IF(D18&lt;5,IF(B18&gt;=15,"[بحرانی] حجم بالا + خرابی زودهنگام — اولویت ۱ بازبینی تأمین‌کننده",IF(B18&gt;=8,"[هشدار] خرابی زودهنگام حجم متوسط — نیازمند ریشه‌یابی","[پایش ویژه] خرابی زودهنگام حجم کم — جمع‌آوری داده بیشتر")),IF(B18&gt;=20,"[حجم بالا] علت احتمالاً فرآیندی (نصب/تنظیم) نه قطعه",IF(B18&gt;=10,"[پایش دوره‌ای] حجم متوسط، عمر طبیعی","[عادی] حجم کم و عمر طبیعی")))</f>
        <v/>
      </c>
    </row>
    <row r="19" ht="18" customHeight="1" s="151">
      <c r="A19" s="158" t="inlineStr">
        <is>
          <t>لاستیک درزگیر - دفرمگی/پارگی (تعویض)</t>
        </is>
      </c>
      <c r="B19" s="159">
        <f>COUNTIF('داده خام'!$O$2:$O$10131,A19)</f>
        <v/>
      </c>
      <c r="C19" s="159">
        <f>ROUND(B19/107*100,1)&amp;"%"</f>
        <v/>
      </c>
      <c r="D19" s="159">
        <f>IFERROR(ROUND(AVERAGEIFS('داده خام'!$N$2:$N$10131,'داده خام'!$O$2:$O$10131,A19),1),"-")</f>
        <v/>
      </c>
      <c r="E19" s="159">
        <f>IF(D19&lt;5,IF(B19&gt;=15,"[بحرانی] حجم بالا + خرابی زودهنگام — اولویت ۱ بازبینی تأمین‌کننده",IF(B19&gt;=8,"[هشدار] خرابی زودهنگام حجم متوسط — نیازمند ریشه‌یابی","[پایش ویژه] خرابی زودهنگام حجم کم — جمع‌آوری داده بیشتر")),IF(B19&gt;=20,"[حجم بالا] علت احتمالاً فرآیندی (نصب/تنظیم) نه قطعه",IF(B19&gt;=10,"[پایش دوره‌ای] حجم متوسط، عمر طبیعی","[عادی] حجم کم و عمر طبیعی")))</f>
        <v/>
      </c>
    </row>
    <row r="20" ht="18" customHeight="1" s="151">
      <c r="A20" s="158" t="inlineStr">
        <is>
          <t>خرابی - پمپ تخلیه (تعویض)</t>
        </is>
      </c>
      <c r="B20" s="159">
        <f>COUNTIF('داده خام'!$O$2:$O$10131,A20)</f>
        <v/>
      </c>
      <c r="C20" s="159">
        <f>ROUND(B20/107*100,1)&amp;"%"</f>
        <v/>
      </c>
      <c r="D20" s="159">
        <f>IFERROR(ROUND(AVERAGEIFS('داده خام'!$N$2:$N$10131,'داده خام'!$O$2:$O$10131,A20),1),"-")</f>
        <v/>
      </c>
      <c r="E20" s="159">
        <f>IF(D20&lt;5,IF(B20&gt;=15,"[بحرانی] حجم بالا + خرابی زودهنگام — اولویت ۱ بازبینی تأمین‌کننده",IF(B20&gt;=8,"[هشدار] خرابی زودهنگام حجم متوسط — نیازمند ریشه‌یابی","[پایش ویژه] خرابی زودهنگام حجم کم — جمع‌آوری داده بیشتر")),IF(B20&gt;=20,"[حجم بالا] علت احتمالاً فرآیندی (نصب/تنظیم) نه قطعه",IF(B20&gt;=10,"[پایش دوره‌ای] حجم متوسط، عمر طبیعی","[عادی] حجم کم و عمر طبیعی")))</f>
        <v/>
      </c>
    </row>
    <row r="21" ht="18" customHeight="1" s="151">
      <c r="A21" s="158" t="inlineStr">
        <is>
          <t>خرابی - شیربرقی (تعویض)</t>
        </is>
      </c>
      <c r="B21" s="159">
        <f>COUNTIF('داده خام'!$O$2:$O$10131,A21)</f>
        <v/>
      </c>
      <c r="C21" s="159">
        <f>ROUND(B21/107*100,1)&amp;"%"</f>
        <v/>
      </c>
      <c r="D21" s="159">
        <f>IFERROR(ROUND(AVERAGEIFS('داده خام'!$N$2:$N$10131,'داده خام'!$O$2:$O$10131,A21),1),"-")</f>
        <v/>
      </c>
      <c r="E21" s="159">
        <f>IF(D21&lt;5,IF(B21&gt;=15,"[بحرانی] حجم بالا + خرابی زودهنگام — اولویت ۱ بازبینی تأمین‌کننده",IF(B21&gt;=8,"[هشدار] خرابی زودهنگام حجم متوسط — نیازمند ریشه‌یابی","[پایش ویژه] خرابی زودهنگام حجم کم — جمع‌آوری داده بیشتر")),IF(B21&gt;=20,"[حجم بالا] علت احتمالاً فرآیندی (نصب/تنظیم) نه قطعه",IF(B21&gt;=10,"[پایش دوره‌ای] حجم متوسط، عمر طبیعی","[عادی] حجم کم و عمر طبیعی")))</f>
        <v/>
      </c>
    </row>
    <row r="22" ht="18" customHeight="1" s="151">
      <c r="A22" s="158" t="inlineStr">
        <is>
          <t>نشتی - درب مخزن نمک (تعمیر/آب‌بندی)</t>
        </is>
      </c>
      <c r="B22" s="159">
        <f>COUNTIF('داده خام'!$O$2:$O$10131,A22)</f>
        <v/>
      </c>
      <c r="C22" s="159">
        <f>ROUND(B22/107*100,1)&amp;"%"</f>
        <v/>
      </c>
      <c r="D22" s="159">
        <f>IFERROR(ROUND(AVERAGEIFS('داده خام'!$N$2:$N$10131,'داده خام'!$O$2:$O$10131,A22),1),"-")</f>
        <v/>
      </c>
      <c r="E22" s="159">
        <f>IF(D22&lt;5,IF(B22&gt;=15,"[بحرانی] حجم بالا + خرابی زودهنگام — اولویت ۱ بازبینی تأمین‌کننده",IF(B22&gt;=8,"[هشدار] خرابی زودهنگام حجم متوسط — نیازمند ریشه‌یابی","[پایش ویژه] خرابی زودهنگام حجم کم — جمع‌آوری داده بیشتر")),IF(B22&gt;=20,"[حجم بالا] علت احتمالاً فرآیندی (نصب/تنظیم) نه قطعه",IF(B22&gt;=10,"[پایش دوره‌ای] حجم متوسط، عمر طبیعی","[عادی] حجم کم و عمر طبیعی")))</f>
        <v/>
      </c>
    </row>
    <row r="23" ht="18" customHeight="1" s="151">
      <c r="A23" s="158" t="inlineStr">
        <is>
          <t>مکانیزم درب - لولا (تعویض)</t>
        </is>
      </c>
      <c r="B23" s="159">
        <f>COUNTIF('داده خام'!$O$2:$O$10131,A23)</f>
        <v/>
      </c>
      <c r="C23" s="159">
        <f>ROUND(B23/107*100,1)&amp;"%"</f>
        <v/>
      </c>
      <c r="D23" s="159">
        <f>IFERROR(ROUND(AVERAGEIFS('داده خام'!$N$2:$N$10131,'داده خام'!$O$2:$O$10131,A23),1),"-")</f>
        <v/>
      </c>
      <c r="E23" s="159">
        <f>IF(D23&lt;5,IF(B23&gt;=15,"[بحرانی] حجم بالا + خرابی زودهنگام — اولویت ۱ بازبینی تأمین‌کننده",IF(B23&gt;=8,"[هشدار] خرابی زودهنگام حجم متوسط — نیازمند ریشه‌یابی","[پایش ویژه] خرابی زودهنگام حجم کم — جمع‌آوری داده بیشتر")),IF(B23&gt;=20,"[حجم بالا] علت احتمالاً فرآیندی (نصب/تنظیم) نه قطعه",IF(B23&gt;=10,"[پایش دوره‌ای] حجم متوسط، عمر طبیعی","[عادی] حجم کم و عمر طبیعی")))</f>
        <v/>
      </c>
    </row>
    <row r="24" ht="18" customHeight="1" s="151">
      <c r="A24" s="158" t="inlineStr">
        <is>
          <t>خرابی - لامپ/LED داخلی (تعویض)</t>
        </is>
      </c>
      <c r="B24" s="159">
        <f>COUNTIF('داده خام'!$O$2:$O$10131,A24)</f>
        <v/>
      </c>
      <c r="C24" s="159">
        <f>ROUND(B24/107*100,1)&amp;"%"</f>
        <v/>
      </c>
      <c r="D24" s="159">
        <f>IFERROR(ROUND(AVERAGEIFS('داده خام'!$N$2:$N$10131,'داده خام'!$O$2:$O$10131,A24),1),"-")</f>
        <v/>
      </c>
      <c r="E24" s="159">
        <f>IF(D24&lt;5,IF(B24&gt;=15,"[بحرانی] حجم بالا + خرابی زودهنگام — اولویت ۱ بازبینی تأمین‌کننده",IF(B24&gt;=8,"[هشدار] خرابی زودهنگام حجم متوسط — نیازمند ریشه‌یابی","[پایش ویژه] خرابی زودهنگام حجم کم — جمع‌آوری داده بیشتر")),IF(B24&gt;=20,"[حجم بالا] علت احتمالاً فرآیندی (نصب/تنظیم) نه قطعه",IF(B24&gt;=10,"[پایش دوره‌ای] حجم متوسط، عمر طبیعی","[عادی] حجم کم و عمر طبیعی")))</f>
        <v/>
      </c>
    </row>
    <row r="25" ht="18" customHeight="1" s="151">
      <c r="A25" s="158" t="inlineStr">
        <is>
          <t>سایر اجزای درب (بازبینی)</t>
        </is>
      </c>
      <c r="B25" s="159">
        <f>COUNTIF('داده خام'!$O$2:$O$10131,A25)</f>
        <v/>
      </c>
      <c r="C25" s="159">
        <f>ROUND(B25/107*100,1)&amp;"%"</f>
        <v/>
      </c>
      <c r="D25" s="159">
        <f>IFERROR(ROUND(AVERAGEIFS('داده خام'!$N$2:$N$10131,'داده خام'!$O$2:$O$10131,A25),1),"-")</f>
        <v/>
      </c>
      <c r="E25" s="159">
        <f>IF(D25&lt;5,IF(B25&gt;=15,"[بحرانی] حجم بالا + خرابی زودهنگام — اولویت ۱ بازبینی تأمین‌کننده",IF(B25&gt;=8,"[هشدار] خرابی زودهنگام حجم متوسط — نیازمند ریشه‌یابی","[پایش ویژه] خرابی زودهنگام حجم کم — جمع‌آوری داده بیشتر")),IF(B25&gt;=20,"[حجم بالا] علت احتمالاً فرآیندی (نصب/تنظیم) نه قطعه",IF(B25&gt;=10,"[پایش دوره‌ای] حجم متوسط، عمر طبیعی","[عادی] حجم کم و عمر طبیعی")))</f>
        <v/>
      </c>
    </row>
    <row r="26" ht="18" customHeight="1" s="151">
      <c r="A26" s="158" t="inlineStr">
        <is>
          <t>خرابی - ترموستات (تعویض)</t>
        </is>
      </c>
      <c r="B26" s="159">
        <f>COUNTIF('داده خام'!$O$2:$O$10131,A26)</f>
        <v/>
      </c>
      <c r="C26" s="159">
        <f>ROUND(B26/107*100,1)&amp;"%"</f>
        <v/>
      </c>
      <c r="D26" s="159">
        <f>IFERROR(ROUND(AVERAGEIFS('داده خام'!$N$2:$N$10131,'داده خام'!$O$2:$O$10131,A26),1),"-")</f>
        <v/>
      </c>
      <c r="E26" s="159">
        <f>IF(D26&lt;5,IF(B26&gt;=15,"[بحرانی] حجم بالا + خرابی زودهنگام — اولویت ۱ بازبینی تأمین‌کننده",IF(B26&gt;=8,"[هشدار] خرابی زودهنگام حجم متوسط — نیازمند ریشه‌یابی","[پایش ویژه] خرابی زودهنگام حجم کم — جمع‌آوری داده بیشتر")),IF(B26&gt;=20,"[حجم بالا] علت احتمالاً فرآیندی (نصب/تنظیم) نه قطعه",IF(B26&gt;=10,"[پایش دوره‌ای] حجم متوسط، عمر طبیعی","[عادی] حجم کم و عمر طبیعی")))</f>
        <v/>
      </c>
    </row>
    <row r="27" ht="18" customHeight="1" s="151">
      <c r="A27" s="158" t="inlineStr">
        <is>
          <t>خرابی - تاب برداشتن درام (تعویض)</t>
        </is>
      </c>
      <c r="B27" s="159">
        <f>COUNTIF('داده خام'!$O$2:$O$10131,A27)</f>
        <v/>
      </c>
      <c r="C27" s="159">
        <f>ROUND(B27/107*100,1)&amp;"%"</f>
        <v/>
      </c>
      <c r="D27" s="159">
        <f>IFERROR(ROUND(AVERAGEIFS('داده خام'!$N$2:$N$10131,'داده خام'!$O$2:$O$10131,A27),1),"-")</f>
        <v/>
      </c>
      <c r="E27" s="159">
        <f>IF(D27&lt;5,IF(B27&gt;=15,"[بحرانی] حجم بالا + خرابی زودهنگام — اولویت ۱ بازبینی تأمین‌کننده",IF(B27&gt;=8,"[هشدار] خرابی زودهنگام حجم متوسط — نیازمند ریشه‌یابی","[پایش ویژه] خرابی زودهنگام حجم کم — جمع‌آوری داده بیشتر")),IF(B27&gt;=20,"[حجم بالا] علت احتمالاً فرآیندی (نصب/تنظیم) نه قطعه",IF(B27&gt;=10,"[پایش دوره‌ای] حجم متوسط، عمر طبیعی","[عادی] حجم کم و عمر طبیعی")))</f>
        <v/>
      </c>
    </row>
    <row r="28" ht="18" customHeight="1" s="151">
      <c r="A28" s="158" t="inlineStr">
        <is>
          <t>خرابی - واترجت (تعویض)</t>
        </is>
      </c>
      <c r="B28" s="159">
        <f>COUNTIF('داده خام'!$O$2:$O$10131,A28)</f>
        <v/>
      </c>
      <c r="C28" s="159">
        <f>ROUND(B28/107*100,1)&amp;"%"</f>
        <v/>
      </c>
      <c r="D28" s="159">
        <f>IFERROR(ROUND(AVERAGEIFS('داده خام'!$N$2:$N$10131,'داده خام'!$O$2:$O$10131,A28),1),"-")</f>
        <v/>
      </c>
      <c r="E28" s="159">
        <f>IF(D28&lt;5,IF(B28&gt;=15,"[بحرانی] حجم بالا + خرابی زودهنگام — اولویت ۱ بازبینی تأمین‌کننده",IF(B28&gt;=8,"[هشدار] خرابی زودهنگام حجم متوسط — نیازمند ریشه‌یابی","[پایش ویژه] خرابی زودهنگام حجم کم — جمع‌آوری داده بیشتر")),IF(B28&gt;=20,"[حجم بالا] علت احتمالاً فرآیندی (نصب/تنظیم) نه قطعه",IF(B28&gt;=10,"[پایش دوره‌ای] حجم متوسط، عمر طبیعی","[عادی] حجم کم و عمر طبیعی")))</f>
        <v/>
      </c>
    </row>
    <row r="29" ht="18" customHeight="1" s="151">
      <c r="A29" s="158" t="inlineStr">
        <is>
          <t>ریموت کنترل (تعویض/تعمیر)</t>
        </is>
      </c>
      <c r="B29" s="159">
        <f>COUNTIF('داده خام'!$O$2:$O$10131,A29)</f>
        <v/>
      </c>
      <c r="C29" s="159">
        <f>ROUND(B29/107*100,1)&amp;"%"</f>
        <v/>
      </c>
      <c r="D29" s="159">
        <f>IFERROR(ROUND(AVERAGEIFS('داده خام'!$N$2:$N$10131,'داده خام'!$O$2:$O$10131,A29),1),"-")</f>
        <v/>
      </c>
      <c r="E29" s="159">
        <f>IF(D29&lt;5,IF(B29&gt;=15,"[بحرانی] حجم بالا + خرابی زودهنگام — اولویت ۱ بازبینی تأمین‌کننده",IF(B29&gt;=8,"[هشدار] خرابی زودهنگام حجم متوسط — نیازمند ریشه‌یابی","[پایش ویژه] خرابی زودهنگام حجم کم — جمع‌آوری داده بیشتر")),IF(B29&gt;=20,"[حجم بالا] علت احتمالاً فرآیندی (نصب/تنظیم) نه قطعه",IF(B29&gt;=10,"[پایش دوره‌ای] حجم متوسط، عمر طبیعی","[عادی] حجم کم و عمر طبیعی")))</f>
        <v/>
      </c>
    </row>
    <row r="30" ht="18" customHeight="1" s="151">
      <c r="A30" s="158" t="inlineStr">
        <is>
          <t>قطعات تزئینی - شکستگی/کسری (تعویض)</t>
        </is>
      </c>
      <c r="B30" s="159">
        <f>COUNTIF('داده خام'!$O$2:$O$10131,A30)</f>
        <v/>
      </c>
      <c r="C30" s="159">
        <f>ROUND(B30/107*100,1)&amp;"%"</f>
        <v/>
      </c>
      <c r="D30" s="159">
        <f>IFERROR(ROUND(AVERAGEIFS('داده خام'!$N$2:$N$10131,'داده خام'!$O$2:$O$10131,A30),1),"-")</f>
        <v/>
      </c>
      <c r="E30" s="159">
        <f>IF(D30&lt;5,IF(B30&gt;=15,"[بحرانی] حجم بالا + خرابی زودهنگام — اولویت ۱ بازبینی تأمین‌کننده",IF(B30&gt;=8,"[هشدار] خرابی زودهنگام حجم متوسط — نیازمند ریشه‌یابی","[پایش ویژه] خرابی زودهنگام حجم کم — جمع‌آوری داده بیشتر")),IF(B30&gt;=20,"[حجم بالا] علت احتمالاً فرآیندی (نصب/تنظیم) نه قطعه",IF(B30&gt;=10,"[پایش دوره‌ای] حجم متوسط، عمر طبیعی","[عادی] حجم کم و عمر طبیعی")))</f>
        <v/>
      </c>
    </row>
    <row r="31" ht="18" customHeight="1" s="151">
      <c r="A31" s="158" t="inlineStr">
        <is>
          <t>نشتی آب - محل نامشخص (نیازمند بازدید)</t>
        </is>
      </c>
      <c r="B31" s="159">
        <f>COUNTIF('داده خام'!$O$2:$O$10131,A31)</f>
        <v/>
      </c>
      <c r="C31" s="159">
        <f>ROUND(B31/107*100,1)&amp;"%"</f>
        <v/>
      </c>
      <c r="D31" s="159">
        <f>IFERROR(ROUND(AVERAGEIFS('داده خام'!$N$2:$N$10131,'داده خام'!$O$2:$O$10131,A31),1),"-")</f>
        <v/>
      </c>
      <c r="E31" s="159">
        <f>IF(D31&lt;5,IF(B31&gt;=15,"[بحرانی] حجم بالا + خرابی زودهنگام — اولویت ۱ بازبینی تأمین‌کننده",IF(B31&gt;=8,"[هشدار] خرابی زودهنگام حجم متوسط — نیازمند ریشه‌یابی","[پایش ویژه] خرابی زودهنگام حجم کم — جمع‌آوری داده بیشتر")),IF(B31&gt;=20,"[حجم بالا] علت احتمالاً فرآیندی (نصب/تنظیم) نه قطعه",IF(B31&gt;=10,"[پایش دوره‌ای] حجم متوسط، عمر طبیعی","[عادی] حجم کم و عمر طبیعی")))</f>
        <v/>
      </c>
    </row>
    <row r="32" ht="18" customHeight="1" s="151">
      <c r="A32" s="158" t="inlineStr">
        <is>
          <t>یخساز - خرابی موتور/سنسور/برد (تعویض)</t>
        </is>
      </c>
      <c r="B32" s="159">
        <f>COUNTIF('داده خام'!$O$2:$O$10131,A32)</f>
        <v/>
      </c>
      <c r="C32" s="159">
        <f>ROUND(B32/107*100,1)&amp;"%"</f>
        <v/>
      </c>
      <c r="D32" s="159">
        <f>IFERROR(ROUND(AVERAGEIFS('داده خام'!$N$2:$N$10131,'داده خام'!$O$2:$O$10131,A32),1),"-")</f>
        <v/>
      </c>
      <c r="E32" s="159">
        <f>IF(D32&lt;5,IF(B32&gt;=15,"[بحرانی] حجم بالا + خرابی زودهنگام — اولویت ۱ بازبینی تأمین‌کننده",IF(B32&gt;=8,"[هشدار] خرابی زودهنگام حجم متوسط — نیازمند ریشه‌یابی","[پایش ویژه] خرابی زودهنگام حجم کم — جمع‌آوری داده بیشتر")),IF(B32&gt;=20,"[حجم بالا] علت احتمالاً فرآیندی (نصب/تنظیم) نه قطعه",IF(B32&gt;=10,"[پایش دوره‌ای] حجم متوسط، عمر طبیعی","[عادی] حجم کم و عمر طبیعی")))</f>
        <v/>
      </c>
    </row>
    <row r="33" ht="18" customHeight="1" s="151">
      <c r="A33" s="158" t="inlineStr">
        <is>
          <t>خرابی - بلبرینگ (تعویض)</t>
        </is>
      </c>
      <c r="B33" s="159">
        <f>COUNTIF('داده خام'!$O$2:$O$10131,A33)</f>
        <v/>
      </c>
      <c r="C33" s="159">
        <f>ROUND(B33/107*100,1)&amp;"%"</f>
        <v/>
      </c>
      <c r="D33" s="159">
        <f>IFERROR(ROUND(AVERAGEIFS('داده خام'!$N$2:$N$10131,'داده خام'!$O$2:$O$10131,A33),1),"-")</f>
        <v/>
      </c>
      <c r="E33" s="159">
        <f>IF(D33&lt;5,IF(B33&gt;=15,"[بحرانی] حجم بالا + خرابی زودهنگام — اولویت ۱ بازبینی تأمین‌کننده",IF(B33&gt;=8,"[هشدار] خرابی زودهنگام حجم متوسط — نیازمند ریشه‌یابی","[پایش ویژه] خرابی زودهنگام حجم کم — جمع‌آوری داده بیشتر")),IF(B33&gt;=20,"[حجم بالا] علت احتمالاً فرآیندی (نصب/تنظیم) نه قطعه",IF(B33&gt;=10,"[پایش دوره‌ای] حجم متوسط، عمر طبیعی","[عادی] حجم کم و عمر طبیعی")))</f>
        <v/>
      </c>
    </row>
    <row r="34" ht="18" customHeight="1" s="151">
      <c r="A34" s="158" t="inlineStr">
        <is>
          <t>خرابی - کمپرسور (تعویض)</t>
        </is>
      </c>
      <c r="B34" s="159">
        <f>COUNTIF('داده خام'!$O$2:$O$10131,A34)</f>
        <v/>
      </c>
      <c r="C34" s="159">
        <f>ROUND(B34/107*100,1)&amp;"%"</f>
        <v/>
      </c>
      <c r="D34" s="159">
        <f>IFERROR(ROUND(AVERAGEIFS('داده خام'!$N$2:$N$10131,'داده خام'!$O$2:$O$10131,A34),1),"-")</f>
        <v/>
      </c>
      <c r="E34" s="159">
        <f>IF(D34&lt;5,IF(B34&gt;=15,"[بحرانی] حجم بالا + خرابی زودهنگام — اولویت ۱ بازبینی تأمین‌کننده",IF(B34&gt;=8,"[هشدار] خرابی زودهنگام حجم متوسط — نیازمند ریشه‌یابی","[پایش ویژه] خرابی زودهنگام حجم کم — جمع‌آوری داده بیشتر")),IF(B34&gt;=20,"[حجم بالا] علت احتمالاً فرآیندی (نصب/تنظیم) نه قطعه",IF(B34&gt;=10,"[پایش دوره‌ای] حجم متوسط، عمر طبیعی","[عادی] حجم کم و عمر طبیعی")))</f>
        <v/>
      </c>
    </row>
    <row r="35" ht="18" customHeight="1" s="151">
      <c r="A35" s="158" t="inlineStr">
        <is>
          <t>زنگ‌زدگی بدنه/قطعه (تعویض)</t>
        </is>
      </c>
      <c r="B35" s="159">
        <f>COUNTIF('داده خام'!$O$2:$O$10131,A35)</f>
        <v/>
      </c>
      <c r="C35" s="159">
        <f>ROUND(B35/107*100,1)&amp;"%"</f>
        <v/>
      </c>
      <c r="D35" s="159">
        <f>IFERROR(ROUND(AVERAGEIFS('داده خام'!$N$2:$N$10131,'داده خام'!$O$2:$O$10131,A35),1),"-")</f>
        <v/>
      </c>
      <c r="E35" s="159">
        <f>IF(D35&lt;5,IF(B35&gt;=15,"[بحرانی] حجم بالا + خرابی زودهنگام — اولویت ۱ بازبینی تأمین‌کننده",IF(B35&gt;=8,"[هشدار] خرابی زودهنگام حجم متوسط — نیازمند ریشه‌یابی","[پایش ویژه] خرابی زودهنگام حجم کم — جمع‌آوری داده بیشتر")),IF(B35&gt;=20,"[حجم بالا] علت احتمالاً فرآیندی (نصب/تنظیم) نه قطعه",IF(B35&gt;=10,"[پایش دوره‌ای] حجم متوسط، عمر طبیعی","[عادی] حجم کم و عمر طبیعی")))</f>
        <v/>
      </c>
    </row>
    <row r="36" ht="18" customHeight="1" s="151">
      <c r="A36" s="158" t="inlineStr">
        <is>
          <t>سبد ظرفشویی - شکستگی (تعویض)</t>
        </is>
      </c>
      <c r="B36" s="159">
        <f>COUNTIF('داده خام'!$O$2:$O$10131,A36)</f>
        <v/>
      </c>
      <c r="C36" s="159">
        <f>ROUND(B36/107*100,1)&amp;"%"</f>
        <v/>
      </c>
      <c r="D36" s="159">
        <f>IFERROR(ROUND(AVERAGEIFS('داده خام'!$N$2:$N$10131,'داده خام'!$O$2:$O$10131,A36),1),"-")</f>
        <v/>
      </c>
      <c r="E36" s="159">
        <f>IF(D36&lt;5,IF(B36&gt;=15,"[بحرانی] حجم بالا + خرابی زودهنگام — اولویت ۱ بازبینی تأمین‌کننده",IF(B36&gt;=8,"[هشدار] خرابی زودهنگام حجم متوسط — نیازمند ریشه‌یابی","[پایش ویژه] خرابی زودهنگام حجم کم — جمع‌آوری داده بیشتر")),IF(B36&gt;=20,"[حجم بالا] علت احتمالاً فرآیندی (نصب/تنظیم) نه قطعه",IF(B36&gt;=10,"[پایش دوره‌ای] حجم متوسط، عمر طبیعی","[عادی] حجم کم و عمر طبیعی")))</f>
        <v/>
      </c>
    </row>
    <row r="37" ht="18" customHeight="1" s="151">
      <c r="A37" s="158" t="inlineStr">
        <is>
          <t>شیلنگ - برخورد/لهیدگی (بازبینی)</t>
        </is>
      </c>
      <c r="B37" s="159">
        <f>COUNTIF('داده خام'!$O$2:$O$10131,A37)</f>
        <v/>
      </c>
      <c r="C37" s="159">
        <f>ROUND(B37/107*100,1)&amp;"%"</f>
        <v/>
      </c>
      <c r="D37" s="159">
        <f>IFERROR(ROUND(AVERAGEIFS('داده خام'!$N$2:$N$10131,'داده خام'!$O$2:$O$10131,A37),1),"-")</f>
        <v/>
      </c>
      <c r="E37" s="159">
        <f>IF(D37&lt;5,IF(B37&gt;=15,"[بحرانی] حجم بالا + خرابی زودهنگام — اولویت ۱ بازبینی تأمین‌کننده",IF(B37&gt;=8,"[هشدار] خرابی زودهنگام حجم متوسط — نیازمند ریشه‌یابی","[پایش ویژه] خرابی زودهنگام حجم کم — جمع‌آوری داده بیشتر")),IF(B37&gt;=20,"[حجم بالا] علت احتمالاً فرآیندی (نصب/تنظیم) نه قطعه",IF(B37&gt;=10,"[پایش دوره‌ای] حجم متوسط، عمر طبیعی","[عادی] حجم کم و عمر طبیعی")))</f>
        <v/>
      </c>
    </row>
    <row r="38" ht="18" customHeight="1" s="151">
      <c r="A38" s="158" t="inlineStr">
        <is>
          <t>مکانیزم درب - زبانه (تعویض)</t>
        </is>
      </c>
      <c r="B38" s="159">
        <f>COUNTIF('داده خام'!$O$2:$O$10131,A38)</f>
        <v/>
      </c>
      <c r="C38" s="159">
        <f>ROUND(B38/107*100,1)&amp;"%"</f>
        <v/>
      </c>
      <c r="D38" s="159">
        <f>IFERROR(ROUND(AVERAGEIFS('داده خام'!$N$2:$N$10131,'داده خام'!$O$2:$O$10131,A38),1),"-")</f>
        <v/>
      </c>
      <c r="E38" s="159">
        <f>IF(D38&lt;5,IF(B38&gt;=15,"[بحرانی] حجم بالا + خرابی زودهنگام — اولویت ۱ بازبینی تأمین‌کننده",IF(B38&gt;=8,"[هشدار] خرابی زودهنگام حجم متوسط — نیازمند ریشه‌یابی","[پایش ویژه] خرابی زودهنگام حجم کم — جمع‌آوری داده بیشتر")),IF(B38&gt;=20,"[حجم بالا] علت احتمالاً فرآیندی (نصب/تنظیم) نه قطعه",IF(B38&gt;=10,"[پایش دوره‌ای] حجم متوسط، عمر طبیعی","[عادی] حجم کم و عمر طبیعی")))</f>
        <v/>
      </c>
    </row>
    <row r="39" ht="18" customHeight="1" s="151">
      <c r="A39" s="158" t="inlineStr">
        <is>
          <t>نشتی - براکت ریل (تعمیر/آب‌بندی)</t>
        </is>
      </c>
      <c r="B39" s="159">
        <f>COUNTIF('داده خام'!$O$2:$O$10131,A39)</f>
        <v/>
      </c>
      <c r="C39" s="159">
        <f>ROUND(B39/107*100,1)&amp;"%"</f>
        <v/>
      </c>
      <c r="D39" s="159">
        <f>IFERROR(ROUND(AVERAGEIFS('داده خام'!$N$2:$N$10131,'داده خام'!$O$2:$O$10131,A39),1),"-")</f>
        <v/>
      </c>
      <c r="E39" s="159">
        <f>IF(D39&lt;5,IF(B39&gt;=15,"[بحرانی] حجم بالا + خرابی زودهنگام — اولویت ۱ بازبینی تأمین‌کننده",IF(B39&gt;=8,"[هشدار] خرابی زودهنگام حجم متوسط — نیازمند ریشه‌یابی","[پایش ویژه] خرابی زودهنگام حجم کم — جمع‌آوری داده بیشتر")),IF(B39&gt;=20,"[حجم بالا] علت احتمالاً فرآیندی (نصب/تنظیم) نه قطعه",IF(B39&gt;=10,"[پایش دوره‌ای] حجم متوسط، عمر طبیعی","[عادی] حجم کم و عمر طبیعی")))</f>
        <v/>
      </c>
    </row>
    <row r="40" ht="18" customHeight="1" s="151">
      <c r="A40" s="158" t="inlineStr">
        <is>
          <t>نشتی - جاپودری (تعمیر/آب‌بندی)</t>
        </is>
      </c>
      <c r="B40" s="159">
        <f>COUNTIF('داده خام'!$O$2:$O$10131,A40)</f>
        <v/>
      </c>
      <c r="C40" s="159">
        <f>ROUND(B40/107*100,1)&amp;"%"</f>
        <v/>
      </c>
      <c r="D40" s="159">
        <f>IFERROR(ROUND(AVERAGEIFS('داده خام'!$N$2:$N$10131,'داده خام'!$O$2:$O$10131,A40),1),"-")</f>
        <v/>
      </c>
      <c r="E40" s="159">
        <f>IF(D40&lt;5,IF(B40&gt;=15,"[بحرانی] حجم بالا + خرابی زودهنگام — اولویت ۱ بازبینی تأمین‌کننده",IF(B40&gt;=8,"[هشدار] خرابی زودهنگام حجم متوسط — نیازمند ریشه‌یابی","[پایش ویژه] خرابی زودهنگام حجم کم — جمع‌آوری داده بیشتر")),IF(B40&gt;=20,"[حجم بالا] علت احتمالاً فرآیندی (نصب/تنظیم) نه قطعه",IF(B40&gt;=10,"[پایش دوره‌ای] حجم متوسط، عمر طبیعی","[عادی] حجم کم و عمر طبیعی")))</f>
        <v/>
      </c>
    </row>
    <row r="41" ht="18" customHeight="1" s="151">
      <c r="A41" s="158" t="inlineStr">
        <is>
          <t>نشتی - مقسم آب (تعمیر/آب‌بندی)</t>
        </is>
      </c>
      <c r="B41" s="159">
        <f>COUNTIF('داده خام'!$O$2:$O$10131,A41)</f>
        <v/>
      </c>
      <c r="C41" s="159">
        <f>ROUND(B41/107*100,1)&amp;"%"</f>
        <v/>
      </c>
      <c r="D41" s="159">
        <f>IFERROR(ROUND(AVERAGEIFS('داده خام'!$N$2:$N$10131,'داده خام'!$O$2:$O$10131,A41),1),"-")</f>
        <v/>
      </c>
      <c r="E41" s="159">
        <f>IF(D41&lt;5,IF(B41&gt;=15,"[بحرانی] حجم بالا + خرابی زودهنگام — اولویت ۱ بازبینی تأمین‌کننده",IF(B41&gt;=8,"[هشدار] خرابی زودهنگام حجم متوسط — نیازمند ریشه‌یابی","[پایش ویژه] خرابی زودهنگام حجم کم — جمع‌آوری داده بیشتر")),IF(B41&gt;=20,"[حجم بالا] علت احتمالاً فرآیندی (نصب/تنظیم) نه قطعه",IF(B41&gt;=10,"[پایش دوره‌ای] حجم متوسط، عمر طبیعی","[عادی] حجم کم و عمر طبیعی")))</f>
        <v/>
      </c>
    </row>
    <row r="42" ht="18" customHeight="1" s="151">
      <c r="A42" s="158" t="inlineStr">
        <is>
          <t>بدنه/کابین - ضربه (بازبینی/تعویض پنل)</t>
        </is>
      </c>
      <c r="B42" s="159">
        <f>COUNTIF('داده خام'!$O$2:$O$10131,A42)</f>
        <v/>
      </c>
      <c r="C42" s="159">
        <f>ROUND(B42/107*100,1)&amp;"%"</f>
        <v/>
      </c>
      <c r="D42" s="159">
        <f>IFERROR(ROUND(AVERAGEIFS('داده خام'!$N$2:$N$10131,'داده خام'!$O$2:$O$10131,A42),1),"-")</f>
        <v/>
      </c>
      <c r="E42" s="159">
        <f>IF(D42&lt;5,IF(B42&gt;=15,"[بحرانی] حجم بالا + خرابی زودهنگام — اولویت ۱ بازبینی تأمین‌کننده",IF(B42&gt;=8,"[هشدار] خرابی زودهنگام حجم متوسط — نیازمند ریشه‌یابی","[پایش ویژه] خرابی زودهنگام حجم کم — جمع‌آوری داده بیشتر")),IF(B42&gt;=20,"[حجم بالا] علت احتمالاً فرآیندی (نصب/تنظیم) نه قطعه",IF(B42&gt;=10,"[پایش دوره‌ای] حجم متوسط، عمر طبیعی","[عادی] حجم کم و عمر طبیعی")))</f>
        <v/>
      </c>
    </row>
    <row r="43" ht="18" customHeight="1" s="151">
      <c r="A43" s="158" t="inlineStr">
        <is>
          <t>برد نمایش تلویزیون (تعویض)</t>
        </is>
      </c>
      <c r="B43" s="159">
        <f>COUNTIF('داده خام'!$O$2:$O$10131,A43)</f>
        <v/>
      </c>
      <c r="C43" s="159">
        <f>ROUND(B43/107*100,1)&amp;"%"</f>
        <v/>
      </c>
      <c r="D43" s="159">
        <f>IFERROR(ROUND(AVERAGEIFS('داده خام'!$N$2:$N$10131,'داده خام'!$O$2:$O$10131,A43),1),"-")</f>
        <v/>
      </c>
      <c r="E43" s="159">
        <f>IF(D43&lt;5,IF(B43&gt;=15,"[بحرانی] حجم بالا + خرابی زودهنگام — اولویت ۱ بازبینی تأمین‌کننده",IF(B43&gt;=8,"[هشدار] خرابی زودهنگام حجم متوسط — نیازمند ریشه‌یابی","[پایش ویژه] خرابی زودهنگام حجم کم — جمع‌آوری داده بیشتر")),IF(B43&gt;=20,"[حجم بالا] علت احتمالاً فرآیندی (نصب/تنظیم) نه قطعه",IF(B43&gt;=10,"[پایش دوره‌ای] حجم متوسط، عمر طبیعی","[عادی] حجم کم و عمر طبیعی")))</f>
        <v/>
      </c>
    </row>
    <row r="44" ht="18" customHeight="1" s="151">
      <c r="A44" s="158" t="inlineStr">
        <is>
          <t>تعویض کامل دستگاه (Replacement)</t>
        </is>
      </c>
      <c r="B44" s="159">
        <f>COUNTIF('داده خام'!$O$2:$O$10131,A44)</f>
        <v/>
      </c>
      <c r="C44" s="159">
        <f>ROUND(B44/107*100,1)&amp;"%"</f>
        <v/>
      </c>
      <c r="D44" s="159">
        <f>IFERROR(ROUND(AVERAGEIFS('داده خام'!$N$2:$N$10131,'داده خام'!$O$2:$O$10131,A44),1),"-")</f>
        <v/>
      </c>
      <c r="E44" s="159">
        <f>IF(D44&lt;5,IF(B44&gt;=15,"[بحرانی] حجم بالا + خرابی زودهنگام — اولویت ۱ بازبینی تأمین‌کننده",IF(B44&gt;=8,"[هشدار] خرابی زودهنگام حجم متوسط — نیازمند ریشه‌یابی","[پایش ویژه] خرابی زودهنگام حجم کم — جمع‌آوری داده بیشتر")),IF(B44&gt;=20,"[حجم بالا] علت احتمالاً فرآیندی (نصب/تنظیم) نه قطعه",IF(B44&gt;=10,"[پایش دوره‌ای] حجم متوسط، عمر طبیعی","[عادی] حجم کم و عمر طبیعی")))</f>
        <v/>
      </c>
    </row>
    <row r="45" ht="18" customHeight="1" s="151">
      <c r="A45" s="160" t="inlineStr">
        <is>
          <t>تنظیم - تنظیمات دستگاه/دیسپلی (تعمیر)</t>
        </is>
      </c>
      <c r="B45" s="159">
        <f>COUNTIF('داده خام'!$O$2:$O$10131,A45)</f>
        <v/>
      </c>
      <c r="C45" s="159">
        <f>ROUND(B45/107*100,1)&amp;"%"</f>
        <v/>
      </c>
      <c r="D45" s="159">
        <f>IFERROR(ROUND(AVERAGEIFS('داده خام'!$N$2:$N$10131,'داده خام'!$O$2:$O$10131,A45),1),"-")</f>
        <v/>
      </c>
      <c r="E45" s="159">
        <f>IF(D45&lt;5,IF(B45&gt;=15,"[بحرانی] حجم بالا + خرابی زودهنگام — اولویت ۱ بازبینی تأمین‌کننده",IF(B45&gt;=8,"[هشدار] خرابی زودهنگام حجم متوسط — نیازمند ریشه‌یابی","[پایش ویژه] خرابی زودهنگام حجم کم — جمع‌آوری داده بیشتر")),IF(B45&gt;=20,"[حجم بالا] علت احتمالاً فرآیندی (نصب/تنظیم) نه قطعه",IF(B45&gt;=10,"[پایش دوره‌ای] حجم متوسط، عمر طبیعی","[عادی] حجم کم و عمر طبیعی")))</f>
        <v/>
      </c>
    </row>
    <row r="46" ht="18" customHeight="1" s="151">
      <c r="A46" s="158" t="inlineStr">
        <is>
          <t>خرابی - تسمه (تعویض)</t>
        </is>
      </c>
      <c r="B46" s="159">
        <f>COUNTIF('داده خام'!$O$2:$O$10131,A46)</f>
        <v/>
      </c>
      <c r="C46" s="159">
        <f>ROUND(B46/107*100,1)&amp;"%"</f>
        <v/>
      </c>
      <c r="D46" s="159">
        <f>IFERROR(ROUND(AVERAGEIFS('داده خام'!$N$2:$N$10131,'داده خام'!$O$2:$O$10131,A46),1),"-")</f>
        <v/>
      </c>
      <c r="E46" s="159">
        <f>IF(D46&lt;5,IF(B46&gt;=15,"[بحرانی] حجم بالا + خرابی زودهنگام — اولویت ۱ بازبینی تأمین‌کننده",IF(B46&gt;=8,"[هشدار] خرابی زودهنگام حجم متوسط — نیازمند ریشه‌یابی","[پایش ویژه] خرابی زودهنگام حجم کم — جمع‌آوری داده بیشتر")),IF(B46&gt;=20,"[حجم بالا] علت احتمالاً فرآیندی (نصب/تنظیم) نه قطعه",IF(B46&gt;=10,"[پایش دوره‌ای] حجم متوسط، عمر طبیعی","[عادی] حجم کم و عمر طبیعی")))</f>
        <v/>
      </c>
    </row>
    <row r="47" ht="18" customHeight="1" s="151">
      <c r="A47" s="158" t="inlineStr">
        <is>
          <t>خرابی - موتور (تعویض)</t>
        </is>
      </c>
      <c r="B47" s="159">
        <f>COUNTIF('داده خام'!$O$2:$O$10131,A47)</f>
        <v/>
      </c>
      <c r="C47" s="159">
        <f>ROUND(B47/107*100,1)&amp;"%"</f>
        <v/>
      </c>
      <c r="D47" s="159">
        <f>IFERROR(ROUND(AVERAGEIFS('داده خام'!$N$2:$N$10131,'داده خام'!$O$2:$O$10131,A47),1),"-")</f>
        <v/>
      </c>
      <c r="E47" s="159">
        <f>IF(D47&lt;5,IF(B47&gt;=15,"[بحرانی] حجم بالا + خرابی زودهنگام — اولویت ۱ بازبینی تأمین‌کننده",IF(B47&gt;=8,"[هشدار] خرابی زودهنگام حجم متوسط — نیازمند ریشه‌یابی","[پایش ویژه] خرابی زودهنگام حجم کم — جمع‌آوری داده بیشتر")),IF(B47&gt;=20,"[حجم بالا] علت احتمالاً فرآیندی (نصب/تنظیم) نه قطعه",IF(B47&gt;=10,"[پایش دوره‌ای] حجم متوسط، عمر طبیعی","[عادی] حجم کم و عمر طبیعی")))</f>
        <v/>
      </c>
    </row>
    <row r="48" ht="18" customHeight="1" s="151">
      <c r="A48" s="158" t="inlineStr">
        <is>
          <t>خرابی - هیدروستات (تعویض)</t>
        </is>
      </c>
      <c r="B48" s="159">
        <f>COUNTIF('داده خام'!$O$2:$O$10131,A48)</f>
        <v/>
      </c>
      <c r="C48" s="159">
        <f>ROUND(B48/107*100,1)&amp;"%"</f>
        <v/>
      </c>
      <c r="D48" s="159">
        <f>IFERROR(ROUND(AVERAGEIFS('داده خام'!$N$2:$N$10131,'داده خام'!$O$2:$O$10131,A48),1),"-")</f>
        <v/>
      </c>
      <c r="E48" s="159">
        <f>IF(D48&lt;5,IF(B48&gt;=15,"[بحرانی] حجم بالا + خرابی زودهنگام — اولویت ۱ بازبینی تأمین‌کننده",IF(B48&gt;=8,"[هشدار] خرابی زودهنگام حجم متوسط — نیازمند ریشه‌یابی","[پایش ویژه] خرابی زودهنگام حجم کم — جمع‌آوری داده بیشتر")),IF(B48&gt;=20,"[حجم بالا] علت احتمالاً فرآیندی (نصب/تنظیم) نه قطعه",IF(B48&gt;=10,"[پایش دوره‌ای] حجم متوسط، عمر طبیعی","[عادی] حجم کم و عمر طبیعی")))</f>
        <v/>
      </c>
    </row>
    <row r="49" ht="18" customHeight="1" s="151">
      <c r="A49" s="158" t="inlineStr">
        <is>
          <t>سیم‌کشی/اتصالات (تعویض/بازبینی)</t>
        </is>
      </c>
      <c r="B49" s="159">
        <f>COUNTIF('داده خام'!$O$2:$O$10131,A49)</f>
        <v/>
      </c>
      <c r="C49" s="159">
        <f>ROUND(B49/107*100,1)&amp;"%"</f>
        <v/>
      </c>
      <c r="D49" s="159">
        <f>IFERROR(ROUND(AVERAGEIFS('داده خام'!$N$2:$N$10131,'داده خام'!$O$2:$O$10131,A49),1),"-")</f>
        <v/>
      </c>
      <c r="E49" s="159">
        <f>IF(D49&lt;5,IF(B49&gt;=15,"[بحرانی] حجم بالا + خرابی زودهنگام — اولویت ۱ بازبینی تأمین‌کننده",IF(B49&gt;=8,"[هشدار] خرابی زودهنگام حجم متوسط — نیازمند ریشه‌یابی","[پایش ویژه] خرابی زودهنگام حجم کم — جمع‌آوری داده بیشتر")),IF(B49&gt;=20,"[حجم بالا] علت احتمالاً فرآیندی (نصب/تنظیم) نه قطعه",IF(B49&gt;=10,"[پایش دوره‌ای] حجم متوسط، عمر طبیعی","[عادی] حجم کم و عمر طبیعی")))</f>
        <v/>
      </c>
    </row>
    <row r="50" ht="18" customHeight="1" s="151">
      <c r="A50" s="158" t="inlineStr">
        <is>
          <t>شیلنگ یخساز - یخ‌زدگی (بازبینی)</t>
        </is>
      </c>
      <c r="B50" s="159">
        <f>COUNTIF('داده خام'!$O$2:$O$10131,A50)</f>
        <v/>
      </c>
      <c r="C50" s="159">
        <f>ROUND(B50/107*100,1)&amp;"%"</f>
        <v/>
      </c>
      <c r="D50" s="159">
        <f>IFERROR(ROUND(AVERAGEIFS('داده خام'!$N$2:$N$10131,'داده خام'!$O$2:$O$10131,A50),1),"-")</f>
        <v/>
      </c>
      <c r="E50" s="159">
        <f>IF(D50&lt;5,IF(B50&gt;=15,"[بحرانی] حجم بالا + خرابی زودهنگام — اولویت ۱ بازبینی تأمین‌کننده",IF(B50&gt;=8,"[هشدار] خرابی زودهنگام حجم متوسط — نیازمند ریشه‌یابی","[پایش ویژه] خرابی زودهنگام حجم کم — جمع‌آوری داده بیشتر")),IF(B50&gt;=20,"[حجم بالا] علت احتمالاً فرآیندی (نصب/تنظیم) نه قطعه",IF(B50&gt;=10,"[پایش دوره‌ای] حجم متوسط، عمر طبیعی","[عادی] حجم کم و عمر طبیعی")))</f>
        <v/>
      </c>
    </row>
    <row r="51" ht="18" customHeight="1" s="151">
      <c r="A51" s="158" t="inlineStr">
        <is>
          <t>پرچ/بدنه کابین (تعمیر)</t>
        </is>
      </c>
      <c r="B51" s="159">
        <f>COUNTIF('داده خام'!$O$2:$O$10131,A51)</f>
        <v/>
      </c>
      <c r="C51" s="159">
        <f>ROUND(B51/107*100,1)&amp;"%"</f>
        <v/>
      </c>
      <c r="D51" s="159">
        <f>IFERROR(ROUND(AVERAGEIFS('داده خام'!$N$2:$N$10131,'داده خام'!$O$2:$O$10131,A51),1),"-")</f>
        <v/>
      </c>
      <c r="E51" s="159">
        <f>IF(D51&lt;5,IF(B51&gt;=15,"[بحرانی] حجم بالا + خرابی زودهنگام — اولویت ۱ بازبینی تأمین‌کننده",IF(B51&gt;=8,"[هشدار] خرابی زودهنگام حجم متوسط — نیازمند ریشه‌یابی","[پایش ویژه] خرابی زودهنگام حجم کم — جمع‌آوری داده بیشتر")),IF(B51&gt;=20,"[حجم بالا] علت احتمالاً فرآیندی (نصب/تنظیم) نه قطعه",IF(B51&gt;=10,"[پایش دوره‌ای] حجم متوسط، عمر طبیعی","[عادی] حجم کم و عمر طبیعی")))</f>
        <v/>
      </c>
    </row>
    <row r="52" ht="19.5" customHeight="1" s="151">
      <c r="A52" s="158" t="inlineStr">
        <is>
          <t>تنظیم - پیچ ولوم/دکمه (تعمیر)</t>
        </is>
      </c>
      <c r="B52" s="159">
        <f>COUNTIF('داده خام'!$O$2:$O$10131,A52)</f>
        <v/>
      </c>
      <c r="C52" s="159">
        <f>ROUND(B52/107*100,1)&amp;"%"</f>
        <v/>
      </c>
      <c r="D52" s="159">
        <f>IFERROR(ROUND(AVERAGEIFS('داده خام'!$N$2:$N$10131,'داده خام'!$O$2:$O$10131,A52),1),"-")</f>
        <v/>
      </c>
      <c r="E52" s="159">
        <f>IF(D52&lt;5,IF(B52&gt;=15,"[بحرانی] حجم بالا + خرابی زودهنگام — اولویت ۱ بازبینی تأمین‌کننده",IF(B52&gt;=8,"[هشدار] خرابی زودهنگام حجم متوسط — نیازمند ریشه‌یابی","[پایش ویژه] خرابی زودهنگام حجم کم — جمع‌آوری داده بیشتر")),IF(B52&gt;=20,"[حجم بالا] علت احتمالاً فرآیندی (نصب/تنظیم) نه قطعه",IF(B52&gt;=10,"[پایش دوره‌ای] حجم متوسط، عمر طبیعی","[عادی] حجم کم و عمر طبیعی")))</f>
        <v/>
      </c>
    </row>
    <row r="53" ht="18" customHeight="1" s="151">
      <c r="A53" s="158" t="inlineStr">
        <is>
          <t>تنظیم - گسکت/درام (تعمیر)</t>
        </is>
      </c>
      <c r="B53" s="159">
        <f>COUNTIF('داده خام'!$O$2:$O$10131,A53)</f>
        <v/>
      </c>
      <c r="C53" s="159">
        <f>ROUND(B53/107*100,1)&amp;"%"</f>
        <v/>
      </c>
      <c r="D53" s="159">
        <f>IFERROR(ROUND(AVERAGEIFS('داده خام'!$N$2:$N$10131,'داده خام'!$O$2:$O$10131,A53),1),"-")</f>
        <v/>
      </c>
      <c r="E53" s="159">
        <f>IF(D53&lt;5,IF(B53&gt;=15,"[بحرانی] حجم بالا + خرابی زودهنگام — اولویت ۱ بازبینی تأمین‌کننده",IF(B53&gt;=8,"[هشدار] خرابی زودهنگام حجم متوسط — نیازمند ریشه‌یابی","[پایش ویژه] خرابی زودهنگام حجم کم — جمع‌آوری داده بیشتر")),IF(B53&gt;=20,"[حجم بالا] علت احتمالاً فرآیندی (نصب/تنظیم) نه قطعه",IF(B53&gt;=10,"[پایش دوره‌ای] حجم متوسط، عمر طبیعی","[عادی] حجم کم و عمر طبیعی")))</f>
        <v/>
      </c>
    </row>
    <row r="54" ht="18" customHeight="1" s="151">
      <c r="A54" s="158" t="inlineStr">
        <is>
          <t>خرابی - کمک فنر (تعویض)</t>
        </is>
      </c>
      <c r="B54" s="159">
        <f>COUNTIF('داده خام'!$O$2:$O$10131,A54)</f>
        <v/>
      </c>
      <c r="C54" s="159">
        <f>ROUND(B54/107*100,1)&amp;"%"</f>
        <v/>
      </c>
      <c r="D54" s="159">
        <f>IFERROR(ROUND(AVERAGEIFS('داده خام'!$N$2:$N$10131,'داده خام'!$O$2:$O$10131,A54),1),"-")</f>
        <v/>
      </c>
      <c r="E54" s="159">
        <f>IF(D54&lt;5,IF(B54&gt;=15,"[بحرانی] حجم بالا + خرابی زودهنگام — اولویت ۱ بازبینی تأمین‌کننده",IF(B54&gt;=8,"[هشدار] خرابی زودهنگام حجم متوسط — نیازمند ریشه‌یابی","[پایش ویژه] خرابی زودهنگام حجم کم — جمع‌آوری داده بیشتر")),IF(B54&gt;=20,"[حجم بالا] علت احتمالاً فرآیندی (نصب/تنظیم) نه قطعه",IF(B54&gt;=10,"[پایش دوره‌ای] حجم متوسط، عمر طبیعی","[عادی] حجم کم و عمر طبیعی")))</f>
        <v/>
      </c>
    </row>
    <row r="55" ht="21.75" customHeight="1" s="151">
      <c r="A55" s="158" t="inlineStr">
        <is>
          <t>سایر (نیازمند بررسی دستی)</t>
        </is>
      </c>
      <c r="B55" s="159">
        <f>COUNTIF('داده خام'!$O$2:$O$10131,A55)</f>
        <v/>
      </c>
      <c r="C55" s="159">
        <f>ROUND(B55/107*100,1)&amp;"%"</f>
        <v/>
      </c>
      <c r="D55" s="159">
        <f>IFERROR(ROUND(AVERAGEIFS('داده خام'!$N$2:$N$10131,'داده خام'!$O$2:$O$10131,A55),1),"-")</f>
        <v/>
      </c>
      <c r="E55" s="159">
        <f>IF(D55&lt;5,IF(B55&gt;=15,"[بحرانی] حجم بالا + خرابی زودهنگام — اولویت ۱ بازبینی تأمین‌کننده",IF(B55&gt;=8,"[هشدار] خرابی زودهنگام حجم متوسط — نیازمند ریشه‌یابی","[پایش ویژه] خرابی زودهنگام حجم کم — جمع‌آوری داده بیشتر")),IF(B55&gt;=20,"[حجم بالا] علت احتمالاً فرآیندی (نصب/تنظیم) نه قطعه",IF(B55&gt;=10,"[پایش دوره‌ای] حجم متوسط، عمر طبیعی","[عادی] حجم کم و عمر طبیعی")))</f>
        <v/>
      </c>
    </row>
    <row r="56" ht="18" customHeight="1" s="151">
      <c r="A56" s="161" t="n"/>
      <c r="B56" s="162" t="n"/>
    </row>
    <row r="57" ht="18" customHeight="1" s="151">
      <c r="A57" s="161" t="n"/>
      <c r="B57" s="162" t="n"/>
    </row>
    <row r="58" ht="19.5" customHeight="1" s="151">
      <c r="A58" s="153" t="inlineStr">
        <is>
          <t>ماتریس دستگاه × دسته علت</t>
        </is>
      </c>
    </row>
    <row r="59" ht="88.5" customHeight="1" s="151">
      <c r="A59" s="120" t="inlineStr">
        <is>
          <t>نوع دستگاه</t>
        </is>
      </c>
      <c r="B59" s="120">
        <f>A11</f>
        <v/>
      </c>
      <c r="C59" s="120">
        <f>A12</f>
        <v/>
      </c>
      <c r="D59" s="120">
        <f>A13</f>
        <v/>
      </c>
      <c r="E59" s="120">
        <f>A14</f>
        <v/>
      </c>
      <c r="F59" s="120">
        <f>A15</f>
        <v/>
      </c>
      <c r="G59" s="120">
        <f>A16</f>
        <v/>
      </c>
      <c r="H59" s="120">
        <f>A17</f>
        <v/>
      </c>
      <c r="I59" s="120">
        <f>A18</f>
        <v/>
      </c>
      <c r="J59" s="120">
        <f>A19</f>
        <v/>
      </c>
      <c r="K59" s="120">
        <f>A20</f>
        <v/>
      </c>
      <c r="L59" s="120">
        <f>A21</f>
        <v/>
      </c>
      <c r="M59" s="120">
        <f>A22</f>
        <v/>
      </c>
      <c r="N59" s="120">
        <f>A23</f>
        <v/>
      </c>
      <c r="O59" s="120">
        <f>A24</f>
        <v/>
      </c>
      <c r="P59" s="120">
        <f>A25</f>
        <v/>
      </c>
      <c r="Q59" s="120">
        <f>A26</f>
        <v/>
      </c>
      <c r="R59" s="120">
        <f>A27</f>
        <v/>
      </c>
      <c r="S59" s="120">
        <f>A28</f>
        <v/>
      </c>
      <c r="T59" s="120" t="n"/>
      <c r="U59" s="120" t="n"/>
      <c r="V59" s="120" t="n"/>
      <c r="W59" s="120" t="n"/>
      <c r="X59" s="120" t="n"/>
      <c r="Y59" s="120" t="n"/>
      <c r="Z59" s="120" t="n"/>
      <c r="AA59" s="120" t="n"/>
      <c r="AB59" s="120" t="n"/>
      <c r="AC59" s="120" t="n"/>
      <c r="AD59" s="120" t="n"/>
      <c r="AE59" s="120" t="n"/>
    </row>
    <row r="60" ht="18" customHeight="1" s="151">
      <c r="A60" s="163" t="inlineStr">
        <is>
          <t>ماشین ظرفشویی</t>
        </is>
      </c>
      <c r="B60" s="164">
        <f>COUNTIFS('داده خام'!$C$2:$C$10131,"ماشين ظرفشويي",'داده خام'!$O$2:$O$10131,B$59)</f>
        <v/>
      </c>
      <c r="C60" s="164">
        <f>COUNTIFS('داده خام'!$C$2:$C$10131,"ماشين ظرفشويي",'داده خام'!$O$2:$O$10131,C$59)</f>
        <v/>
      </c>
      <c r="D60" s="164">
        <f>COUNTIFS('داده خام'!$C$2:$C$10131,"ماشين ظرفشويي",'داده خام'!$O$2:$O$10131,D$59)</f>
        <v/>
      </c>
      <c r="E60" s="164">
        <f>COUNTIFS('داده خام'!$C$2:$C$10131,"ماشين ظرفشويي",'داده خام'!$O$2:$O$10131,E$59)</f>
        <v/>
      </c>
      <c r="F60" s="164">
        <f>COUNTIFS('داده خام'!$C$2:$C$10131,"ماشين ظرفشويي",'داده خام'!$O$2:$O$10131,F$59)</f>
        <v/>
      </c>
      <c r="G60" s="164">
        <f>COUNTIFS('داده خام'!$C$2:$C$10131,"ماشين ظرفشويي",'داده خام'!$O$2:$O$10131,G$59)</f>
        <v/>
      </c>
      <c r="H60" s="164">
        <f>COUNTIFS('داده خام'!$C$2:$C$10131,"ماشين ظرفشويي",'داده خام'!$O$2:$O$10131,H$59)</f>
        <v/>
      </c>
      <c r="I60" s="164">
        <f>COUNTIFS('داده خام'!$C$2:$C$10131,"ماشين ظرفشويي",'داده خام'!$O$2:$O$10131,I$59)</f>
        <v/>
      </c>
      <c r="J60" s="164">
        <f>COUNTIFS('داده خام'!$C$2:$C$10131,"ماشين ظرفشويي",'داده خام'!$O$2:$O$10131,J$59)</f>
        <v/>
      </c>
      <c r="K60" s="164">
        <f>COUNTIFS('داده خام'!$C$2:$C$10131,"ماشين ظرفشويي",'داده خام'!$O$2:$O$10131,K$59)</f>
        <v/>
      </c>
      <c r="L60" s="164">
        <f>COUNTIFS('داده خام'!$C$2:$C$10131,"ماشين ظرفشويي",'داده خام'!$O$2:$O$10131,L$59)</f>
        <v/>
      </c>
      <c r="M60" s="164">
        <f>COUNTIFS('داده خام'!$C$2:$C$10131,"ماشين ظرفشويي",'داده خام'!$O$2:$O$10131,M$59)</f>
        <v/>
      </c>
      <c r="N60" s="164">
        <f>COUNTIFS('داده خام'!$C$2:$C$10131,"ماشين ظرفشويي",'داده خام'!$O$2:$O$10131,N$59)</f>
        <v/>
      </c>
      <c r="O60" s="164">
        <f>COUNTIFS('داده خام'!$C$2:$C$10131,"ماشين ظرفشويي",'داده خام'!$O$2:$O$10131,O$59)</f>
        <v/>
      </c>
      <c r="P60" s="164">
        <f>COUNTIFS('داده خام'!$C$2:$C$10131,"ماشين ظرفشويي",'داده خام'!$O$2:$O$10131,P$59)</f>
        <v/>
      </c>
      <c r="Q60" s="164">
        <f>COUNTIFS('داده خام'!$C$2:$C$10131,"ماشين ظرفشويي",'داده خام'!$O$2:$O$10131,Q$59)</f>
        <v/>
      </c>
      <c r="R60" s="164">
        <f>COUNTIFS('داده خام'!$C$2:$C$10131,"ماشين ظرفشويي",'داده خام'!$O$2:$O$10131,R$59)</f>
        <v/>
      </c>
      <c r="S60" s="164">
        <f>COUNTIFS('داده خام'!$C$2:$C$10131,"ماشين ظرفشويي",'داده خام'!$O$2:$O$10131,S$59)</f>
        <v/>
      </c>
      <c r="T60" s="164">
        <f>COUNTIFS('داده خام'!$C$2:$C$10131,"ماشين ظرفشويي",'داده خام'!$O$2:$O$10131,T$59)</f>
        <v/>
      </c>
      <c r="U60" s="164">
        <f>COUNTIFS('داده خام'!$C$2:$C$10131,"ماشين ظرفشويي",'داده خام'!$O$2:$O$10131,U$59)</f>
        <v/>
      </c>
      <c r="V60" s="164">
        <f>COUNTIFS('داده خام'!$C$2:$C$10131,"ماشين ظرفشويي",'داده خام'!$O$2:$O$10131,V$59)</f>
        <v/>
      </c>
      <c r="W60" s="164">
        <f>COUNTIFS('داده خام'!$C$2:$C$10131,"ماشين ظرفشويي",'داده خام'!$O$2:$O$10131,W$59)</f>
        <v/>
      </c>
      <c r="X60" s="164">
        <f>COUNTIFS('داده خام'!$C$2:$C$10131,"ماشين ظرفشويي",'داده خام'!$O$2:$O$10131,X$59)</f>
        <v/>
      </c>
      <c r="Y60" s="164">
        <f>COUNTIFS('داده خام'!$C$2:$C$10131,"ماشين ظرفشويي",'داده خام'!$O$2:$O$10131,Y$59)</f>
        <v/>
      </c>
      <c r="Z60" s="164">
        <f>COUNTIFS('داده خام'!$C$2:$C$10131,"ماشين ظرفشويي",'داده خام'!$O$2:$O$10131,Z$59)</f>
        <v/>
      </c>
      <c r="AA60" s="164">
        <f>COUNTIFS('داده خام'!$C$2:$C$10131,"ماشين ظرفشويي",'داده خام'!$O$2:$O$10131,AA$59)</f>
        <v/>
      </c>
      <c r="AB60" s="164">
        <f>COUNTIFS('داده خام'!$C$2:$C$10131,"ماشين ظرفشويي",'داده خام'!$O$2:$O$10131,AB$59)</f>
        <v/>
      </c>
      <c r="AC60" s="164">
        <f>COUNTIFS('داده خام'!$C$2:$C$10131,"ماشين ظرفشويي",'داده خام'!$O$2:$O$10131,AC$59)</f>
        <v/>
      </c>
      <c r="AD60" s="164">
        <f>COUNTIFS('داده خام'!$C$2:$C$10131,"ماشين ظرفشويي",'داده خام'!$O$2:$O$10131,AD$59)</f>
        <v/>
      </c>
      <c r="AE60" s="164">
        <f>COUNTIFS('داده خام'!$C$2:$C$10131,"ماشين ظرفشويي",'داده خام'!$O$2:$O$10131,AE$59)</f>
        <v/>
      </c>
    </row>
    <row r="61" ht="18" customHeight="1" s="151">
      <c r="A61" s="163" t="inlineStr">
        <is>
          <t>ماشين لباسشويي</t>
        </is>
      </c>
      <c r="B61" s="164">
        <f>COUNTIFS('داده خام'!$C$2:$C$10131,"ماشين لباسشويي",'داده خام'!$O$2:$O$10131,B$59)</f>
        <v/>
      </c>
      <c r="C61" s="164">
        <f>COUNTIFS('داده خام'!$C$2:$C$10131,"ماشين لباسشويي",'داده خام'!$O$2:$O$10131,C$59)</f>
        <v/>
      </c>
      <c r="D61" s="164">
        <f>COUNTIFS('داده خام'!$C$2:$C$10131,"ماشين لباسشويي",'داده خام'!$O$2:$O$10131,D$59)</f>
        <v/>
      </c>
      <c r="E61" s="164">
        <f>COUNTIFS('داده خام'!$C$2:$C$10131,"ماشين لباسشويي",'داده خام'!$O$2:$O$10131,E$59)</f>
        <v/>
      </c>
      <c r="F61" s="164">
        <f>COUNTIFS('داده خام'!$C$2:$C$10131,"ماشين لباسشويي",'داده خام'!$O$2:$O$10131,F$59)</f>
        <v/>
      </c>
      <c r="G61" s="164">
        <f>COUNTIFS('داده خام'!$C$2:$C$10131,"ماشين لباسشويي",'داده خام'!$O$2:$O$10131,G$59)</f>
        <v/>
      </c>
      <c r="H61" s="164">
        <f>COUNTIFS('داده خام'!$C$2:$C$10131,"ماشين لباسشويي",'داده خام'!$O$2:$O$10131,H$59)</f>
        <v/>
      </c>
      <c r="I61" s="164">
        <f>COUNTIFS('داده خام'!$C$2:$C$10131,"ماشين لباسشويي",'داده خام'!$O$2:$O$10131,I$59)</f>
        <v/>
      </c>
      <c r="J61" s="164">
        <f>COUNTIFS('داده خام'!$C$2:$C$10131,"ماشين لباسشويي",'داده خام'!$O$2:$O$10131,J$59)</f>
        <v/>
      </c>
      <c r="K61" s="164">
        <f>COUNTIFS('داده خام'!$C$2:$C$10131,"ماشين لباسشويي",'داده خام'!$O$2:$O$10131,K$59)</f>
        <v/>
      </c>
      <c r="L61" s="164">
        <f>COUNTIFS('داده خام'!$C$2:$C$10131,"ماشين لباسشويي",'داده خام'!$O$2:$O$10131,L$59)</f>
        <v/>
      </c>
      <c r="M61" s="164">
        <f>COUNTIFS('داده خام'!$C$2:$C$10131,"ماشين لباسشويي",'داده خام'!$O$2:$O$10131,M$59)</f>
        <v/>
      </c>
      <c r="N61" s="164">
        <f>COUNTIFS('داده خام'!$C$2:$C$10131,"ماشين لباسشويي",'داده خام'!$O$2:$O$10131,N$59)</f>
        <v/>
      </c>
      <c r="O61" s="164">
        <f>COUNTIFS('داده خام'!$C$2:$C$10131,"ماشين لباسشويي",'داده خام'!$O$2:$O$10131,O$59)</f>
        <v/>
      </c>
      <c r="P61" s="164">
        <f>COUNTIFS('داده خام'!$C$2:$C$10131,"ماشين لباسشويي",'داده خام'!$O$2:$O$10131,P$59)</f>
        <v/>
      </c>
      <c r="Q61" s="164">
        <f>COUNTIFS('داده خام'!$C$2:$C$10131,"ماشين لباسشويي",'داده خام'!$O$2:$O$10131,Q$59)</f>
        <v/>
      </c>
      <c r="R61" s="164">
        <f>COUNTIFS('داده خام'!$C$2:$C$10131,"ماشين لباسشويي",'داده خام'!$O$2:$O$10131,R$59)</f>
        <v/>
      </c>
      <c r="S61" s="164">
        <f>COUNTIFS('داده خام'!$C$2:$C$10131,"ماشين لباسشويي",'داده خام'!$O$2:$O$10131,S$59)</f>
        <v/>
      </c>
      <c r="T61" s="164">
        <f>COUNTIFS('داده خام'!$C$2:$C$10131,"ماشين لباسشويي",'داده خام'!$O$2:$O$10131,T$59)</f>
        <v/>
      </c>
      <c r="U61" s="164">
        <f>COUNTIFS('داده خام'!$C$2:$C$10131,"ماشين لباسشويي",'داده خام'!$O$2:$O$10131,U$59)</f>
        <v/>
      </c>
      <c r="V61" s="164">
        <f>COUNTIFS('داده خام'!$C$2:$C$10131,"ماشين لباسشويي",'داده خام'!$O$2:$O$10131,V$59)</f>
        <v/>
      </c>
      <c r="W61" s="164">
        <f>COUNTIFS('داده خام'!$C$2:$C$10131,"ماشين لباسشويي",'داده خام'!$O$2:$O$10131,W$59)</f>
        <v/>
      </c>
      <c r="X61" s="164">
        <f>COUNTIFS('داده خام'!$C$2:$C$10131,"ماشين لباسشويي",'داده خام'!$O$2:$O$10131,X$59)</f>
        <v/>
      </c>
      <c r="Y61" s="164">
        <f>COUNTIFS('داده خام'!$C$2:$C$10131,"ماشين لباسشويي",'داده خام'!$O$2:$O$10131,Y$59)</f>
        <v/>
      </c>
      <c r="Z61" s="164">
        <f>COUNTIFS('داده خام'!$C$2:$C$10131,"ماشين لباسشويي",'داده خام'!$O$2:$O$10131,Z$59)</f>
        <v/>
      </c>
      <c r="AA61" s="164">
        <f>COUNTIFS('داده خام'!$C$2:$C$10131,"ماشين لباسشويي",'داده خام'!$O$2:$O$10131,AA$59)</f>
        <v/>
      </c>
      <c r="AB61" s="164">
        <f>COUNTIFS('داده خام'!$C$2:$C$10131,"ماشين لباسشويي",'داده خام'!$O$2:$O$10131,AB$59)</f>
        <v/>
      </c>
      <c r="AC61" s="164">
        <f>COUNTIFS('داده خام'!$C$2:$C$10131,"ماشين لباسشويي",'داده خام'!$O$2:$O$10131,AC$59)</f>
        <v/>
      </c>
      <c r="AD61" s="164">
        <f>COUNTIFS('داده خام'!$C$2:$C$10131,"ماشين لباسشويي",'داده خام'!$O$2:$O$10131,AD$59)</f>
        <v/>
      </c>
      <c r="AE61" s="164">
        <f>COUNTIFS('داده خام'!$C$2:$C$10131,"ماشين لباسشويي",'داده خام'!$O$2:$O$10131,AE$59)</f>
        <v/>
      </c>
    </row>
    <row r="62" ht="18" customHeight="1" s="151">
      <c r="A62" s="163" t="inlineStr">
        <is>
          <t>یخچال ساید‌بای‌ساید</t>
        </is>
      </c>
      <c r="B62" s="164">
        <f>COUNTIFS('داده خام'!$C$2:$C$10131,"یخچال ساید‌بای‌ساید",'داده خام'!$O$2:$O$10131,B$59)</f>
        <v/>
      </c>
      <c r="C62" s="164">
        <f>COUNTIFS('داده خام'!$C$2:$C$10131,"یخچال ساید‌بای‌ساید",'داده خام'!$O$2:$O$10131,C$59)</f>
        <v/>
      </c>
      <c r="D62" s="164">
        <f>COUNTIFS('داده خام'!$C$2:$C$10131,"یخچال ساید‌بای‌ساید",'داده خام'!$O$2:$O$10131,D$59)</f>
        <v/>
      </c>
      <c r="E62" s="164">
        <f>COUNTIFS('داده خام'!$C$2:$C$10131,"یخچال ساید‌بای‌ساید",'داده خام'!$O$2:$O$10131,E$59)</f>
        <v/>
      </c>
      <c r="F62" s="164">
        <f>COUNTIFS('داده خام'!$C$2:$C$10131,"یخچال ساید‌بای‌ساید",'داده خام'!$O$2:$O$10131,F$59)</f>
        <v/>
      </c>
      <c r="G62" s="164">
        <f>COUNTIFS('داده خام'!$C$2:$C$10131,"یخچال ساید‌بای‌ساید",'داده خام'!$O$2:$O$10131,G$59)</f>
        <v/>
      </c>
      <c r="H62" s="164">
        <f>COUNTIFS('داده خام'!$C$2:$C$10131,"یخچال ساید‌بای‌ساید",'داده خام'!$O$2:$O$10131,H$59)</f>
        <v/>
      </c>
      <c r="I62" s="164">
        <f>COUNTIFS('داده خام'!$C$2:$C$10131,"یخچال ساید‌بای‌ساید",'داده خام'!$O$2:$O$10131,I$59)</f>
        <v/>
      </c>
      <c r="J62" s="164">
        <f>COUNTIFS('داده خام'!$C$2:$C$10131,"یخچال ساید‌بای‌ساید",'داده خام'!$O$2:$O$10131,J$59)</f>
        <v/>
      </c>
      <c r="K62" s="164">
        <f>COUNTIFS('داده خام'!$C$2:$C$10131,"یخچال ساید‌بای‌ساید",'داده خام'!$O$2:$O$10131,K$59)</f>
        <v/>
      </c>
      <c r="L62" s="164">
        <f>COUNTIFS('داده خام'!$C$2:$C$10131,"یخچال ساید‌بای‌ساید",'داده خام'!$O$2:$O$10131,L$59)</f>
        <v/>
      </c>
      <c r="M62" s="164">
        <f>COUNTIFS('داده خام'!$C$2:$C$10131,"یخچال ساید‌بای‌ساید",'داده خام'!$O$2:$O$10131,M$59)</f>
        <v/>
      </c>
      <c r="N62" s="164">
        <f>COUNTIFS('داده خام'!$C$2:$C$10131,"یخچال ساید‌بای‌ساید",'داده خام'!$O$2:$O$10131,N$59)</f>
        <v/>
      </c>
      <c r="O62" s="164">
        <f>COUNTIFS('داده خام'!$C$2:$C$10131,"یخچال ساید‌بای‌ساید",'داده خام'!$O$2:$O$10131,O$59)</f>
        <v/>
      </c>
      <c r="P62" s="164">
        <f>COUNTIFS('داده خام'!$C$2:$C$10131,"یخچال ساید‌بای‌ساید",'داده خام'!$O$2:$O$10131,P$59)</f>
        <v/>
      </c>
      <c r="Q62" s="164">
        <f>COUNTIFS('داده خام'!$C$2:$C$10131,"یخچال ساید‌بای‌ساید",'داده خام'!$O$2:$O$10131,Q$59)</f>
        <v/>
      </c>
      <c r="R62" s="164">
        <f>COUNTIFS('داده خام'!$C$2:$C$10131,"یخچال ساید‌بای‌ساید",'داده خام'!$O$2:$O$10131,R$59)</f>
        <v/>
      </c>
      <c r="S62" s="164">
        <f>COUNTIFS('داده خام'!$C$2:$C$10131,"یخچال ساید‌بای‌ساید",'داده خام'!$O$2:$O$10131,S$59)</f>
        <v/>
      </c>
      <c r="T62" s="164">
        <f>COUNTIFS('داده خام'!$C$2:$C$10131,"یخچال ساید‌بای‌ساید",'داده خام'!$O$2:$O$10131,T$59)</f>
        <v/>
      </c>
      <c r="U62" s="164">
        <f>COUNTIFS('داده خام'!$C$2:$C$10131,"یخچال ساید‌بای‌ساید",'داده خام'!$O$2:$O$10131,U$59)</f>
        <v/>
      </c>
      <c r="V62" s="164">
        <f>COUNTIFS('داده خام'!$C$2:$C$10131,"یخچال ساید‌بای‌ساید",'داده خام'!$O$2:$O$10131,V$59)</f>
        <v/>
      </c>
      <c r="W62" s="164">
        <f>COUNTIFS('داده خام'!$C$2:$C$10131,"یخچال ساید‌بای‌ساید",'داده خام'!$O$2:$O$10131,W$59)</f>
        <v/>
      </c>
      <c r="X62" s="164">
        <f>COUNTIFS('داده خام'!$C$2:$C$10131,"یخچال ساید‌بای‌ساید",'داده خام'!$O$2:$O$10131,X$59)</f>
        <v/>
      </c>
      <c r="Y62" s="164">
        <f>COUNTIFS('داده خام'!$C$2:$C$10131,"یخچال ساید‌بای‌ساید",'داده خام'!$O$2:$O$10131,Y$59)</f>
        <v/>
      </c>
      <c r="Z62" s="164">
        <f>COUNTIFS('داده خام'!$C$2:$C$10131,"یخچال ساید‌بای‌ساید",'داده خام'!$O$2:$O$10131,Z$59)</f>
        <v/>
      </c>
      <c r="AA62" s="164">
        <f>COUNTIFS('داده خام'!$C$2:$C$10131,"یخچال ساید‌بای‌ساید",'داده خام'!$O$2:$O$10131,AA$59)</f>
        <v/>
      </c>
      <c r="AB62" s="164">
        <f>COUNTIFS('داده خام'!$C$2:$C$10131,"یخچال ساید‌بای‌ساید",'داده خام'!$O$2:$O$10131,AB$59)</f>
        <v/>
      </c>
      <c r="AC62" s="164">
        <f>COUNTIFS('داده خام'!$C$2:$C$10131,"یخچال ساید‌بای‌ساید",'داده خام'!$O$2:$O$10131,AC$59)</f>
        <v/>
      </c>
      <c r="AD62" s="164">
        <f>COUNTIFS('داده خام'!$C$2:$C$10131,"یخچال ساید‌بای‌ساید",'داده خام'!$O$2:$O$10131,AD$59)</f>
        <v/>
      </c>
      <c r="AE62" s="164">
        <f>COUNTIFS('داده خام'!$C$2:$C$10131,"یخچال ساید‌بای‌ساید",'داده خام'!$O$2:$O$10131,AE$59)</f>
        <v/>
      </c>
    </row>
    <row r="63" ht="18" customHeight="1" s="151">
      <c r="A63" s="163" t="inlineStr">
        <is>
          <t>یخچال مینی</t>
        </is>
      </c>
      <c r="B63" s="164">
        <f>COUNTIFS('داده خام'!$C$2:$C$10131,"يخچال ميني",'داده خام'!$O$2:$O$10131,B$59)</f>
        <v/>
      </c>
      <c r="C63" s="164">
        <f>COUNTIFS('داده خام'!$C$2:$C$10131,"يخچال ميني",'داده خام'!$O$2:$O$10131,C$59)</f>
        <v/>
      </c>
      <c r="D63" s="164">
        <f>COUNTIFS('داده خام'!$C$2:$C$10131,"يخچال ميني",'داده خام'!$O$2:$O$10131,D$59)</f>
        <v/>
      </c>
      <c r="E63" s="164">
        <f>COUNTIFS('داده خام'!$C$2:$C$10131,"يخچال ميني",'داده خام'!$O$2:$O$10131,E$59)</f>
        <v/>
      </c>
      <c r="F63" s="164">
        <f>COUNTIFS('داده خام'!$C$2:$C$10131,"يخچال ميني",'داده خام'!$O$2:$O$10131,F$59)</f>
        <v/>
      </c>
      <c r="G63" s="164">
        <f>COUNTIFS('داده خام'!$C$2:$C$10131,"يخچال ميني",'داده خام'!$O$2:$O$10131,G$59)</f>
        <v/>
      </c>
      <c r="H63" s="164">
        <f>COUNTIFS('داده خام'!$C$2:$C$10131,"يخچال ميني",'داده خام'!$O$2:$O$10131,H$59)</f>
        <v/>
      </c>
      <c r="I63" s="164">
        <f>COUNTIFS('داده خام'!$C$2:$C$10131,"يخچال ميني",'داده خام'!$O$2:$O$10131,I$59)</f>
        <v/>
      </c>
      <c r="J63" s="164">
        <f>COUNTIFS('داده خام'!$C$2:$C$10131,"يخچال ميني",'داده خام'!$O$2:$O$10131,J$59)</f>
        <v/>
      </c>
      <c r="K63" s="164">
        <f>COUNTIFS('داده خام'!$C$2:$C$10131,"يخچال ميني",'داده خام'!$O$2:$O$10131,K$59)</f>
        <v/>
      </c>
      <c r="L63" s="164">
        <f>COUNTIFS('داده خام'!$C$2:$C$10131,"يخچال ميني",'داده خام'!$O$2:$O$10131,L$59)</f>
        <v/>
      </c>
      <c r="M63" s="164">
        <f>COUNTIFS('داده خام'!$C$2:$C$10131,"يخچال ميني",'داده خام'!$O$2:$O$10131,M$59)</f>
        <v/>
      </c>
      <c r="N63" s="164">
        <f>COUNTIFS('داده خام'!$C$2:$C$10131,"يخچال ميني",'داده خام'!$O$2:$O$10131,N$59)</f>
        <v/>
      </c>
      <c r="O63" s="164">
        <f>COUNTIFS('داده خام'!$C$2:$C$10131,"يخچال ميني",'داده خام'!$O$2:$O$10131,O$59)</f>
        <v/>
      </c>
      <c r="P63" s="164">
        <f>COUNTIFS('داده خام'!$C$2:$C$10131,"يخچال ميني",'داده خام'!$O$2:$O$10131,P$59)</f>
        <v/>
      </c>
      <c r="Q63" s="164">
        <f>COUNTIFS('داده خام'!$C$2:$C$10131,"يخچال ميني",'داده خام'!$O$2:$O$10131,Q$59)</f>
        <v/>
      </c>
      <c r="R63" s="164">
        <f>COUNTIFS('داده خام'!$C$2:$C$10131,"يخچال ميني",'داده خام'!$O$2:$O$10131,R$59)</f>
        <v/>
      </c>
      <c r="S63" s="164">
        <f>COUNTIFS('داده خام'!$C$2:$C$10131,"يخچال ميني",'داده خام'!$O$2:$O$10131,S$59)</f>
        <v/>
      </c>
      <c r="T63" s="164">
        <f>COUNTIFS('داده خام'!$C$2:$C$10131,"يخچال ميني",'داده خام'!$O$2:$O$10131,T$59)</f>
        <v/>
      </c>
      <c r="U63" s="164">
        <f>COUNTIFS('داده خام'!$C$2:$C$10131,"يخچال ميني",'داده خام'!$O$2:$O$10131,U$59)</f>
        <v/>
      </c>
      <c r="V63" s="164">
        <f>COUNTIFS('داده خام'!$C$2:$C$10131,"يخچال ميني",'داده خام'!$O$2:$O$10131,V$59)</f>
        <v/>
      </c>
      <c r="W63" s="164">
        <f>COUNTIFS('داده خام'!$C$2:$C$10131,"يخچال ميني",'داده خام'!$O$2:$O$10131,W$59)</f>
        <v/>
      </c>
      <c r="X63" s="164">
        <f>COUNTIFS('داده خام'!$C$2:$C$10131,"يخچال ميني",'داده خام'!$O$2:$O$10131,X$59)</f>
        <v/>
      </c>
      <c r="Y63" s="164">
        <f>COUNTIFS('داده خام'!$C$2:$C$10131,"يخچال ميني",'داده خام'!$O$2:$O$10131,Y$59)</f>
        <v/>
      </c>
      <c r="Z63" s="164">
        <f>COUNTIFS('داده خام'!$C$2:$C$10131,"يخچال ميني",'داده خام'!$O$2:$O$10131,Z$59)</f>
        <v/>
      </c>
      <c r="AA63" s="164">
        <f>COUNTIFS('داده خام'!$C$2:$C$10131,"يخچال ميني",'داده خام'!$O$2:$O$10131,AA$59)</f>
        <v/>
      </c>
      <c r="AB63" s="164">
        <f>COUNTIFS('داده خام'!$C$2:$C$10131,"يخچال ميني",'داده خام'!$O$2:$O$10131,AB$59)</f>
        <v/>
      </c>
      <c r="AC63" s="164">
        <f>COUNTIFS('داده خام'!$C$2:$C$10131,"يخچال ميني",'داده خام'!$O$2:$O$10131,AC$59)</f>
        <v/>
      </c>
      <c r="AD63" s="164">
        <f>COUNTIFS('داده خام'!$C$2:$C$10131,"يخچال ميني",'داده خام'!$O$2:$O$10131,AD$59)</f>
        <v/>
      </c>
      <c r="AE63" s="164">
        <f>COUNTIFS('داده خام'!$C$2:$C$10131,"يخچال ميني",'داده خام'!$O$2:$O$10131,AE$59)</f>
        <v/>
      </c>
    </row>
    <row r="64" ht="18" customHeight="1" s="151">
      <c r="A64" s="163" t="inlineStr">
        <is>
          <t>تلویزیون</t>
        </is>
      </c>
      <c r="B64" s="164">
        <f>COUNTIFS('داده خام'!$C$2:$C$10131,"تلویزیون",'داده خام'!$O$2:$O$10131,B$59)</f>
        <v/>
      </c>
      <c r="C64" s="164">
        <f>COUNTIFS('داده خام'!$C$2:$C$10131,"تلویزیون",'داده خام'!$O$2:$O$10131,C$59)</f>
        <v/>
      </c>
      <c r="D64" s="164">
        <f>COUNTIFS('داده خام'!$C$2:$C$10131,"تلویزیون",'داده خام'!$O$2:$O$10131,D$59)</f>
        <v/>
      </c>
      <c r="E64" s="164">
        <f>COUNTIFS('داده خام'!$C$2:$C$10131,"تلویزیون",'داده خام'!$O$2:$O$10131,E$59)</f>
        <v/>
      </c>
      <c r="F64" s="164">
        <f>COUNTIFS('داده خام'!$C$2:$C$10131,"تلویزیون",'داده خام'!$O$2:$O$10131,F$59)</f>
        <v/>
      </c>
      <c r="G64" s="164">
        <f>COUNTIFS('داده خام'!$C$2:$C$10131,"تلویزیون",'داده خام'!$O$2:$O$10131,G$59)</f>
        <v/>
      </c>
      <c r="H64" s="164">
        <f>COUNTIFS('داده خام'!$C$2:$C$10131,"تلویزیون",'داده خام'!$O$2:$O$10131,H$59)</f>
        <v/>
      </c>
      <c r="I64" s="164">
        <f>COUNTIFS('داده خام'!$C$2:$C$10131,"تلویزیون",'داده خام'!$O$2:$O$10131,I$59)</f>
        <v/>
      </c>
      <c r="J64" s="164">
        <f>COUNTIFS('داده خام'!$C$2:$C$10131,"تلویزیون",'داده خام'!$O$2:$O$10131,J$59)</f>
        <v/>
      </c>
      <c r="K64" s="164">
        <f>COUNTIFS('داده خام'!$C$2:$C$10131,"تلویزیون",'داده خام'!$O$2:$O$10131,K$59)</f>
        <v/>
      </c>
      <c r="L64" s="164">
        <f>COUNTIFS('داده خام'!$C$2:$C$10131,"تلویزیون",'داده خام'!$O$2:$O$10131,L$59)</f>
        <v/>
      </c>
      <c r="M64" s="164">
        <f>COUNTIFS('داده خام'!$C$2:$C$10131,"تلویزیون",'داده خام'!$O$2:$O$10131,M$59)</f>
        <v/>
      </c>
      <c r="N64" s="164">
        <f>COUNTIFS('داده خام'!$C$2:$C$10131,"تلویزیون",'داده خام'!$O$2:$O$10131,N$59)</f>
        <v/>
      </c>
      <c r="O64" s="164">
        <f>COUNTIFS('داده خام'!$C$2:$C$10131,"تلویزیون",'داده خام'!$O$2:$O$10131,O$59)</f>
        <v/>
      </c>
      <c r="P64" s="164">
        <f>COUNTIFS('داده خام'!$C$2:$C$10131,"تلویزیون",'داده خام'!$O$2:$O$10131,P$59)</f>
        <v/>
      </c>
      <c r="Q64" s="164">
        <f>COUNTIFS('داده خام'!$C$2:$C$10131,"تلویزیون",'داده خام'!$O$2:$O$10131,Q$59)</f>
        <v/>
      </c>
      <c r="R64" s="164">
        <f>COUNTIFS('داده خام'!$C$2:$C$10131,"تلویزیون",'داده خام'!$O$2:$O$10131,R$59)</f>
        <v/>
      </c>
      <c r="S64" s="164">
        <f>COUNTIFS('داده خام'!$C$2:$C$10131,"تلویزیون",'داده خام'!$O$2:$O$10131,S$59)</f>
        <v/>
      </c>
      <c r="T64" s="164">
        <f>COUNTIFS('داده خام'!$C$2:$C$10131,"تلویزیون",'داده خام'!$O$2:$O$10131,T$59)</f>
        <v/>
      </c>
      <c r="U64" s="164">
        <f>COUNTIFS('داده خام'!$C$2:$C$10131,"تلویزیون",'داده خام'!$O$2:$O$10131,U$59)</f>
        <v/>
      </c>
      <c r="V64" s="164">
        <f>COUNTIFS('داده خام'!$C$2:$C$10131,"تلویزیون",'داده خام'!$O$2:$O$10131,V$59)</f>
        <v/>
      </c>
      <c r="W64" s="164">
        <f>COUNTIFS('داده خام'!$C$2:$C$10131,"تلویزیون",'داده خام'!$O$2:$O$10131,W$59)</f>
        <v/>
      </c>
      <c r="X64" s="164">
        <f>COUNTIFS('داده خام'!$C$2:$C$10131,"تلویزیون",'داده خام'!$O$2:$O$10131,X$59)</f>
        <v/>
      </c>
      <c r="Y64" s="164">
        <f>COUNTIFS('داده خام'!$C$2:$C$10131,"تلویزیون",'داده خام'!$O$2:$O$10131,Y$59)</f>
        <v/>
      </c>
      <c r="Z64" s="164">
        <f>COUNTIFS('داده خام'!$C$2:$C$10131,"تلویزیون",'داده خام'!$O$2:$O$10131,Z$59)</f>
        <v/>
      </c>
      <c r="AA64" s="164">
        <f>COUNTIFS('داده خام'!$C$2:$C$10131,"تلویزیون",'داده خام'!$O$2:$O$10131,AA$59)</f>
        <v/>
      </c>
      <c r="AB64" s="164">
        <f>COUNTIFS('داده خام'!$C$2:$C$10131,"تلویزیون",'داده خام'!$O$2:$O$10131,AB$59)</f>
        <v/>
      </c>
      <c r="AC64" s="164">
        <f>COUNTIFS('داده خام'!$C$2:$C$10131,"تلویزیون",'داده خام'!$O$2:$O$10131,AC$59)</f>
        <v/>
      </c>
      <c r="AD64" s="164">
        <f>COUNTIFS('داده خام'!$C$2:$C$10131,"تلویزیون",'داده خام'!$O$2:$O$10131,AD$59)</f>
        <v/>
      </c>
      <c r="AE64" s="164">
        <f>COUNTIFS('داده خام'!$C$2:$C$10131,"تلویزیون",'داده خام'!$O$2:$O$10131,AE$59)</f>
        <v/>
      </c>
    </row>
    <row r="67" ht="33.75" customHeight="1" s="151">
      <c r="A67" s="157" t="inlineStr">
        <is>
          <t>میانگین مدت مصرف تا خرابی (ماه) — به تفکیک دستگاه</t>
        </is>
      </c>
    </row>
    <row r="68" ht="18" customHeight="1" s="151">
      <c r="A68" s="120" t="inlineStr">
        <is>
          <t>نوع دستگاه</t>
        </is>
      </c>
      <c r="B68" s="120" t="inlineStr">
        <is>
          <t>میانگین ماه</t>
        </is>
      </c>
    </row>
    <row r="69" ht="18" customHeight="1" s="151">
      <c r="A69" s="154" t="inlineStr">
        <is>
          <t>ماشین ظرفشویی</t>
        </is>
      </c>
      <c r="B69" s="155">
        <f>IFERROR(ROUND(AVERAGEIFS('داده خام'!$N$2:$N$1093,'داده خام'!$C$2:$C$1093,"ماشين ظرفشويي"),1),"-")</f>
        <v/>
      </c>
    </row>
    <row r="70" ht="18" customHeight="1" s="151">
      <c r="A70" s="154" t="inlineStr">
        <is>
          <t>ماشین لباسشویی</t>
        </is>
      </c>
      <c r="B70" s="155">
        <f>IFERROR(ROUND(AVERAGEIFS('داده خام'!$N$2:$N$1093,'داده خام'!$C$2:$C$1093,"ماشين لباسشويي"),1),"-")</f>
        <v/>
      </c>
    </row>
    <row r="71" ht="18" customHeight="1" s="151">
      <c r="A71" s="154" t="inlineStr">
        <is>
          <t>یخچال ساید‌بای‌ساید</t>
        </is>
      </c>
      <c r="B71" s="155">
        <f>IFERROR(ROUND(AVERAGEIFS('داده خام'!$N$2:$N$1093,'داده خام'!$C$2:$C$1093,"یخچال ساید‌بای‌ساید"),1),"-")</f>
        <v/>
      </c>
    </row>
    <row r="72" ht="18" customHeight="1" s="151">
      <c r="A72" s="154" t="inlineStr">
        <is>
          <t>یخچال مینی</t>
        </is>
      </c>
      <c r="B72" s="155">
        <f>IFERROR(ROUND(AVERAGEIFS('داده خام'!$N$2:$N$1093,'داده خام'!$C$2:$C$1093,"يخچال ميني"),1),"-")</f>
        <v/>
      </c>
    </row>
    <row r="73" ht="18" customHeight="1" s="151">
      <c r="A73" s="154" t="inlineStr">
        <is>
          <t>تلویزیون</t>
        </is>
      </c>
      <c r="B73" s="155">
        <f>IFERROR(ROUND(AVERAGEIFS('داده خام'!$N$2:$N$1093,'داده خام'!$C$2:$C$1093,"تلویزیون"),1),"-")</f>
        <v/>
      </c>
    </row>
    <row r="74" ht="18" customHeight="1" s="151">
      <c r="A74" s="165" t="n"/>
      <c r="B74" s="166" t="n"/>
      <c r="H74" s="165" t="n"/>
      <c r="I74" s="166" t="n"/>
    </row>
    <row r="75" ht="18" customHeight="1" s="151">
      <c r="A75" s="157" t="inlineStr">
        <is>
          <t>میانگین مدت مصرف تا خرابی (ماه) — به تفکیک قطعه تعویضی</t>
        </is>
      </c>
      <c r="H75" s="165" t="n"/>
      <c r="I75" s="166" t="n"/>
    </row>
    <row r="76" ht="18" customHeight="1" s="151">
      <c r="A76" s="120" t="inlineStr">
        <is>
          <t>قطعه</t>
        </is>
      </c>
      <c r="B76" s="120" t="inlineStr">
        <is>
          <t>میانگین ماه</t>
        </is>
      </c>
      <c r="C76" s="120" t="inlineStr">
        <is>
          <t>تعداد</t>
        </is>
      </c>
      <c r="H76" s="165" t="n"/>
      <c r="I76" s="166" t="n"/>
    </row>
    <row r="77" ht="18" customHeight="1" s="151">
      <c r="A77" s="154" t="inlineStr">
        <is>
          <t>رگلاژ پایه تنظیم لباسشویی</t>
        </is>
      </c>
      <c r="B77" s="155">
        <f>IFERROR(ROUND(AVERAGEIFS('داده خام'!$N$2:$N$1093,'داده خام'!$P$2:$P$1093,A77),1),"-")</f>
        <v/>
      </c>
      <c r="C77" s="155">
        <f>COUNTIF('داده خام'!$P$2:$P$1093,A77)</f>
        <v/>
      </c>
      <c r="H77" s="165" t="n"/>
      <c r="I77" s="166" t="n"/>
    </row>
    <row r="78" ht="18" customHeight="1" s="151">
      <c r="A78" s="154" t="inlineStr">
        <is>
          <t>میکروسوئیچ 16 نفره</t>
        </is>
      </c>
      <c r="B78" s="155">
        <f>IFERROR(ROUND(AVERAGEIFS('داده خام'!$N$2:$N$1093,'داده خام'!$P$2:$P$1093,A78),1),"-")</f>
        <v/>
      </c>
      <c r="C78" s="155">
        <f>COUNTIF('داده خام'!$P$2:$P$1093,A78)</f>
        <v/>
      </c>
      <c r="H78" s="165" t="n"/>
      <c r="I78" s="166" t="n"/>
    </row>
    <row r="79" ht="18" customHeight="1" s="151">
      <c r="A79" s="154" t="inlineStr">
        <is>
          <t>نشتی پمپ ظرفشویی</t>
        </is>
      </c>
      <c r="B79" s="155">
        <f>IFERROR(ROUND(AVERAGEIFS('داده خام'!$N$2:$N$1093,'داده خام'!$P$2:$P$1093,A79),1),"-")</f>
        <v/>
      </c>
      <c r="C79" s="155">
        <f>COUNTIF('داده خام'!$P$2:$P$1093,A79)</f>
        <v/>
      </c>
      <c r="H79" s="165" t="n"/>
      <c r="I79" s="166" t="n"/>
    </row>
    <row r="80" ht="18" customHeight="1" s="151">
      <c r="A80" s="154" t="inlineStr">
        <is>
          <t>برد لباسشویی</t>
        </is>
      </c>
      <c r="B80" s="155">
        <f>IFERROR(ROUND(AVERAGEIFS('داده خام'!$N$2:$N$1093,'داده خام'!$P$2:$P$1093,A80),1),"-")</f>
        <v/>
      </c>
      <c r="C80" s="155">
        <f>COUNTIF('داده خام'!$P$2:$P$1093,A80)</f>
        <v/>
      </c>
      <c r="H80" s="165" t="n"/>
      <c r="I80" s="166" t="n"/>
    </row>
    <row r="81" ht="18" customHeight="1" s="151">
      <c r="A81" s="154" t="inlineStr">
        <is>
          <t>برد ساید بای ساید</t>
        </is>
      </c>
      <c r="B81" s="155">
        <f>IFERROR(ROUND(AVERAGEIFS('داده خام'!$N$2:$N$1093,'داده خام'!$P$2:$P$1093,A81),1),"-")</f>
        <v/>
      </c>
      <c r="C81" s="155">
        <f>COUNTIF('داده خام'!$P$2:$P$1093,A81)</f>
        <v/>
      </c>
      <c r="H81" s="165" t="n"/>
      <c r="I81" s="166" t="n"/>
    </row>
    <row r="82" ht="18" customHeight="1" s="151">
      <c r="A82" s="154" t="inlineStr">
        <is>
          <t>پمپ تخلیه ظرفشویی</t>
        </is>
      </c>
      <c r="B82" s="155">
        <f>IFERROR(ROUND(AVERAGEIFS('داده خام'!$N$2:$N$1093,'داده خام'!$P$2:$P$1093,A82),1),"-")</f>
        <v/>
      </c>
      <c r="C82" s="155">
        <f>COUNTIF('داده خام'!$P$2:$P$1093,A82)</f>
        <v/>
      </c>
      <c r="H82" s="165" t="n"/>
      <c r="I82" s="166" t="n"/>
    </row>
    <row r="83" ht="18" customHeight="1" s="151">
      <c r="A83" s="154" t="inlineStr">
        <is>
          <t>لامپ مینی</t>
        </is>
      </c>
      <c r="B83" s="155">
        <f>IFERROR(ROUND(AVERAGEIFS('داده خام'!$N$2:$N$1093,'داده خام'!$P$2:$P$1093,A83),1),"-")</f>
        <v/>
      </c>
      <c r="C83" s="155">
        <f>COUNTIF('داده خام'!$P$2:$P$1093,A83)</f>
        <v/>
      </c>
      <c r="H83" s="165" t="n"/>
      <c r="I83" s="166" t="n"/>
    </row>
    <row r="84" ht="18" customHeight="1" s="151">
      <c r="A84" s="154" t="inlineStr">
        <is>
          <t>میکروسوئیچ 15 نفره</t>
        </is>
      </c>
      <c r="B84" s="155">
        <f>IFERROR(ROUND(AVERAGEIFS('داده خام'!$N$2:$N$1093,'داده خام'!$P$2:$P$1093,A84),1),"-")</f>
        <v/>
      </c>
      <c r="C84" s="155">
        <f>COUNTIF('داده خام'!$P$2:$P$1093,A84)</f>
        <v/>
      </c>
      <c r="H84" s="165" t="n"/>
      <c r="I84" s="166" t="n"/>
    </row>
    <row r="85" ht="18" customHeight="1" s="151">
      <c r="A85" s="154" t="inlineStr">
        <is>
          <t>شیر برقی لباسشویی</t>
        </is>
      </c>
      <c r="B85" s="155">
        <f>IFERROR(ROUND(AVERAGEIFS('داده خام'!$N$2:$N$1093,'داده خام'!$P$2:$P$1093,A85),1),"-")</f>
        <v/>
      </c>
      <c r="C85" s="155">
        <f>COUNTIF('داده خام'!$P$2:$P$1093,A85)</f>
        <v/>
      </c>
      <c r="H85" s="165" t="n"/>
      <c r="I85" s="166" t="n"/>
    </row>
    <row r="86" ht="18" customHeight="1" s="151">
      <c r="A86" s="154" t="inlineStr">
        <is>
          <t>برد تلویزیون</t>
        </is>
      </c>
      <c r="B86" s="155">
        <f>IFERROR(ROUND(AVERAGEIFS('داده خام'!$N$2:$N$1093,'داده خام'!$P$2:$P$1093,A86),1),"-")</f>
        <v/>
      </c>
      <c r="C86" s="155">
        <f>COUNTIF('داده خام'!$P$2:$P$1093,A86)</f>
        <v/>
      </c>
      <c r="H86" s="165" t="n"/>
      <c r="I86" s="166" t="n"/>
    </row>
    <row r="87" ht="18" customHeight="1" s="151">
      <c r="A87" s="154" t="inlineStr">
        <is>
          <t>برد ظرفشویی</t>
        </is>
      </c>
      <c r="B87" s="155">
        <f>IFERROR(ROUND(AVERAGEIFS('داده خام'!$N$2:$N$1093,'داده خام'!$P$2:$P$1093,A87),1),"-")</f>
        <v/>
      </c>
      <c r="C87" s="155">
        <f>COUNTIF('داده خام'!$P$2:$P$1093,A87)</f>
        <v/>
      </c>
      <c r="H87" s="165" t="n"/>
      <c r="I87" s="166" t="n"/>
    </row>
    <row r="88" ht="18" customHeight="1" s="151">
      <c r="A88" s="154" t="inlineStr">
        <is>
          <t>پمپ تخلیه لباسشویی</t>
        </is>
      </c>
      <c r="B88" s="155">
        <f>IFERROR(ROUND(AVERAGEIFS('داده خام'!$N$2:$N$1093,'داده خام'!$P$2:$P$1093,A88),1),"-")</f>
        <v/>
      </c>
      <c r="C88" s="155">
        <f>COUNTIF('داده خام'!$P$2:$P$1093,A88)</f>
        <v/>
      </c>
      <c r="H88" s="165" t="n"/>
      <c r="I88" s="166" t="n"/>
    </row>
    <row r="89" ht="18" customHeight="1" s="151">
      <c r="A89" s="154" t="inlineStr">
        <is>
          <t>شیر برقی ظرفشویی</t>
        </is>
      </c>
      <c r="B89" s="155">
        <f>IFERROR(ROUND(AVERAGEIFS('داده خام'!$N$2:$N$1093,'داده خام'!$P$2:$P$1093,A89),1),"-")</f>
        <v/>
      </c>
      <c r="C89" s="155">
        <f>COUNTIF('داده خام'!$P$2:$P$1093,A89)</f>
        <v/>
      </c>
      <c r="H89" s="165" t="n"/>
      <c r="I89" s="166" t="n"/>
    </row>
    <row r="90" ht="18" customHeight="1" s="151">
      <c r="A90" s="154" t="inlineStr">
        <is>
          <t>ترموستات مینی</t>
        </is>
      </c>
      <c r="B90" s="155">
        <f>IFERROR(ROUND(AVERAGEIFS('داده خام'!$N$2:$N$1093,'داده خام'!$P$2:$P$1093,A90),1),"-")</f>
        <v/>
      </c>
      <c r="C90" s="155">
        <f>COUNTIF('داده خام'!$P$2:$P$1093,A90)</f>
        <v/>
      </c>
      <c r="H90" s="165" t="n"/>
      <c r="I90" s="166" t="n"/>
    </row>
    <row r="91" ht="18" customHeight="1" s="151">
      <c r="A91" s="154" t="inlineStr">
        <is>
          <t>واترجت ظرفشویی</t>
        </is>
      </c>
      <c r="B91" s="155">
        <f>IFERROR(ROUND(AVERAGEIFS('داده خام'!$N$2:$N$1093,'داده خام'!$P$2:$P$1093,A91),1),"-")</f>
        <v/>
      </c>
      <c r="C91" s="155">
        <f>COUNTIF('داده خام'!$P$2:$P$1093,A91)</f>
        <v/>
      </c>
      <c r="H91" s="165" t="n"/>
      <c r="I91" s="166" t="n"/>
    </row>
    <row r="92" ht="18" customHeight="1" s="151">
      <c r="A92" s="154" t="inlineStr">
        <is>
          <t>بلبرینگ لباسشویی</t>
        </is>
      </c>
      <c r="B92" s="155">
        <f>IFERROR(ROUND(AVERAGEIFS('داده خام'!$N$2:$N$1093,'داده خام'!$P$2:$P$1093,A92),1),"-")</f>
        <v/>
      </c>
      <c r="C92" s="155">
        <f>COUNTIF('داده خام'!$P$2:$P$1093,A92)</f>
        <v/>
      </c>
      <c r="H92" s="165" t="n"/>
      <c r="I92" s="166" t="n"/>
    </row>
    <row r="93" ht="18" customHeight="1" s="151">
      <c r="A93" s="154" t="inlineStr">
        <is>
          <t>زبانه درب لباسشویی</t>
        </is>
      </c>
      <c r="B93" s="155">
        <f>IFERROR(ROUND(AVERAGEIFS('داده خام'!$N$2:$N$1093,'داده خام'!$P$2:$P$1093,A93),1),"-")</f>
        <v/>
      </c>
      <c r="C93" s="155">
        <f>COUNTIF('داده خام'!$P$2:$P$1093,A93)</f>
        <v/>
      </c>
      <c r="H93" s="165" t="n"/>
      <c r="I93" s="166" t="n"/>
    </row>
    <row r="94" ht="18" customHeight="1" s="151">
      <c r="A94" s="154" t="inlineStr">
        <is>
          <t>شیر برقی ساید بای ساید</t>
        </is>
      </c>
      <c r="B94" s="155">
        <f>IFERROR(ROUND(AVERAGEIFS('داده خام'!$N$2:$N$1093,'داده خام'!$P$2:$P$1093,A94),1),"-")</f>
        <v/>
      </c>
      <c r="C94" s="155">
        <f>COUNTIF('داده خام'!$P$2:$P$1093,A94)</f>
        <v/>
      </c>
      <c r="H94" s="165" t="n"/>
      <c r="I94" s="166" t="n"/>
    </row>
    <row r="95" ht="18" customHeight="1" s="151">
      <c r="A95" s="154" t="inlineStr">
        <is>
          <t>کمپرسور ساید بای ساید</t>
        </is>
      </c>
      <c r="B95" s="155">
        <f>IFERROR(ROUND(AVERAGEIFS('داده خام'!$N$2:$N$1093,'داده خام'!$P$2:$P$1093,A95),1),"-")</f>
        <v/>
      </c>
      <c r="C95" s="155">
        <f>COUNTIF('داده خام'!$P$2:$P$1093,A95)</f>
        <v/>
      </c>
      <c r="H95" s="165" t="n"/>
      <c r="I95" s="166" t="n"/>
    </row>
    <row r="96" ht="18" customHeight="1" s="151">
      <c r="A96" s="154" t="inlineStr">
        <is>
          <t>کمپرسور مینی</t>
        </is>
      </c>
      <c r="B96" s="155">
        <f>IFERROR(ROUND(AVERAGEIFS('داده خام'!$N$2:$N$1093,'داده خام'!$P$2:$P$1093,A96),1),"-")</f>
        <v/>
      </c>
      <c r="C96" s="155">
        <f>COUNTIF('داده خام'!$P$2:$P$1093,A96)</f>
        <v/>
      </c>
      <c r="H96" s="165" t="n"/>
      <c r="I96" s="166" t="n"/>
    </row>
    <row r="97" ht="18" customHeight="1" s="151">
      <c r="A97" s="154" t="inlineStr">
        <is>
          <t>خرابی موتور یخساز ساید</t>
        </is>
      </c>
      <c r="B97" s="155">
        <f>IFERROR(ROUND(AVERAGEIFS('داده خام'!$N$2:$N$1093,'داده خام'!$P$2:$P$1093,A97),1),"-")</f>
        <v/>
      </c>
      <c r="C97" s="155">
        <f>COUNTIF('داده خام'!$P$2:$P$1093,A97)</f>
        <v/>
      </c>
      <c r="H97" s="165" t="n"/>
      <c r="I97" s="166" t="n"/>
    </row>
    <row r="98" ht="18" customHeight="1" s="151">
      <c r="A98" s="154" t="inlineStr">
        <is>
          <t>ترموستات ساید بای ساید</t>
        </is>
      </c>
      <c r="B98" s="155">
        <f>IFERROR(ROUND(AVERAGEIFS('داده خام'!$N$2:$N$1093,'داده خام'!$P$2:$P$1093,A98),1),"-")</f>
        <v/>
      </c>
      <c r="C98" s="155">
        <f>COUNTIF('داده خام'!$P$2:$P$1093,A98)</f>
        <v/>
      </c>
      <c r="H98" s="165" t="n"/>
      <c r="I98" s="166" t="n"/>
    </row>
    <row r="99" ht="18" customHeight="1" s="151">
      <c r="A99" s="154" t="inlineStr">
        <is>
          <t>موتور لباسشویی</t>
        </is>
      </c>
      <c r="B99" s="155">
        <f>IFERROR(ROUND(AVERAGEIFS('داده خام'!$N$2:$N$1093,'داده خام'!$P$2:$P$1093,A99),1),"-")</f>
        <v/>
      </c>
      <c r="C99" s="155">
        <f>COUNTIF('داده خام'!$P$2:$P$1093,A99)</f>
        <v/>
      </c>
      <c r="H99" s="165" t="n"/>
      <c r="I99" s="166" t="n"/>
    </row>
    <row r="100" ht="18" customHeight="1" s="151">
      <c r="A100" s="154" t="inlineStr">
        <is>
          <t>میکروسوئیچ لباسشویی</t>
        </is>
      </c>
      <c r="B100" s="155">
        <f>IFERROR(ROUND(AVERAGEIFS('داده خام'!$N$2:$N$1093,'داده خام'!$P$2:$P$1093,A100),1),"-")</f>
        <v/>
      </c>
      <c r="C100" s="155">
        <f>COUNTIF('داده خام'!$P$2:$P$1093,A100)</f>
        <v/>
      </c>
      <c r="H100" s="165" t="n"/>
      <c r="I100" s="166" t="n"/>
    </row>
    <row r="101" ht="18" customHeight="1" s="151">
      <c r="A101" s="154" t="inlineStr">
        <is>
          <t>هیدروستات ظرفشویی</t>
        </is>
      </c>
      <c r="B101" s="155">
        <f>IFERROR(ROUND(AVERAGEIFS('داده خام'!$N$2:$N$1093,'داده خام'!$P$2:$P$1093,A101),1),"-")</f>
        <v/>
      </c>
      <c r="C101" s="155">
        <f>COUNTIF('داده خام'!$P$2:$P$1093,A101)</f>
        <v/>
      </c>
      <c r="H101" s="165" t="n"/>
      <c r="I101" s="166" t="n"/>
    </row>
    <row r="102" ht="18" customHeight="1" s="151">
      <c r="A102" s="154" t="n"/>
      <c r="B102" s="155" t="n"/>
      <c r="C102" s="155" t="n"/>
      <c r="H102" s="165" t="n"/>
      <c r="I102" s="166" t="n"/>
    </row>
    <row r="103" ht="18" customHeight="1" s="151">
      <c r="A103" s="154" t="n"/>
      <c r="B103" s="155" t="n"/>
      <c r="C103" s="155" t="n"/>
      <c r="H103" s="165" t="n"/>
      <c r="I103" s="166" t="n"/>
    </row>
    <row r="104" ht="18" customHeight="1" s="151">
      <c r="A104" s="154" t="n"/>
      <c r="B104" s="155" t="n"/>
      <c r="C104" s="155" t="n"/>
      <c r="H104" s="165" t="n"/>
      <c r="I104" s="166" t="n"/>
    </row>
    <row r="105" ht="18" customHeight="1" s="151">
      <c r="A105" s="154" t="n"/>
      <c r="B105" s="155" t="n"/>
      <c r="C105" s="155" t="n"/>
      <c r="H105" s="165" t="n"/>
      <c r="I105" s="166" t="n"/>
    </row>
    <row r="106" ht="18" customHeight="1" s="151">
      <c r="A106" s="154" t="n"/>
      <c r="B106" s="155" t="n"/>
      <c r="C106" s="155" t="n"/>
      <c r="H106" s="165" t="n"/>
      <c r="I106" s="166" t="n"/>
    </row>
    <row r="107" ht="18" customHeight="1" s="151">
      <c r="A107" s="154" t="n"/>
      <c r="B107" s="155" t="n"/>
      <c r="C107" s="155" t="n"/>
      <c r="H107" s="165" t="n"/>
      <c r="I107" s="166" t="n"/>
    </row>
    <row r="108" ht="18" customHeight="1" s="151">
      <c r="A108" s="154" t="n"/>
      <c r="B108" s="155" t="n"/>
      <c r="C108" s="155" t="n"/>
      <c r="H108" s="165" t="n"/>
      <c r="I108" s="166" t="n"/>
    </row>
    <row r="109" ht="18" customHeight="1" s="151">
      <c r="A109" s="154" t="n"/>
      <c r="B109" s="155" t="n"/>
      <c r="C109" s="155" t="n"/>
      <c r="H109" s="165" t="n"/>
      <c r="I109" s="166" t="n"/>
    </row>
    <row r="110" ht="18" customHeight="1" s="151">
      <c r="A110" s="154" t="n"/>
      <c r="B110" s="155" t="n"/>
      <c r="C110" s="155" t="n"/>
      <c r="H110" s="165" t="n"/>
      <c r="I110" s="166" t="n"/>
    </row>
    <row r="111" ht="18" customHeight="1" s="151">
      <c r="A111" s="154" t="n"/>
      <c r="B111" s="155" t="n"/>
      <c r="C111" s="155" t="n"/>
      <c r="H111" s="165" t="n"/>
      <c r="I111" s="166" t="n"/>
    </row>
    <row r="113" ht="19.5" customHeight="1" s="151">
      <c r="A113" s="153" t="inlineStr">
        <is>
          <t>توزیع مدت مصرف تا خرابی (هیستوگرام)</t>
        </is>
      </c>
    </row>
    <row r="114" ht="18" customHeight="1" s="151">
      <c r="A114" s="120" t="inlineStr">
        <is>
          <t>بازه (ماه)</t>
        </is>
      </c>
      <c r="B114" s="120" t="inlineStr">
        <is>
          <t>تعداد</t>
        </is>
      </c>
    </row>
    <row r="115" ht="18" customHeight="1" s="151">
      <c r="A115" s="154" t="inlineStr">
        <is>
          <t>۰-۳ (زودهنگام)</t>
        </is>
      </c>
      <c r="B115" s="155">
        <f>COUNTIFS('داده خام'!$N$2:$N$1093,"&gt;="&amp;0,'داده خام'!$N$2:$N$1093,"&lt;="&amp;3)</f>
        <v/>
      </c>
    </row>
    <row r="116" ht="18" customHeight="1" s="151">
      <c r="A116" s="154" t="inlineStr">
        <is>
          <t>۴-۶</t>
        </is>
      </c>
      <c r="B116" s="155">
        <f>COUNTIFS('داده خام'!$N$2:$N$1093,"&gt;="&amp;4,'داده خام'!$N$2:$N$1093,"&lt;="&amp;6)</f>
        <v/>
      </c>
    </row>
    <row r="117" ht="18" customHeight="1" s="151">
      <c r="A117" s="154" t="inlineStr">
        <is>
          <t>۷-۹</t>
        </is>
      </c>
      <c r="B117" s="155">
        <f>COUNTIFS('داده خام'!$N$2:$N$1093,"&gt;="&amp;7,'داده خام'!$N$2:$N$1093,"&lt;="&amp;9)</f>
        <v/>
      </c>
    </row>
    <row r="118" ht="18" customHeight="1" s="151">
      <c r="A118" s="154" t="inlineStr">
        <is>
          <t>۱۰-۱۲</t>
        </is>
      </c>
      <c r="B118" s="155">
        <f>COUNTIFS('داده خام'!$N$2:$N$1093,"&gt;="&amp;10,'داده خام'!$N$2:$N$1093,"&lt;="&amp;12)</f>
        <v/>
      </c>
    </row>
    <row r="119" ht="18" customHeight="1" s="151">
      <c r="A119" s="154" t="inlineStr">
        <is>
          <t>۱۳+ (دیرهنگام)</t>
        </is>
      </c>
      <c r="B119" s="155">
        <f>COUNTIFS('داده خام'!$N$2:$N$1093,"&gt;="&amp;13,'داده خام'!$N$2:$N$1093,"&lt;="&amp;999)</f>
        <v/>
      </c>
    </row>
    <row r="124" ht="19.5" customHeight="1" s="151">
      <c r="A124" s="153" t="inlineStr">
        <is>
          <t>پرتکرارترین مدل‌ها</t>
        </is>
      </c>
    </row>
    <row r="125" ht="18" customHeight="1" s="151">
      <c r="A125" s="120" t="inlineStr">
        <is>
          <t>مدل</t>
        </is>
      </c>
      <c r="B125" s="120" t="inlineStr">
        <is>
          <t>تعداد</t>
        </is>
      </c>
    </row>
    <row r="126" ht="18" customHeight="1" s="151">
      <c r="A126" s="154" t="inlineStr">
        <is>
          <t>CDW-H16T</t>
        </is>
      </c>
      <c r="B126" s="155">
        <f>COUNTIF('داده خام'!$D$2:$D$1093,"CDW-H16T")</f>
        <v/>
      </c>
    </row>
    <row r="127" ht="18" customHeight="1" s="151">
      <c r="A127" s="154" t="inlineStr">
        <is>
          <t>C2S-29HS1</t>
        </is>
      </c>
      <c r="B127" s="155">
        <f>COUNTIF('داده خام'!$D$2:$D$1093,"C2S-29HS1")</f>
        <v/>
      </c>
    </row>
    <row r="128" ht="18" customHeight="1" s="151">
      <c r="A128" s="154" t="inlineStr">
        <is>
          <t>CWM-BMW9T1</t>
        </is>
      </c>
      <c r="B128" s="155">
        <f>COUNTIF('داده خام'!$D$2:$D$1093,A128)</f>
        <v/>
      </c>
    </row>
    <row r="129" ht="18" customHeight="1" s="151">
      <c r="A129" s="154" t="inlineStr">
        <is>
          <t>CDW-H15V</t>
        </is>
      </c>
      <c r="B129" s="155">
        <f>COUNTIF('داده خام'!$D$2:$D$1093,"CDW-H15V")</f>
        <v/>
      </c>
    </row>
    <row r="130" ht="18" customHeight="1" s="151">
      <c r="A130" s="154" t="inlineStr">
        <is>
          <t>CWM-BMW8T1</t>
        </is>
      </c>
      <c r="B130" s="155">
        <f>COUNTIF('داده خام'!$D$2:$D$1093,A130)</f>
        <v/>
      </c>
    </row>
    <row r="131" ht="18" customHeight="1" s="151">
      <c r="A131" s="154" t="inlineStr">
        <is>
          <t>CWM-BMW8T2</t>
        </is>
      </c>
      <c r="B131" s="155">
        <f>COUNTIF('داده خام'!$D$2:$D$1093,A131)</f>
        <v/>
      </c>
    </row>
    <row r="132" ht="18" customHeight="1" s="151">
      <c r="A132" s="154" t="inlineStr">
        <is>
          <t>MINI</t>
        </is>
      </c>
      <c r="B132" s="155" t="n">
        <v>14</v>
      </c>
    </row>
    <row r="133" ht="18" customHeight="1" s="151">
      <c r="A133" s="154" t="inlineStr">
        <is>
          <t>CWM-BMW8V1</t>
        </is>
      </c>
      <c r="B133" s="155">
        <f>COUNTIF('داده خام'!$D$2:$D$1093,A133)</f>
        <v/>
      </c>
    </row>
    <row r="134" ht="18" customHeight="1" s="151">
      <c r="A134" s="154" t="inlineStr">
        <is>
          <t>CDW-H13V</t>
        </is>
      </c>
      <c r="B134" s="155">
        <f>COUNTIF('داده خام'!$D$2:$D$1093,"CDW-H13V")</f>
        <v/>
      </c>
    </row>
    <row r="135" ht="18" customHeight="1" s="151">
      <c r="A135" s="154" t="inlineStr">
        <is>
          <t>CWM-BMW9T2</t>
        </is>
      </c>
      <c r="B135" s="155">
        <f>COUNTIF('داده خام'!$D$2:$D$1093,A135)</f>
        <v/>
      </c>
    </row>
    <row r="138" ht="19.5" customHeight="1" s="151">
      <c r="A138" s="153" t="inlineStr">
        <is>
          <t>تحلیل هزینه گارانتی (تقریبی)</t>
        </is>
      </c>
    </row>
    <row r="139" ht="47.25" customHeight="1" s="151">
      <c r="A139" s="120" t="inlineStr">
        <is>
          <t>کل هزینه قطعات (تومان)</t>
        </is>
      </c>
      <c r="B139" s="120" t="inlineStr">
        <is>
          <t>کل هزینه اجرت+ایاب‌وذهاب (تومان)</t>
        </is>
      </c>
      <c r="C139" s="120" t="inlineStr">
        <is>
          <t>کل هزینه گارانتی (تومان)</t>
        </is>
      </c>
      <c r="D139" s="120" t="inlineStr">
        <is>
          <t>هزینه ضرر تکرار (مراجعه دوم به بعد)</t>
        </is>
      </c>
      <c r="E139" s="120" t="inlineStr">
        <is>
          <t>میانگین هزینه هر مراجعه (تومان)</t>
        </is>
      </c>
    </row>
    <row r="140" ht="18" customHeight="1" s="151">
      <c r="A140" s="167">
        <f>SUM('داده خام'!R2:R716)</f>
        <v/>
      </c>
      <c r="B140" s="167">
        <f>SUM('داده خام'!S2:S716)</f>
        <v/>
      </c>
      <c r="C140" s="167">
        <f>SUM('داده خام'!T2:T716)</f>
        <v/>
      </c>
      <c r="D140" s="167">
        <f>SUM('داده خام'!V2:V716)</f>
        <v/>
      </c>
      <c r="E140" s="168">
        <f>ROUND(AVERAGE('داده خام'!$T$2:$T$337),0)</f>
        <v/>
      </c>
    </row>
    <row r="143" ht="19.5" customHeight="1" s="151">
      <c r="A143" s="153" t="inlineStr">
        <is>
          <t>هزینه کل به تفکیک دسته دقیق علت خرابی</t>
        </is>
      </c>
    </row>
    <row r="144" ht="18" customHeight="1" s="151">
      <c r="A144" s="120" t="inlineStr">
        <is>
          <t>دسته دقیق علت خرابی</t>
        </is>
      </c>
      <c r="B144" s="120" t="inlineStr">
        <is>
          <t>تعداد</t>
        </is>
      </c>
      <c r="C144" s="120" t="inlineStr">
        <is>
          <t>هزینه کل (تومان)</t>
        </is>
      </c>
      <c r="D144" s="120" t="inlineStr">
        <is>
          <t>سهم از کل هزینه</t>
        </is>
      </c>
    </row>
    <row r="145" ht="18" customHeight="1" s="151">
      <c r="A145" s="158" t="inlineStr">
        <is>
          <t>نشتی - پمپ تخلیه (تعمیر/آب‌بندی)</t>
        </is>
      </c>
      <c r="B145" s="169">
        <f>COUNTIF('داده خام'!$O$2:$O$100000,A145)</f>
        <v/>
      </c>
      <c r="C145" s="170">
        <f>SUMIF('داده خام'!$O$2:$O$18131,"نشتی - پمپ تخلیه (تعمیر/آب‌بندی)",'داده خام'!$T$2:$T$18138)</f>
        <v/>
      </c>
      <c r="D145" s="164">
        <f>IFERROR(ROUND(C145/C$140*100,1)&amp;"%","0%")</f>
        <v/>
      </c>
    </row>
    <row r="146" ht="18" customHeight="1" s="151">
      <c r="A146" s="158" t="inlineStr">
        <is>
          <t>خرابی - پمپ تخلیه (تعویض)</t>
        </is>
      </c>
      <c r="B146" s="169">
        <f>COUNTIF('داده خام'!$O$2:$O$100000,A146)</f>
        <v/>
      </c>
      <c r="C146" s="170">
        <f>SUMIF('داده خام'!$O$2:$O$18131,"خرابی - پمپ تخلیه (تعویض)",'داده خام'!$T$2:$T$18138)</f>
        <v/>
      </c>
      <c r="D146" s="164">
        <f>IFERROR(ROUND(C146/C$140*100,1)&amp;"%","0%")</f>
        <v/>
      </c>
    </row>
    <row r="147" ht="18" customHeight="1" s="151">
      <c r="A147" s="158" t="inlineStr">
        <is>
          <t>تراز/لرزش - نصب (رگلاژ پایه)</t>
        </is>
      </c>
      <c r="B147" s="169">
        <f>COUNTIF('داده خام'!$O$2:$O$100000,A147)</f>
        <v/>
      </c>
      <c r="C147" s="170">
        <f>SUMIF('داده خام'!$O$2:$O$18131,"تراز/لرزش - نصب (رگلاژ پایه)",'داده خام'!$T$2:$T$18138)</f>
        <v/>
      </c>
      <c r="D147" s="164">
        <f>IFERROR(ROUND(C147/C$140*100,1)&amp;"%","0%")</f>
        <v/>
      </c>
    </row>
    <row r="148" ht="18" customHeight="1" s="151">
      <c r="A148" s="158" t="inlineStr">
        <is>
          <t>مکانیزم درب - میکروسوئیچ/قلاب (تعویض/تنظیم)</t>
        </is>
      </c>
      <c r="B148" s="169">
        <f>COUNTIF('داده خام'!$O$2:$O$100000,A148)</f>
        <v/>
      </c>
      <c r="C148" s="170">
        <f>SUMIF('داده خام'!$O$2:$O$18131,"مکانیزم درب - میکروسوئیچ/قلاب (تعویض/تنظیم)",'داده خام'!$T$2:$T$18138)</f>
        <v/>
      </c>
      <c r="D148" s="164">
        <f>IFERROR(ROUND(C148/C$140*100,1)&amp;"%","0%")</f>
        <v/>
      </c>
    </row>
    <row r="149" ht="18" customHeight="1" s="151">
      <c r="A149" s="158" t="inlineStr">
        <is>
          <t>مکانیزم درب - زبانه (تعویض)</t>
        </is>
      </c>
      <c r="B149" s="169">
        <f>COUNTIF('داده خام'!$O$2:$O$100000,A149)</f>
        <v/>
      </c>
      <c r="C149" s="170">
        <f>SUMIF('داده خام'!$O$2:$O$18131,"مکانیزم درب - زبانه (تعویض)",'داده خام'!$T$2:$T$18138)</f>
        <v/>
      </c>
      <c r="D149" s="164">
        <f>IFERROR(ROUND(C149/C$140*100,1)&amp;"%","0%")</f>
        <v/>
      </c>
    </row>
    <row r="150" ht="18" customHeight="1" s="151">
      <c r="A150" s="158" t="inlineStr">
        <is>
          <t>مکانیزم درب - لولا (تعویض/تعمیر)</t>
        </is>
      </c>
      <c r="B150" s="169">
        <f>COUNTIF('داده خام'!$O$2:$O$100000,A150)</f>
        <v/>
      </c>
      <c r="C150" s="170">
        <f>SUMIF('داده خام'!$O$2:$O$18131,"مکانیزم درب - لولا (تعویض/تعمیر)",'داده خام'!$T$2:$T$18138)</f>
        <v/>
      </c>
      <c r="D150" s="164">
        <f>IFERROR(ROUND(C150/C$140*100,1)&amp;"%","0%")</f>
        <v/>
      </c>
    </row>
    <row r="151" ht="18" customHeight="1" s="151">
      <c r="A151" s="158" t="inlineStr">
        <is>
          <t>برد الکترونیک/دیسپلی (تعویض/تنظیم)</t>
        </is>
      </c>
      <c r="B151" s="169">
        <f>COUNTIF('داده خام'!$O$2:$O$100000,A151)</f>
        <v/>
      </c>
      <c r="C151" s="170">
        <f>SUMIF('داده خام'!$O$2:$O$18131,"برد الکترونیک/دیسپلی (تعویض/تنظیم)",'داده خام'!$T$2:$T$18138)</f>
        <v/>
      </c>
      <c r="D151" s="164">
        <f>IFERROR(ROUND(C151/C$140*100,1)&amp;"%","0%")</f>
        <v/>
      </c>
    </row>
    <row r="152" ht="18" customHeight="1" s="151">
      <c r="A152" s="158" t="inlineStr">
        <is>
          <t>یخساز - خرابی موتور/سنسور/برد (تعویض)</t>
        </is>
      </c>
      <c r="B152" s="169">
        <f>COUNTIF('داده خام'!$O$2:$O$100000,A152)</f>
        <v/>
      </c>
      <c r="C152" s="168">
        <f>SUMIF('داده خام'!$O$2:$O$318,"یخساز - خرابی موتور/سنسور/برد (تعویض)",'داده خام'!$T$2:$T$337)</f>
        <v/>
      </c>
      <c r="D152" s="164">
        <f>IFERROR(ROUND(C152/C$140*100,1)&amp;"%","0%")</f>
        <v/>
      </c>
    </row>
    <row r="153" ht="18" customHeight="1" s="151">
      <c r="A153" s="158" t="inlineStr">
        <is>
          <t>یخساز - تنظیم/عایق (تعمیر)</t>
        </is>
      </c>
      <c r="B153" s="169">
        <f>COUNTIF('داده خام'!$O$2:$O$100000,A153)</f>
        <v/>
      </c>
      <c r="C153" s="168">
        <f>SUMIF('داده خام'!$O$2:$O$318,"یخساز - تنظیم/عایق (تعمیر)",'داده خام'!$T$2:$T$337)</f>
        <v/>
      </c>
      <c r="D153" s="164">
        <f>IFERROR(ROUND(C153/C$140*100,1)&amp;"%","0%")</f>
        <v/>
      </c>
    </row>
    <row r="154" ht="18" customHeight="1" s="151">
      <c r="A154" s="158" t="inlineStr">
        <is>
          <t>نشتی - شیلنگ (تعمیر/آب‌بندی)</t>
        </is>
      </c>
      <c r="B154" s="169">
        <f>COUNTIF('داده خام'!$O$2:$O$100000,A154)</f>
        <v/>
      </c>
      <c r="C154" s="168">
        <f>SUMIF('داده خام'!$O$2:$O$318,"نشتی - شیلنگ (تعمیر/آب‌بندی)",'داده خام'!$T$2:$T$337)</f>
        <v/>
      </c>
      <c r="D154" s="164">
        <f>IFERROR(ROUND(C154/C$140*100,1)&amp;"%","0%")</f>
        <v/>
      </c>
    </row>
    <row r="155" ht="18" customHeight="1" s="151">
      <c r="A155" s="158" t="inlineStr">
        <is>
          <t>شیلنگ یخساز - یخ‌زدگی (بازبینی)</t>
        </is>
      </c>
      <c r="B155" s="169">
        <f>COUNTIF('داده خام'!$O$2:$O$100000,A155)</f>
        <v/>
      </c>
      <c r="C155" s="168">
        <f>SUMIF('داده خام'!$O$2:$O$318,"شیلنگ یخساز - یخ‌زدگی (بازبینی)",'داده خام'!$T$2:$T$337)</f>
        <v/>
      </c>
      <c r="D155" s="164">
        <f>IFERROR(ROUND(C155/C$140*100,1)&amp;"%","0%")</f>
        <v/>
      </c>
    </row>
    <row r="156" ht="18" customHeight="1" s="151">
      <c r="A156" s="158" t="inlineStr">
        <is>
          <t>شیلنگ - برخورد/لهیدگی (بازبینی)</t>
        </is>
      </c>
      <c r="B156" s="169">
        <f>COUNTIF('داده خام'!$O$2:$O$100000,A156)</f>
        <v/>
      </c>
      <c r="C156" s="168">
        <f>SUMIF('داده خام'!$O$2:$O$318,"شیلنگ - برخورد/لهیدگی (بازبینی)",'داده خام'!$T$2:$T$337)</f>
        <v/>
      </c>
      <c r="D156" s="164">
        <f>IFERROR(ROUND(C156/C$140*100,1)&amp;"%","0%")</f>
        <v/>
      </c>
    </row>
    <row r="157" ht="18" customHeight="1" s="151">
      <c r="A157" s="158" t="inlineStr">
        <is>
          <t>لاستیک درزگیر - دفرمگی/پارگی (تعویض)</t>
        </is>
      </c>
      <c r="B157" s="169">
        <f>COUNTIF('داده خام'!$O$2:$O$100000,A157)</f>
        <v/>
      </c>
      <c r="C157" s="168">
        <f>SUMIF('داده خام'!$O$2:$O$318,"لاستیک درزگیر - دفرمگی/پارگی (تعویض)",'داده خام'!$T$2:$T$337)</f>
        <v/>
      </c>
      <c r="D157" s="164">
        <f>IFERROR(ROUND(C157/C$140*100,1)&amp;"%","0%")</f>
        <v/>
      </c>
    </row>
    <row r="158" ht="18" customHeight="1" s="151">
      <c r="A158" s="158" t="inlineStr">
        <is>
          <t>نشتی - درب مخزن نمک (تعمیر/آب‌بندی)</t>
        </is>
      </c>
      <c r="B158" s="169">
        <f>COUNTIF('داده خام'!$O$2:$O$100000,A158)</f>
        <v/>
      </c>
      <c r="C158" s="168">
        <f>SUMIF('داده خام'!$O$2:$O$318,"نشتی - درب مخزن نمک (تعمیر/آب‌بندی)",'داده خام'!$T$2:$T$337)</f>
        <v/>
      </c>
      <c r="D158" s="164">
        <f>IFERROR(ROUND(C158/C$140*100,1)&amp;"%","0%")</f>
        <v/>
      </c>
    </row>
    <row r="159" ht="18" customHeight="1" s="151">
      <c r="A159" s="158" t="inlineStr">
        <is>
          <t>نشتی - براکت ریل (تعمیر/آب‌بندی)</t>
        </is>
      </c>
      <c r="B159" s="169">
        <f>COUNTIF('داده خام'!$O$2:$O$100000,A159)</f>
        <v/>
      </c>
      <c r="C159" s="168">
        <f>SUMIF('داده خام'!$O$2:$O$318,"نشتی - براکت ریل (تعمیر/آب‌بندی)",'داده خام'!$T$2:$T$337)</f>
        <v/>
      </c>
      <c r="D159" s="164">
        <f>IFERROR(ROUND(C159/C$140*100,1)&amp;"%","0%")</f>
        <v/>
      </c>
    </row>
    <row r="160" ht="18" customHeight="1" s="151">
      <c r="A160" s="158" t="inlineStr">
        <is>
          <t>نشتی - جاپودری (تعمیر/آب‌بندی)</t>
        </is>
      </c>
      <c r="B160" s="169">
        <f>COUNTIF('داده خام'!$O$2:$O$100000,A160)</f>
        <v/>
      </c>
      <c r="C160" s="168">
        <f>SUMIF('داده خام'!$O$2:$O$318,"نشتی - جاپودری (تعمیر/آب‌بندی)",'داده خام'!$T$2:$T$337)</f>
        <v/>
      </c>
      <c r="D160" s="164">
        <f>IFERROR(ROUND(C160/C$140*100,1)&amp;"%","0%")</f>
        <v/>
      </c>
    </row>
    <row r="161" ht="18" customHeight="1" s="151">
      <c r="A161" s="158" t="inlineStr">
        <is>
          <t>نشتی - مقسم آب (تعمیر/آب‌بندی)</t>
        </is>
      </c>
      <c r="B161" s="169">
        <f>COUNTIF('داده خام'!$O$2:$O$100000,A161)</f>
        <v/>
      </c>
      <c r="C161" s="168">
        <f>SUMIF('داده خام'!$O$2:$O$318,"نشتی - مقسم آب (تعمیر/آب‌بندی)",'داده خام'!$T$2:$T$337)</f>
        <v/>
      </c>
      <c r="D161" s="164">
        <f>IFERROR(ROUND(C161/C$140*100,1)&amp;"%","0%")</f>
        <v/>
      </c>
    </row>
    <row r="162" ht="18" customHeight="1" s="151">
      <c r="A162" s="158" t="inlineStr">
        <is>
          <t>نشتی آب - محل نامشخص (نیازمند بازدید)</t>
        </is>
      </c>
      <c r="B162" s="169">
        <f>COUNTIF('داده خام'!$O$2:$O$100000,A162)</f>
        <v/>
      </c>
      <c r="C162" s="168">
        <f>SUMIF('داده خام'!$O$2:$O$318,"نشتی آب - محل نامشخص (نیازمند بازدید)",'داده خام'!$T$2:$T$337)</f>
        <v/>
      </c>
      <c r="D162" s="164">
        <f>IFERROR(ROUND(C162/C$140*100,1)&amp;"%","0%")</f>
        <v/>
      </c>
    </row>
    <row r="163" ht="18" customHeight="1" s="151">
      <c r="A163" s="158" t="inlineStr">
        <is>
          <t>خرابی - کمپرسور (تعویض)</t>
        </is>
      </c>
      <c r="B163" s="169">
        <f>COUNTIF('داده خام'!$O$2:$O$100000,A163)</f>
        <v/>
      </c>
      <c r="C163" s="168">
        <f>SUMIF('داده خام'!$O$2:$O$318,"خرابی - کمپرسور (تعویض)",'داده خام'!$T$2:$T$337)</f>
        <v/>
      </c>
      <c r="D163" s="164">
        <f>IFERROR(ROUND(C163/C$140*100,1)&amp;"%","0%")</f>
        <v/>
      </c>
    </row>
    <row r="164" ht="18" customHeight="1" s="151">
      <c r="A164" s="158" t="inlineStr">
        <is>
          <t>خرابی - کمک فنر (تعویض)</t>
        </is>
      </c>
      <c r="B164" s="169">
        <f>COUNTIF('داده خام'!$O$2:$O$100000,A164)</f>
        <v/>
      </c>
      <c r="C164" s="168">
        <f>SUMIF('داده خام'!$O$2:$O$318,"خرابی - کمک فنر (تعویض)",'داده خام'!$T$2:$T$337)</f>
        <v/>
      </c>
      <c r="D164" s="164">
        <f>IFERROR(ROUND(C164/C$140*100,1)&amp;"%","0%")</f>
        <v/>
      </c>
    </row>
    <row r="165" ht="18" customHeight="1" s="151">
      <c r="A165" s="158" t="inlineStr">
        <is>
          <t>خرابی - ترموستات (تعویض)</t>
        </is>
      </c>
      <c r="B165" s="169">
        <f>COUNTIF('داده خام'!$O$2:$O$100000,A165)</f>
        <v/>
      </c>
      <c r="C165" s="168">
        <f>SUMIF('داده خام'!$O$2:$O$318,"خرابی - ترموستات (تعویض)",'داده خام'!$T$2:$T$337)</f>
        <v/>
      </c>
      <c r="D165" s="164">
        <f>IFERROR(ROUND(C165/C$140*100,1)&amp;"%","0%")</f>
        <v/>
      </c>
    </row>
    <row r="166" ht="18" customHeight="1" s="151">
      <c r="A166" s="158" t="inlineStr">
        <is>
          <t>خرابی - هیدروستات (تعویض)</t>
        </is>
      </c>
      <c r="B166" s="169">
        <f>COUNTIF('داده خام'!$O$2:$O$100000,A166)</f>
        <v/>
      </c>
      <c r="C166" s="168">
        <f>SUMIF('داده خام'!$O$2:$O$318,"خرابی - هیدروستات (تعویض)",'داده خام'!$T$2:$T$337)</f>
        <v/>
      </c>
      <c r="D166" s="164">
        <f>IFERROR(ROUND(C166/C$140*100,1)&amp;"%","0%")</f>
        <v/>
      </c>
    </row>
    <row r="167" ht="18" customHeight="1" s="151">
      <c r="A167" s="158" t="inlineStr">
        <is>
          <t>خرابی - بلبرینگ (تعویض)</t>
        </is>
      </c>
      <c r="B167" s="169">
        <f>COUNTIF('داده خام'!$O$2:$O$100000,A167)</f>
        <v/>
      </c>
      <c r="C167" s="168">
        <f>SUMIF('داده خام'!$O$2:$O$318,"خرابی - بلبرینگ (تعویض)",'داده خام'!$T$2:$T$337)</f>
        <v/>
      </c>
      <c r="D167" s="164">
        <f>IFERROR(ROUND(C167/C$140*100,1)&amp;"%","0%")</f>
        <v/>
      </c>
    </row>
    <row r="168" ht="18" customHeight="1" s="151">
      <c r="A168" s="158" t="inlineStr">
        <is>
          <t>خرابی - شیربرقی (تعویض)</t>
        </is>
      </c>
      <c r="B168" s="169">
        <f>COUNTIF('داده خام'!$O$2:$O$100000,A168)</f>
        <v/>
      </c>
      <c r="C168" s="168">
        <f>SUMIF('داده خام'!$O$2:$O$318,"خرابی - شیربرقی (تعویض)",'داده خام'!$T$2:$T$337)</f>
        <v/>
      </c>
      <c r="D168" s="164">
        <f>IFERROR(ROUND(C168/C$140*100,1)&amp;"%","0%")</f>
        <v/>
      </c>
    </row>
    <row r="169" ht="18" customHeight="1" s="151">
      <c r="A169" s="158" t="inlineStr">
        <is>
          <t>خرابی - واترجت (تعویض)</t>
        </is>
      </c>
      <c r="B169" s="169">
        <f>COUNTIF('داده خام'!$O$2:$O$100000,A169)</f>
        <v/>
      </c>
      <c r="C169" s="168">
        <f>SUMIF('داده خام'!$O$2:$O$318,"خرابی - واترجت (تعویض)",'داده خام'!$T$2:$T$337)</f>
        <v/>
      </c>
      <c r="D169" s="164">
        <f>IFERROR(ROUND(C169/C$140*100,1)&amp;"%","0%")</f>
        <v/>
      </c>
    </row>
    <row r="170" ht="18" customHeight="1" s="151">
      <c r="A170" s="158" t="inlineStr">
        <is>
          <t>سیم‌کشی/اتصالات (تعویض/بازبینی)</t>
        </is>
      </c>
      <c r="B170" s="169">
        <f>COUNTIF('داده خام'!$O$2:$O$100000,A170)</f>
        <v/>
      </c>
      <c r="C170" s="168">
        <f>SUMIF('داده خام'!$O$2:$O$318,"سیم‌کشی/اتصالات (تعویض/بازبینی)",'داده خام'!$T$2:$T$337)</f>
        <v/>
      </c>
      <c r="D170" s="164">
        <f>IFERROR(ROUND(C170/C$140*100,1)&amp;"%","0%")</f>
        <v/>
      </c>
    </row>
    <row r="171" ht="18" customHeight="1" s="151">
      <c r="A171" s="158" t="inlineStr">
        <is>
          <t>برد نمایش تلویزیون (تعویض)</t>
        </is>
      </c>
      <c r="B171" s="169">
        <f>COUNTIF('داده خام'!$O$2:$O$100000,A171)</f>
        <v/>
      </c>
      <c r="C171" s="168">
        <f>SUMIF('داده خام'!$O$2:$O$318,"برد نمایش تلویزیون (تعویض)",'داده خام'!$T$2:$T$337)</f>
        <v/>
      </c>
      <c r="D171" s="164">
        <f>IFERROR(ROUND(C171/C$140*100,1)&amp;"%","0%")</f>
        <v/>
      </c>
    </row>
    <row r="172" ht="18" customHeight="1" s="151">
      <c r="A172" s="158" t="inlineStr">
        <is>
          <t>خرابی - لامپ/LED داخلی (تعویض)</t>
        </is>
      </c>
      <c r="B172" s="169">
        <f>COUNTIF('داده خام'!$O$2:$O$100000,A172)</f>
        <v/>
      </c>
      <c r="C172" s="168">
        <f>SUMIF('داده خام'!$O$2:$O$318,"خرابی - لامپ/LED داخلی (تعویض)",'داده خام'!$T$2:$T$337)</f>
        <v/>
      </c>
      <c r="D172" s="164">
        <f>IFERROR(ROUND(C172/C$140*100,1)&amp;"%","0%")</f>
        <v/>
      </c>
    </row>
    <row r="173" ht="18" customHeight="1" s="151">
      <c r="A173" s="158" t="inlineStr">
        <is>
          <t>خرابی - تاب برداشتن درام (تعویض)</t>
        </is>
      </c>
      <c r="B173" s="169">
        <f>COUNTIF('داده خام'!$O$2:$O$100000,A173)</f>
        <v/>
      </c>
      <c r="C173" s="168">
        <f>SUMIF('داده خام'!$O$2:$O$318,"خرابی - تاب برداشتن درام (تعویض)",'داده خام'!$T$2:$T$337)</f>
        <v/>
      </c>
      <c r="D173" s="164">
        <f>IFERROR(ROUND(C173/C$140*100,1)&amp;"%","0%")</f>
        <v/>
      </c>
    </row>
    <row r="174" ht="18" customHeight="1" s="151">
      <c r="A174" s="158" t="inlineStr">
        <is>
          <t>تنظیم - پیچ ولوم/دکمه (تعمیر)</t>
        </is>
      </c>
      <c r="B174" s="169">
        <f>COUNTIF('داده خام'!$O$2:$O$100000,A174)</f>
        <v/>
      </c>
      <c r="C174" s="168">
        <f>SUMIF('داده خام'!$O$2:$O$318,"تنظیم - پیچ ولوم/دکمه (تعمیر)",'داده خام'!$T$2:$T$337)</f>
        <v/>
      </c>
      <c r="D174" s="164">
        <f>IFERROR(ROUND(C174/C$140*100,1)&amp;"%","0%")</f>
        <v/>
      </c>
    </row>
    <row r="175" ht="18" customHeight="1" s="151">
      <c r="A175" s="158" t="inlineStr">
        <is>
          <t>قطعات تزئینی - شکستگی/کسری (تعویض)</t>
        </is>
      </c>
      <c r="B175" s="169">
        <f>COUNTIF('داده خام'!$O$2:$O$100000,A175)</f>
        <v/>
      </c>
      <c r="C175" s="168">
        <f>SUMIF('داده خام'!$O$2:$O$318,"قطعات تزئینی - شکستگی/کسری (تعویض)",'داده خام'!$T$2:$T$337)</f>
        <v/>
      </c>
      <c r="D175" s="164">
        <f>IFERROR(ROUND(C175/C$140*100,1)&amp;"%","0%")</f>
        <v/>
      </c>
    </row>
    <row r="176" ht="18" customHeight="1" s="151">
      <c r="A176" s="160" t="inlineStr">
        <is>
          <t>تنظیم - گسکت/درام (تعمیر)</t>
        </is>
      </c>
      <c r="B176" s="169">
        <f>COUNTIF('داده خام'!$O$2:$O$100000,A176)</f>
        <v/>
      </c>
      <c r="C176" s="168">
        <f>SUMIF('داده خام'!$O$2:$O$318,"تنظیم - گسکت/درام (تعمیر)",'داده خام'!$T$2:$T$337)</f>
        <v/>
      </c>
      <c r="D176" s="164">
        <f>IFERROR(ROUND(C176/C$140*100,1)&amp;"%","0%")</f>
        <v/>
      </c>
    </row>
    <row r="177" ht="18" customHeight="1" s="151">
      <c r="A177" s="160" t="inlineStr">
        <is>
          <t>خرابی - تسمه (تعویض)</t>
        </is>
      </c>
      <c r="B177" s="169">
        <f>COUNTIF('داده خام'!$O$2:$O$100000,A177)</f>
        <v/>
      </c>
      <c r="C177" s="168">
        <f>SUMIF('داده خام'!$O$2:$O$318,"خرابی - تسمه (تعویض)",'داده خام'!$T$2:$T$337)</f>
        <v/>
      </c>
      <c r="D177" s="164">
        <f>IFERROR(ROUND(C177/C$140*100,1)&amp;"%","0%")</f>
        <v/>
      </c>
    </row>
    <row r="178" ht="18" customHeight="1" s="151">
      <c r="A178" s="160" t="inlineStr">
        <is>
          <t>خرابی - موتور (تعویض)</t>
        </is>
      </c>
      <c r="B178" s="169">
        <f>COUNTIF('داده خام'!$O$2:$O$100000,A178)</f>
        <v/>
      </c>
      <c r="C178" s="168">
        <f>SUMIF('داده خام'!$O$2:$O$318,"خرابی - موتور (تعویض)",'داده خام'!$T$2:$T$337)</f>
        <v/>
      </c>
      <c r="D178" s="164">
        <f>IFERROR(ROUND(C178/C$140*100,1)&amp;"%","0%")</f>
        <v/>
      </c>
    </row>
    <row r="179" ht="18" customHeight="1" s="151">
      <c r="A179" s="160" t="inlineStr">
        <is>
          <t>بدنه/کابین - ضربه (بازبینی/تعویض پنل)</t>
        </is>
      </c>
      <c r="B179" s="169">
        <f>COUNTIF('داده خام'!$O$2:$O$100000,A179)</f>
        <v/>
      </c>
      <c r="C179" s="168">
        <f>SUMIF('داده خام'!$O$2:$O$318,"بدنه/کابین - ضربه (بازبینی/تعویض پنل)",'داده خام'!$T$2:$T$337)</f>
        <v/>
      </c>
      <c r="D179" s="164">
        <f>IFERROR(ROUND(C179/C$140*100,1)&amp;"%","0%")</f>
        <v/>
      </c>
    </row>
    <row r="180" ht="18" customHeight="1" s="151">
      <c r="A180" s="160" t="inlineStr">
        <is>
          <t>ریموت کنترل (تعویض/تعمیر)</t>
        </is>
      </c>
      <c r="B180" s="169">
        <f>COUNTIF('داده خام'!$O$2:$O$100000,A180)</f>
        <v/>
      </c>
      <c r="C180" s="168">
        <f>SUMIF('داده خام'!$O$2:$O$318,"ریموت کنترل (تعویض/تعمیر)",'داده خام'!$T$2:$T$337)</f>
        <v/>
      </c>
      <c r="D180" s="164">
        <f>IFERROR(ROUND(C180/C$140*100,1)&amp;"%","0%")</f>
        <v/>
      </c>
    </row>
    <row r="181" ht="18" customHeight="1" s="151">
      <c r="A181" s="160" t="inlineStr">
        <is>
          <t>زنگ‌زدگی بدنه/قطعه (تعویض)</t>
        </is>
      </c>
      <c r="B181" s="169">
        <f>COUNTIF('داده خام'!$O$2:$O$100000,A181)</f>
        <v/>
      </c>
      <c r="C181" s="168">
        <f>SUMIF('داده خام'!$O$2:$O$318,"زنگ‌زدگی بدنه/قطعه (تعویض)",'داده خام'!$T$2:$T$337)</f>
        <v/>
      </c>
      <c r="D181" s="164">
        <f>IFERROR(ROUND(C181/C$140*100,1)&amp;"%","0%")</f>
        <v/>
      </c>
    </row>
    <row r="182" ht="18" customHeight="1" s="151">
      <c r="A182" s="160" t="inlineStr">
        <is>
          <t>سبد ظرفشویی - شکستگی (تعویض)</t>
        </is>
      </c>
      <c r="B182" s="169">
        <f>COUNTIF('داده خام'!$O$2:$O$100000,A182)</f>
        <v/>
      </c>
      <c r="C182" s="168">
        <f>SUMIF('داده خام'!$O$2:$O$318,"سبد ظرفشویی - شکستگی (تعویض)",'داده خام'!$T$2:$T$337)</f>
        <v/>
      </c>
      <c r="D182" s="164">
        <f>IFERROR(ROUND(C182/C$140*100,1)&amp;"%","0%")</f>
        <v/>
      </c>
    </row>
    <row r="183" ht="18" customHeight="1" s="151">
      <c r="A183" s="160" t="inlineStr">
        <is>
          <t>پرچ/بدنه کابین (تعمیر)</t>
        </is>
      </c>
      <c r="B183" s="169">
        <f>COUNTIF('داده خام'!$O$2:$O$100000,A183)</f>
        <v/>
      </c>
      <c r="C183" s="168">
        <f>SUMIF('داده خام'!$O$2:$O$318,"پرچ/بدنه کابین (تعمیر)",'داده خام'!$T$2:$T$337)</f>
        <v/>
      </c>
      <c r="D183" s="164">
        <f>IFERROR(ROUND(C183/C$140*100,1)&amp;"%","0%")</f>
        <v/>
      </c>
    </row>
    <row r="184" ht="18" customHeight="1" s="151">
      <c r="A184" s="158" t="inlineStr">
        <is>
          <t>سایر اجزای درب (بازبینی)</t>
        </is>
      </c>
      <c r="B184" s="169">
        <f>COUNTIF('داده خام'!$O$2:$O$100000,A184)</f>
        <v/>
      </c>
      <c r="C184" s="168">
        <f>SUMIF('داده خام'!$O$2:$O$318,"سایر اجزای درب (بازبینی)",'داده خام'!$T$2:$T$337)</f>
        <v/>
      </c>
      <c r="D184" s="164">
        <f>IFERROR(ROUND(C184/C$140*100,1)&amp;"%","0%")</f>
        <v/>
      </c>
    </row>
    <row r="185" ht="18" customHeight="1" s="151">
      <c r="A185" s="158" t="inlineStr">
        <is>
          <t>ریست نرم‌افزاری (بدون قطعه)</t>
        </is>
      </c>
      <c r="B185" s="169">
        <f>COUNTIF('داده خام'!$O$2:$O$100000,A185)</f>
        <v/>
      </c>
      <c r="C185" s="168">
        <f>SUMIF('داده خام'!$O$2:$O$318,"ریست نرم‌افزاری (بدون قطعه)",'داده خام'!$T$2:$T$337)</f>
        <v/>
      </c>
      <c r="D185" s="164">
        <f>IFERROR(ROUND(C185/C$140*100,1)&amp;"%","0%")</f>
        <v/>
      </c>
    </row>
    <row r="186" ht="18" customHeight="1" s="151">
      <c r="A186" s="158" t="inlineStr">
        <is>
          <t>غیرگارانتی/بدون قطعه</t>
        </is>
      </c>
      <c r="B186" s="169">
        <f>COUNTIF('داده خام'!$O$2:$O$100000,A186)</f>
        <v/>
      </c>
      <c r="C186" s="168">
        <f>SUMIF('داده خام'!$O$2:$O$318,"غیرگارانتی/بدون قطعه",'داده خام'!$T$2:$T$337)</f>
        <v/>
      </c>
      <c r="D186" s="164">
        <f>IFERROR(ROUND(C186/C$140*100,1)&amp;"%","0%")</f>
        <v/>
      </c>
    </row>
    <row r="187" ht="18" customHeight="1" s="151">
      <c r="A187" s="158" t="inlineStr">
        <is>
          <t>تعویض کامل دستگاه (Replacement)</t>
        </is>
      </c>
      <c r="B187" s="169">
        <f>COUNTIF('داده خام'!$O$2:$O$100000,A187)</f>
        <v/>
      </c>
      <c r="C187" s="168">
        <f>SUMIF('داده خام'!$O$2:$O$318,"تعویض کامل دستگاه (Replacement)",'داده خام'!$T$2:$T$337)</f>
        <v/>
      </c>
      <c r="D187" s="164">
        <f>IFERROR(ROUND(C187/C$140*100,1)&amp;"%","0%")</f>
        <v/>
      </c>
    </row>
    <row r="188" ht="18" customHeight="1" s="151">
      <c r="A188" s="158" t="inlineStr">
        <is>
          <t>سایر (نیازمند بررسی دستی)</t>
        </is>
      </c>
      <c r="B188" s="169">
        <f>COUNTIF('داده خام'!$O$2:$O$100000,A188)</f>
        <v/>
      </c>
      <c r="C188" s="168">
        <f>SUMIF('داده خام'!$O$2:$O$318,"سایر (نیازمند بررسی دستی)",'داده خام'!$T$2:$T$337)</f>
        <v/>
      </c>
      <c r="D188" s="164">
        <f>IFERROR(ROUND(C188/C$140*100,1)&amp;"%","0%")</f>
        <v/>
      </c>
    </row>
    <row r="191" ht="19.5" customHeight="1" s="151">
      <c r="A191" s="153" t="inlineStr">
        <is>
          <t>هزینه کل به تفکیک نوع دستگاه</t>
        </is>
      </c>
    </row>
    <row r="192" ht="18" customHeight="1" s="151">
      <c r="A192" s="120" t="inlineStr">
        <is>
          <t>نوع دستگاه</t>
        </is>
      </c>
      <c r="B192" s="120" t="inlineStr">
        <is>
          <t>تعداد</t>
        </is>
      </c>
      <c r="C192" s="120" t="inlineStr">
        <is>
          <t>هزینه کل (تومان)</t>
        </is>
      </c>
    </row>
    <row r="193" ht="18" customHeight="1" s="151">
      <c r="A193" s="158" t="inlineStr">
        <is>
          <t>ماشین ظرفشویی</t>
        </is>
      </c>
      <c r="B193" s="169">
        <f>COUNTIF('داده خام'!$C$2:$C$318,"ماشين ظرفشويي")</f>
        <v/>
      </c>
      <c r="C193" s="168">
        <f>SUMIF('داده خام'!$C$2:$C$318,"ماشين ظرفشويي",'داده خام'!$T$2:$T$337)</f>
        <v/>
      </c>
    </row>
    <row r="194" ht="18" customHeight="1" s="151">
      <c r="A194" s="158" t="inlineStr">
        <is>
          <t>ماشین لباسشویی</t>
        </is>
      </c>
      <c r="B194" s="169">
        <f>COUNTIF('داده خام'!$C$2:$C$318,"ماشين لباسشويي")</f>
        <v/>
      </c>
      <c r="C194" s="168">
        <f>SUMIF('داده خام'!$C$2:$C$318,"ماشين لباسشويي",'داده خام'!$T$2:$T$337)</f>
        <v/>
      </c>
    </row>
    <row r="195" ht="18" customHeight="1" s="151">
      <c r="A195" s="158" t="inlineStr">
        <is>
          <t>یخچال ساید‌بای‌ساید</t>
        </is>
      </c>
      <c r="B195" s="169">
        <f>COUNTIF('داده خام'!$C$2:$C$318,"یخچال ساید‌بای‌ساید")</f>
        <v/>
      </c>
      <c r="C195" s="168">
        <f>SUMIF('داده خام'!$C$2:$C$318,"یخچال ساید‌بای‌ساید",'داده خام'!$T$2:$T$337)</f>
        <v/>
      </c>
    </row>
    <row r="196" ht="18" customHeight="1" s="151">
      <c r="A196" s="158" t="inlineStr">
        <is>
          <t>یخچال مینی</t>
        </is>
      </c>
      <c r="B196" s="169">
        <f>COUNTIF('داده خام'!$C$2:$C$318,"يخچال ميني")</f>
        <v/>
      </c>
      <c r="C196" s="168">
        <f>SUMIF('داده خام'!$C$2:$C$318,"يخچال ميني",'داده خام'!$T$2:$T$337)</f>
        <v/>
      </c>
    </row>
    <row r="197" ht="18" customHeight="1" s="151">
      <c r="A197" s="158" t="inlineStr">
        <is>
          <t>تلویزیون</t>
        </is>
      </c>
      <c r="B197" s="169">
        <f>COUNTIF('داده خام'!$C$2:$C$318,"تلویزیون")</f>
        <v/>
      </c>
      <c r="C197" s="168">
        <f>SUMIF('داده خام'!$C$2:$C$318,"تلویزیون",'داده خام'!$T$2:$T$337)</f>
        <v/>
      </c>
    </row>
    <row r="200" ht="19.5" customHeight="1" s="151">
      <c r="A200" s="153" t="inlineStr">
        <is>
          <t>جزئیات هزینه ضرر تکرار (سریال‌هایی که بیش از یک‌بار مراجعه داشتند)</t>
        </is>
      </c>
    </row>
    <row r="201" ht="18" customHeight="1" s="151">
      <c r="A201" s="120" t="inlineStr">
        <is>
          <t>شماره سریال</t>
        </is>
      </c>
      <c r="B201" s="120" t="inlineStr">
        <is>
          <t>تعداد مراجعه</t>
        </is>
      </c>
      <c r="C201" s="120" t="inlineStr">
        <is>
          <t>هزینه ضرر (تومان)</t>
        </is>
      </c>
    </row>
    <row r="202" ht="19.5" customHeight="1" s="151">
      <c r="A202" s="171" t="inlineStr">
        <is>
          <t>52210007N00625</t>
        </is>
      </c>
      <c r="B202" s="169" t="n">
        <v>2</v>
      </c>
      <c r="C202" s="169">
        <f>SUMIF('داده خام'!$E$2:$E$318,A202,'داده خام'!$V$2:$V$337)</f>
        <v/>
      </c>
    </row>
    <row r="203" ht="19.5" customHeight="1" s="151">
      <c r="A203" s="171" t="inlineStr">
        <is>
          <t>210100007N00317</t>
        </is>
      </c>
      <c r="B203" s="169" t="n">
        <v>2</v>
      </c>
      <c r="C203" s="169">
        <f>SUMIF('داده خام'!$E$2:$E$318,A203,'داده خام'!$V$2:$V$337)</f>
        <v/>
      </c>
    </row>
    <row r="204" ht="19.5" customHeight="1" s="151">
      <c r="A204" s="171" t="inlineStr">
        <is>
          <t>52220004N01428</t>
        </is>
      </c>
      <c r="B204" s="169" t="n">
        <v>2</v>
      </c>
      <c r="C204" s="169">
        <f>SUMIF('داده خام'!$E$2:$E$318,A204,'داده خام'!$V$2:$V$337)</f>
        <v/>
      </c>
    </row>
    <row r="205" ht="19.5" customHeight="1" s="151">
      <c r="A205" s="171" t="inlineStr">
        <is>
          <t>52210009N01809</t>
        </is>
      </c>
      <c r="B205" s="169" t="n">
        <v>2</v>
      </c>
      <c r="C205" s="169">
        <f>SUMIF('داده خام'!$E$2:$E$318,A205,'داده خام'!$V$2:$V$337)</f>
        <v/>
      </c>
    </row>
    <row r="206" ht="19.5" customHeight="1" s="151">
      <c r="A206" s="171" t="inlineStr">
        <is>
          <t>52220002N02241</t>
        </is>
      </c>
      <c r="B206" s="169" t="n">
        <v>2</v>
      </c>
      <c r="C206" s="169">
        <f>SUMIF('داده خام'!$E$2:$E$318,A206,'داده خام'!$V$2:$V$337)</f>
        <v/>
      </c>
    </row>
    <row r="207" ht="19.5" customHeight="1" s="151">
      <c r="A207" s="171" t="inlineStr">
        <is>
          <t>52220004N05131</t>
        </is>
      </c>
      <c r="B207" s="169" t="n">
        <v>2</v>
      </c>
      <c r="C207" s="169">
        <f>SUMIF('داده خام'!$E$2:$E$318,A207,'داده خام'!$V$2:$V$337)</f>
        <v/>
      </c>
    </row>
    <row r="208" ht="19.5" customHeight="1" s="151">
      <c r="A208" s="171" t="inlineStr">
        <is>
          <t>52220005N04863</t>
        </is>
      </c>
      <c r="B208" s="169" t="n">
        <v>2</v>
      </c>
      <c r="C208" s="169">
        <f>SUMIF('داده خام'!$E$2:$E$318,A208,'داده خام'!$V$2:$V$337)</f>
        <v/>
      </c>
    </row>
    <row r="209" ht="19.5" customHeight="1" s="151">
      <c r="A209" s="171" t="inlineStr">
        <is>
          <t>52220005N04894</t>
        </is>
      </c>
      <c r="B209" s="169" t="n">
        <v>2</v>
      </c>
      <c r="C209" s="169">
        <f>SUMIF('داده خام'!$E$2:$E$318,A209,'داده خام'!$V$2:$V$337)</f>
        <v/>
      </c>
    </row>
    <row r="210" ht="19.5" customHeight="1" s="151">
      <c r="A210" s="171" t="inlineStr">
        <is>
          <t>52220004N01662</t>
        </is>
      </c>
      <c r="B210" s="169" t="n">
        <v>2</v>
      </c>
      <c r="C210" s="169">
        <f>SUMIF('داده خام'!$E$2:$E$318,A210,'داده خام'!$V$2:$V$337)</f>
        <v/>
      </c>
    </row>
    <row r="211" ht="19.5" customHeight="1" s="151">
      <c r="A211" s="171" t="inlineStr">
        <is>
          <t>52240002N00838</t>
        </is>
      </c>
      <c r="B211" s="169" t="n">
        <v>3</v>
      </c>
      <c r="C211" s="169">
        <f>SUMIF('داده خام'!$E$2:$E$318,A211,'داده خام'!$V$2:$V$337)</f>
        <v/>
      </c>
    </row>
    <row r="212" ht="19.5" customHeight="1" s="151">
      <c r="A212" s="171" t="inlineStr">
        <is>
          <t>52210008N00610</t>
        </is>
      </c>
      <c r="B212" s="169" t="n">
        <v>2</v>
      </c>
      <c r="C212" s="169">
        <f>SUMIF('داده خام'!$E$2:$E$318,A212,'داده خام'!$V$2:$V$337)</f>
        <v/>
      </c>
    </row>
    <row r="213" ht="19.5" customHeight="1" s="151">
      <c r="A213" s="171" t="inlineStr">
        <is>
          <t>52220004N02595</t>
        </is>
      </c>
      <c r="B213" s="169" t="n">
        <v>2</v>
      </c>
      <c r="C213" s="169">
        <f>SUMIF('داده خام'!$E$2:$E$318,A213,'داده خام'!$V$2:$V$337)</f>
        <v/>
      </c>
    </row>
    <row r="214" ht="19.5" customHeight="1" s="151">
      <c r="A214" s="171" t="inlineStr">
        <is>
          <t>52240001N02021</t>
        </is>
      </c>
      <c r="B214" s="169" t="n">
        <v>2</v>
      </c>
      <c r="C214" s="169">
        <f>SUMIF('داده خام'!$E$2:$E$318,A214,'داده خام'!$V$2:$V$337)</f>
        <v/>
      </c>
    </row>
    <row r="215" ht="19.5" customHeight="1" s="151">
      <c r="A215" s="171" t="inlineStr">
        <is>
          <t>52210005N01679</t>
        </is>
      </c>
      <c r="B215" s="169" t="n">
        <v>3</v>
      </c>
      <c r="C215" s="169">
        <f>SUMIF('داده خام'!$E$2:$E$318,A215,'داده خام'!$V$2:$V$337)</f>
        <v/>
      </c>
    </row>
    <row r="216" ht="19.5" customHeight="1" s="151">
      <c r="A216" s="171" t="inlineStr">
        <is>
          <t>52210008N00788</t>
        </is>
      </c>
      <c r="B216" s="169" t="n">
        <v>2</v>
      </c>
      <c r="C216" s="169">
        <f>SUMIF('داده خام'!$E$2:$E$318,A216,'داده خام'!$V$2:$V$337)</f>
        <v/>
      </c>
    </row>
    <row r="217" ht="19.5" customHeight="1" s="151">
      <c r="A217" s="171" t="inlineStr">
        <is>
          <t>52220003N02786</t>
        </is>
      </c>
      <c r="B217" s="169" t="n">
        <v>2</v>
      </c>
      <c r="C217" s="169">
        <f>SUMIF('داده خام'!$E$2:$E$318,A217,'داده خام'!$V$2:$V$337)</f>
        <v/>
      </c>
    </row>
    <row r="218" ht="19.5" customHeight="1" s="151">
      <c r="A218" s="171" t="inlineStr">
        <is>
          <t>210140001N00091</t>
        </is>
      </c>
      <c r="B218" s="169" t="n">
        <v>2</v>
      </c>
      <c r="C218" s="169">
        <f>SUMIF('داده خام'!$E$2:$E$318,A218,'داده خام'!$V$2:$V$337)</f>
        <v/>
      </c>
    </row>
    <row r="219" ht="19.5" customHeight="1" s="151">
      <c r="A219" s="171" t="inlineStr">
        <is>
          <t>52220005N04785</t>
        </is>
      </c>
      <c r="B219" s="169" t="n">
        <v>2</v>
      </c>
      <c r="C219" s="169">
        <f>SUMIF('داده خام'!$E$2:$E$318,A219,'داده خام'!$V$2:$V$337)</f>
        <v/>
      </c>
    </row>
    <row r="220" ht="19.5" customHeight="1" s="151">
      <c r="A220" s="171" t="inlineStr">
        <is>
          <t>52210009N01186</t>
        </is>
      </c>
      <c r="B220" s="169" t="n">
        <v>2</v>
      </c>
      <c r="C220" s="169">
        <f>SUMIF('داده خام'!$E$2:$E$318,A220,'داده خام'!$V$2:$V$337)</f>
        <v/>
      </c>
    </row>
    <row r="221" ht="19.5" customHeight="1" s="151">
      <c r="A221" s="171" t="inlineStr">
        <is>
          <t>52220005N00355</t>
        </is>
      </c>
      <c r="B221" s="169" t="n">
        <v>2</v>
      </c>
      <c r="C221" s="169">
        <f>SUMIF('داده خام'!$E$2:$E$318,A221,'داده خام'!$V$2:$V$337)</f>
        <v/>
      </c>
    </row>
    <row r="222" ht="19.5" customHeight="1" s="151">
      <c r="A222" s="171" t="inlineStr">
        <is>
          <t>52210006N00699</t>
        </is>
      </c>
      <c r="B222" s="169" t="n">
        <v>2</v>
      </c>
      <c r="C222" s="169">
        <f>SUMIF('داده خام'!$E$2:$E$318,A222,'داده خام'!$V$2:$V$337)</f>
        <v/>
      </c>
    </row>
    <row r="223" ht="19.5" customHeight="1" s="151">
      <c r="A223" s="171" t="inlineStr">
        <is>
          <t>52240001N02112</t>
        </is>
      </c>
      <c r="B223" s="169" t="n">
        <v>2</v>
      </c>
      <c r="C223" s="169">
        <f>SUMIF('داده خام'!$E$2:$E$318,A223,'داده خام'!$V$2:$V$337)</f>
        <v/>
      </c>
    </row>
    <row r="224" ht="19.5" customHeight="1" s="151">
      <c r="A224" s="171" t="inlineStr">
        <is>
          <t>52220004N04742</t>
        </is>
      </c>
      <c r="B224" s="169" t="n">
        <v>2</v>
      </c>
      <c r="C224" s="169">
        <f>SUMIF('داده خام'!$E$2:$E$318,A224,'داده خام'!$V$2:$V$337)</f>
        <v/>
      </c>
    </row>
    <row r="225" ht="19.5" customHeight="1" s="151">
      <c r="A225" s="171" t="inlineStr">
        <is>
          <t>52220005N03807</t>
        </is>
      </c>
      <c r="B225" s="169" t="n">
        <v>2</v>
      </c>
      <c r="C225" s="169">
        <f>SUMIF('داده خام'!$E$2:$E$318,A225,'داده خام'!$V$2:$V$337)</f>
        <v/>
      </c>
    </row>
    <row r="226" ht="19.5" customHeight="1" s="151">
      <c r="A226" s="171" t="inlineStr">
        <is>
          <t>52220002N01514</t>
        </is>
      </c>
      <c r="B226" s="169" t="n">
        <v>2</v>
      </c>
      <c r="C226" s="169">
        <f>SUMIF('داده خام'!$E$2:$E$318,A226,'داده خام'!$V$2:$V$337)</f>
        <v/>
      </c>
    </row>
    <row r="227" ht="19.5" customHeight="1" s="151">
      <c r="A227" s="171" t="inlineStr">
        <is>
          <t>52220005N00902</t>
        </is>
      </c>
      <c r="B227" s="169" t="n">
        <v>2</v>
      </c>
      <c r="C227" s="169">
        <f>SUMIF('داده خام'!$E$2:$E$318,A227,'داده خام'!$V$2:$V$337)</f>
        <v/>
      </c>
    </row>
    <row r="228" ht="19.5" customHeight="1" s="151">
      <c r="A228" s="171" t="inlineStr">
        <is>
          <t>52210008N01023</t>
        </is>
      </c>
      <c r="B228" s="169" t="n">
        <v>2</v>
      </c>
      <c r="C228" s="169">
        <f>SUMIF('داده خام'!$E$2:$E$318,A228,'داده خام'!$V$2:$V$337)</f>
        <v/>
      </c>
    </row>
    <row r="229" ht="19.5" customHeight="1" s="151">
      <c r="A229" s="171" t="inlineStr">
        <is>
          <t>52220004N03782</t>
        </is>
      </c>
      <c r="B229" s="169" t="n">
        <v>2</v>
      </c>
      <c r="C229" s="169">
        <f>SUMIF('داده خام'!$E$2:$E$318,A229,'داده خام'!$V$2:$V$337)</f>
        <v/>
      </c>
    </row>
    <row r="230" ht="19.5" customHeight="1" s="151">
      <c r="A230" s="171" t="inlineStr">
        <is>
          <t>52210009N00574</t>
        </is>
      </c>
      <c r="B230" s="169" t="n">
        <v>2</v>
      </c>
      <c r="C230" s="169">
        <f>SUMIF('داده خام'!$E$2:$E$318,A230,'داده خام'!$V$2:$V$337)</f>
        <v/>
      </c>
    </row>
    <row r="231" ht="19.5" customHeight="1" s="151">
      <c r="A231" s="171" t="inlineStr">
        <is>
          <t>210140001N00211</t>
        </is>
      </c>
      <c r="B231" s="169" t="n">
        <v>2</v>
      </c>
      <c r="C231" s="169">
        <f>SUMIF('داده خام'!$E$2:$E$318,A231,'داده خام'!$V$2:$V$337)</f>
        <v/>
      </c>
    </row>
    <row r="232" ht="19.5" customHeight="1" s="151">
      <c r="A232" s="171" t="inlineStr">
        <is>
          <t>52220003N01755</t>
        </is>
      </c>
      <c r="B232" s="169" t="n">
        <v>2</v>
      </c>
      <c r="C232" s="169">
        <f>SUMIF('داده خام'!$E$2:$E$318,A232,'داده خام'!$V$2:$V$337)</f>
        <v/>
      </c>
    </row>
    <row r="233" ht="19.5" customHeight="1" s="151">
      <c r="A233" s="171" t="inlineStr">
        <is>
          <t>52240001N01659</t>
        </is>
      </c>
      <c r="B233" s="169" t="n">
        <v>2</v>
      </c>
      <c r="C233" s="169">
        <f>SUMIF('داده خام'!$E$2:$E$318,A233,'داده خام'!$V$2:$V$337)</f>
        <v/>
      </c>
    </row>
    <row r="234" ht="19.5" customHeight="1" s="151">
      <c r="A234" s="171" t="inlineStr">
        <is>
          <t>52240002N01230</t>
        </is>
      </c>
      <c r="B234" s="169" t="n">
        <v>2</v>
      </c>
      <c r="C234" s="169">
        <f>SUMIF('داده خام'!$E$2:$E$318,A234,'داده خام'!$V$2:$V$337)</f>
        <v/>
      </c>
    </row>
    <row r="235" ht="19.5" customHeight="1" s="151">
      <c r="A235" s="171" t="inlineStr">
        <is>
          <t>52220005N02169</t>
        </is>
      </c>
      <c r="B235" s="169" t="n">
        <v>2</v>
      </c>
      <c r="C235" s="169">
        <f>SUMIF('داده خام'!$E$2:$E$318,A235,'داده خام'!$V$2:$V$337)</f>
        <v/>
      </c>
    </row>
    <row r="236" ht="19.5" customHeight="1" s="151">
      <c r="A236" s="171" t="inlineStr">
        <is>
          <t>52240001N01143</t>
        </is>
      </c>
      <c r="B236" s="169" t="n">
        <v>2</v>
      </c>
      <c r="C236" s="169">
        <f>SUMIF('داده خام'!$E$2:$E$318,A236,'داده خام'!$V$2:$V$337)</f>
        <v/>
      </c>
    </row>
    <row r="237" ht="19.5" customHeight="1" s="151">
      <c r="A237" s="171" t="inlineStr">
        <is>
          <t>52210010N02062</t>
        </is>
      </c>
      <c r="B237" s="169" t="n">
        <v>2</v>
      </c>
      <c r="C237" s="169">
        <f>SUMIF('داده خام'!$E$2:$E$318,A237,'داده خام'!$V$2:$V$337)</f>
        <v/>
      </c>
    </row>
    <row r="238" ht="19.5" customHeight="1" s="151">
      <c r="A238" s="171" t="n"/>
      <c r="B238" s="169" t="n"/>
      <c r="C238" s="101">
        <f>SUM(C202:C237)</f>
        <v/>
      </c>
    </row>
    <row r="239" ht="19.5" customHeight="1" s="151">
      <c r="A239" s="171" t="n"/>
      <c r="B239" s="169" t="n"/>
    </row>
    <row r="240" ht="19.5" customHeight="1" s="151">
      <c r="A240" s="172" t="n"/>
      <c r="B240" s="169" t="n"/>
    </row>
  </sheetData>
  <mergeCells count="11">
    <mergeCell ref="A191:C191"/>
    <mergeCell ref="A58:AD58"/>
    <mergeCell ref="A75:C75"/>
    <mergeCell ref="A113:B113"/>
    <mergeCell ref="A143:D143"/>
    <mergeCell ref="A138:E138"/>
    <mergeCell ref="A1:B1"/>
    <mergeCell ref="A200:C200"/>
    <mergeCell ref="A67:B67"/>
    <mergeCell ref="A124:B124"/>
    <mergeCell ref="A9:E9"/>
  </mergeCells>
  <conditionalFormatting sqref="A202:A240">
    <cfRule type="duplicateValues" rank="0" priority="2" equalAverage="0" aboveAverage="0" dxfId="0" text="" percent="0" bottom="0"/>
  </conditionalFormatting>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xml><?xml version="1.0" encoding="utf-8"?>
<worksheet xmlns="http://schemas.openxmlformats.org/spreadsheetml/2006/main">
  <sheetPr filterMode="0">
    <outlinePr summaryBelow="1" summaryRight="1"/>
    <pageSetUpPr fitToPage="0"/>
  </sheetPr>
  <dimension ref="A1:X456"/>
  <sheetViews>
    <sheetView showFormulas="0" showGridLines="1" showRowColHeaders="1" showZeros="1" rightToLeft="1" tabSelected="0" showOutlineSymbols="1" defaultGridColor="1" view="normal" topLeftCell="A1" colorId="64" zoomScale="70" zoomScaleNormal="70" zoomScalePageLayoutView="100" workbookViewId="0">
      <pane xSplit="0" ySplit="1" topLeftCell="A2" activePane="bottomLeft" state="frozen"/>
      <selection pane="topLeft" activeCell="A1" activeCellId="0" sqref="A1"/>
      <selection pane="bottomLeft" activeCell="A1" activeCellId="0" sqref="A1"/>
    </sheetView>
  </sheetViews>
  <sheetFormatPr baseColWidth="8" defaultColWidth="8.71484375" defaultRowHeight="19.5" zeroHeight="0" outlineLevelRow="0"/>
  <cols>
    <col width="18" customWidth="1" style="173" min="1" max="1"/>
    <col width="14.14" customWidth="1" style="173" min="2" max="2"/>
    <col width="24.42" customWidth="1" style="173" min="3" max="3"/>
    <col width="24.29" customWidth="1" style="173" min="4" max="5"/>
    <col width="55.71" customWidth="1" style="173" min="6" max="6"/>
    <col width="27.29" customWidth="1" style="173" min="7" max="7"/>
    <col width="21.57" customWidth="1" style="173" min="8" max="8"/>
    <col width="19.57" customWidth="1" style="173" min="9" max="10"/>
    <col hidden="1" width="24" customWidth="1" style="173" min="11" max="11"/>
    <col hidden="1" width="22.15" customWidth="1" style="173" min="12" max="13"/>
    <col width="26.86" customWidth="1" style="173" min="14" max="14"/>
    <col width="29.29" customWidth="1" style="173" min="15" max="16"/>
    <col width="23.71" customWidth="1" style="173" min="17" max="17"/>
    <col width="24.57" customWidth="1" style="173" min="18" max="18"/>
    <col width="36.71" customWidth="1" style="173" min="19" max="19"/>
    <col width="27.15" customWidth="1" style="173" min="20" max="20"/>
    <col width="26.57" customWidth="1" style="173" min="21" max="21"/>
    <col width="27.71" customWidth="1" style="173" min="22" max="22"/>
    <col width="16" customWidth="1" style="173" min="23" max="16384"/>
    <col width="16" customWidth="1" style="151" min="24" max="24"/>
  </cols>
  <sheetData>
    <row r="1" ht="58.5" customFormat="1" customHeight="1" s="174">
      <c r="A1" s="174" t="inlineStr">
        <is>
          <t>شماره پذیرش</t>
        </is>
      </c>
      <c r="B1" s="174" t="inlineStr">
        <is>
          <t>ماه</t>
        </is>
      </c>
      <c r="C1" s="174" t="inlineStr">
        <is>
          <t>نوع محصول</t>
        </is>
      </c>
      <c r="D1" s="174" t="inlineStr">
        <is>
          <t>مدل محصول</t>
        </is>
      </c>
      <c r="E1" s="174" t="inlineStr">
        <is>
          <t>شماره سریال</t>
        </is>
      </c>
      <c r="F1" s="174" t="inlineStr">
        <is>
          <t>اظهار مشتری</t>
        </is>
      </c>
      <c r="G1" s="174" t="inlineStr">
        <is>
          <t>شرح خرابی</t>
        </is>
      </c>
      <c r="H1" s="174" t="inlineStr">
        <is>
          <t>تاریخ پذیرش</t>
        </is>
      </c>
      <c r="I1" s="174" t="inlineStr">
        <is>
          <t>تاریخ تولید</t>
        </is>
      </c>
      <c r="J1" s="174" t="inlineStr">
        <is>
          <t>تاریخ نصب</t>
        </is>
      </c>
      <c r="K1" s="174" t="inlineStr">
        <is>
          <t>میلادی پذیرش</t>
        </is>
      </c>
      <c r="L1" s="174" t="inlineStr">
        <is>
          <t>میلادی تولید</t>
        </is>
      </c>
      <c r="M1" s="175" t="inlineStr">
        <is>
          <t>میلادی نصب</t>
        </is>
      </c>
      <c r="N1" s="174" t="inlineStr">
        <is>
          <t>مدت زمان مصرف</t>
        </is>
      </c>
      <c r="O1" s="174" t="inlineStr">
        <is>
          <t>دسته علت خرابی</t>
        </is>
      </c>
      <c r="P1" s="174" t="inlineStr">
        <is>
          <t>قطعه تعویضی</t>
        </is>
      </c>
      <c r="Q1" s="174" t="inlineStr">
        <is>
          <t>مشئول ایاب ذهاب</t>
        </is>
      </c>
      <c r="R1" s="175" t="inlineStr">
        <is>
          <t>هزینه قطعه (تومان)</t>
        </is>
      </c>
      <c r="S1" s="175" t="inlineStr">
        <is>
          <t>هزینه اجرت+ایاب‌وذهاب (تومان)</t>
        </is>
      </c>
      <c r="T1" s="175" t="inlineStr">
        <is>
          <t>هزینه کل ردیف (تومان)</t>
        </is>
      </c>
      <c r="U1" s="175" t="inlineStr">
        <is>
          <t>مراجعه تکراری؟ (سریال)</t>
        </is>
      </c>
      <c r="V1" s="175" t="inlineStr">
        <is>
          <t>هزینه ضرر تکرار (تومان)</t>
        </is>
      </c>
      <c r="W1" s="207" t="inlineStr">
        <is>
          <t>کد تکنسین/نصاب</t>
        </is>
      </c>
      <c r="X1" s="207" t="inlineStr">
        <is>
          <t>شهر/منطقه نصب</t>
        </is>
      </c>
    </row>
    <row r="2" ht="58.5" customHeight="1" s="151">
      <c r="A2" s="176" t="n">
        <v>760484</v>
      </c>
      <c r="B2" s="124">
        <f>CHOOSE(_xlfn.NUMBERVALUE(MID(H2,6,2)),"فروردین","اردیبهشت","خرداد","تیر","مرداد","شهریور","مهر","آبان","آذر","دی","بهمن","اسفند")</f>
        <v/>
      </c>
      <c r="C2" s="176" t="inlineStr">
        <is>
          <t>ماشين لباسشويي</t>
        </is>
      </c>
      <c r="D2" s="176" t="inlineStr">
        <is>
          <t>CWM-BMW9T1</t>
        </is>
      </c>
      <c r="E2" s="176" t="inlineStr">
        <is>
          <t>210100007N00317</t>
        </is>
      </c>
      <c r="F2" s="173" t="inlineStr">
        <is>
          <t>جمع شدن آب زير محصول**اياب و ذهاب به عهده شرکت</t>
        </is>
      </c>
      <c r="G2" s="173" t="inlineStr">
        <is>
          <t>نشتي از جاپودري</t>
        </is>
      </c>
      <c r="H2" s="176" t="inlineStr">
        <is>
          <t>1405/01/16</t>
        </is>
      </c>
      <c r="I2" s="176" t="inlineStr">
        <is>
          <t>1402/12/26</t>
        </is>
      </c>
      <c r="J2" s="176" t="inlineStr">
        <is>
          <t>1402/12/26</t>
        </is>
      </c>
      <c r="K2" s="177">
        <f>IFERROR(VLOOKUP(LEFT(H2,7),'تبدیل تاریخ'!$A$2:$B$73,2,FALSE())+VALUE(RIGHT(H2,2))-1,"")</f>
        <v/>
      </c>
      <c r="L2" s="177">
        <f>IFERROR(VLOOKUP(LEFT(I2,7),'تبدیل تاریخ'!$A$2:$B$73,2,FALSE())+VALUE(RIGHT(I2,2))-1,"")</f>
        <v/>
      </c>
      <c r="M2" s="177">
        <f>IF(J2="","",IFERROR(VLOOKUP(LEFT(J2,7),'تبدیل تاریخ'!$A$2:$B$73,2,FALSE())+VALUE(RIGHT(J2,2))-1,""))</f>
        <v/>
      </c>
      <c r="N2" s="124">
        <f>IF(OR(K2="",M2=""),"",CEILING((K2-M2)/30,1))</f>
        <v/>
      </c>
      <c r="O2" s="124">
        <f>IF(OR(ISNUMBER(SEARCH("بدون مورد",G2)),ISNUMBER(SEARCH("غير گارانتي",G2)),ISNUMBER(SEARCH("غیر گارانتی",G2)),ISNUMBER(SEARCH("بدون اجرت",G2)),ISNUMBER(SEARCH("فيلتر",G2)),ISNUMBER(SEARCH("فیلتر",G2))),"غیرگارانتی/بدون قطعه",IF(OR(ISNUMBER(SEARCH("ريست",G2)),ISNUMBER(SEARCH("ریست",G2))),"ریست نرم‌افزاری (بدون قطعه)",IF(OR(ISNUMBER(SEARCH("تعویض محصول",G2)),ISNUMBER(SEARCH("تعویض دستگاه",G2))),"تعویض کامل دستگاه (Replacement)",IF(ISNUMBER(SEARCH("پمپ",G2)),IF(ISNUMBER(SEARCH("نشت",G2)),"نشتی - پمپ تخلیه (تعمیر/آب‌بندی)","خرابی - پمپ تخلیه (تعویض)"),IF(ISNUMBER(SEARCH("کمپرسور",G2)),"خرابی - کمپرسور (تعویض)",IF(ISNUMBER(SEARCH("کمک فنر",G2)),"خرابی - کمک فنر (تعویض)",IF(ISNUMBER(SEARCH("لولا",G2)),"مکانیزم درب - لولا (تعویض)",IF(OR(ISNUMBER(SEARCH("قلاب",G2)),ISNUMBER(SEARCH("ميکروسوئيچ",G2)),ISNUMBER(SEARCH("میکروسوئیچ",G2))),"مکانیزم درب - میکروسوئیچ/قلاب (تعویض/تنظیم)",IF(ISNUMBER(SEARCH("زبانه",G2)),"مکانیزم درب - زبانه (تعویض)",IF(OR(ISNUMBER(SEARCH("شيلنگ",G2)),ISNUMBER(SEARCH("شیلنگ",G2))),IF(OR(ISNUMBER(SEARCH("نشتی",G2)),ISNUMBER(SEARCH("نشتي",G2))),"نشتی - شیلنگ (تعمیر/آب‌بندی)",IF(OR(ISNUMBER(SEARCH("يخ",G2)),ISNUMBER(SEARCH("یخ",G2))),"شیلنگ یخساز - یخ‌زدگی (بازبینی)","شیلنگ - برخورد/لهیدگی (بازبینی)")),IF(OR(ISNUMBER(SEARCH("تنظيم ديسپل",G2)),ISNUMBER(SEARCH("تنظیم دیسپل",G2)),ISNUMBER(SEARCH("تنظيم صفحه نمايش",G2)),ISNUMBER(SEARCH("تنظیم صفحه نمایش",G2))),"تنظیم - تنظیمات دستگاه/دیسپلی (تعمیر)",IF(OR(ISNUMBER(SEARCH("برد",G2)),ISNUMBER(SEARCH("سوکت",G2)),ISNUMBER(SEARCH("ديسپل",G2)),ISNUMBER(SEARCH("دیسپل",G2))),"خرابی - برد الکترونیک (تعویض)",IF(OR(ISNUMBER(SEARCH("يخساز",G2)),ISNUMBER(SEARCH("یخساز",G2)),ISNUMBER(SEARCH("دمپر",G2))),IF(OR(ISNUMBER(SEARCH("خرابی",G2)),ISNUMBER(SEARCH("خراب",G2)),ISNUMBER(SEARCH("عدم کارکرد",G2)),ISNUMBER(SEARCH("عدم عملکرد",G2))),"یخساز - خرابی موتور/سنسور/برد (تعویض)","یخساز - تنظیم/عایق (تعمیر)"),IF(OR(ISNUMBER(SEARCH("لاستيک",G2)),ISNUMBER(SEARCH("لاستیک",G2))),"لاستیک درزگیر - دفرمگی/پارگی (تعویض)",IF(OR(ISNUMBER(SEARCH("گسکت",G2)),ISNUMBER(SEARCH("گسگت",G2))),"لاستیک درزگیر - دفرمگی/پارگی (تعویض)",IF(ISNUMBER(SEARCH("مخزن نمک",G2)),"نشتی - درب مخزن نمک (تعمیر/آب‌بندی)",IF(ISNUMBER(SEARCH("براکت",G2)),"نشتی - براکت ریل (تعمیر/آب‌بندی)",IF(ISNUMBER(SEARCH("جاپودر",G2)),"نشتی - جاپودری (تعمیر/آب‌بندی)",IF(ISNUMBER(SEARCH("مقسم",G2)),"نشتی - مقسم آب (تعمیر/آب‌بندی)",IF(OR(ISNUMBER(SEARCH("سنسور دما",G2)),ISNUMBER(SEARCH("ترموستات",G2))),"خرابی - ترموستات (تعویض)",IF(OR(ISNUMBER(SEARCH("هيدروستات",G2)),ISNUMBER(SEARCH("هیدروستات",G2))),"خرابی - هیدروستات (تعویض)",IF(OR(ISNUMBER(SEARCH("بلبرينگ",G2)),ISNUMBER(SEARCH("بلبرینگ",G2))),"خرابی - بلبرینگ (تعویض)",IF(OR(ISNUMBER(SEARCH("شيربرق",G2)),ISNUMBER(SEARCH("شیربرق",G2))),"خرابی - شیربرقی (تعویض)",IF(OR(ISNUMBER(SEARCH("واتر جت",G2)),ISNUMBER(SEARCH("واترجت",G2))),"خرابی - واترجت (تعویض)",IF(OR(ISNUMBER(SEARCH("سيم",G2)),ISNUMBER(SEARCH("سیم",G2)),ISNUMBER(SEARCH("اتصال",G2))),"سیم‌کشی/اتصالات (تعویض/بازبینی)",IF(OR(ISNUMBER(SEARCH("تصوير",G2)),ISNUMBER(SEARCH("تصویر",G2))),"برد نمایش تلویزیون (تعویض)",IF(OR(ISNUMBER(SEARCH("ريموت",G2)),ISNUMBER(SEARCH("ریموت",G2))),"ریموت کنترل (تعویض/تعمیر)",IF(OR(ISNUMBER(SEARCH("ال اي دي",G2)),ISNUMBER(SEARCH("ال ای دی",G2)),ISNUMBER(SEARCH("LED",G2))),"خرابی - لامپ/LED داخلی (تعویض)",IF(ISNUMBER(SEARCH("زنگ زدگ",G2)),"زنگ‌زدگی بدنه/قطعه (تعویض)",IF(OR(ISNUMBER(SEARCH("قطعات تزئين",G2)),ISNUMBER(SEARCH("قطعات تزئین",G2))),"قطعات تزئینی - شکستگی/کسری (تعویض)",IF(ISNUMBER(SEARCH("سبد",G2)),"سبد ظرفشویی - شکستگی (تعویض)",IF(ISNUMBER(SEARCH("تاب درام",G2)),"خرابی - تاب برداشتن درام (تعویض)",IF(ISNUMBER(SEARCH("درام",G2)),"خرابی - سایر ایراد درام (تعویض)",IF(ISNUMBER(SEARCH("موتور",G2)),"خرابی - موتور (تعویض)",IF(ISNUMBER(SEARCH("تسمه",G2)),"خرابی - تسمه (تعویض)",IF(OR(ISNUMBER(SEARCH("پيچ ولوم",G2)),ISNUMBER(SEARCH("پیچ ولوم",G2))),"تنظیم - پیچ ولوم/دکمه (تعمیر)",IF(OR(ISNUMBER(SEARCH("کسري قطعات",G2)),ISNUMBER(SEARCH("کسری قطعات",G2))),"کسری قطعات تزئینی (تعویض)",IF(ISNUMBER(SEARCH("پرچ",G2)),"پرچ/بدنه کابین(تعمیر)",IF(OR(ISNUMBER(SEARCH("نشت",G2)),ISNUMBER(SEARCH("آبريزش",G2)),ISNUMBER(SEARCH("آبریزش",G2))),"نشتی آب - محل نامشخص (نیازمند بازدید)",IF(ISNUMBER(SEARCH("درب",G2)),"سایر اجزای درب (بازبینی)",IF(ISNUMBER(SEARCH("ضربه",G2)),"بدنه/کابین - ضربه (بازبینی/تعویض پنل)",IF(ISNUMBER(SEARCH("تراز",G2)),"تراز/لرزش - نصب (رگلاژ پایه)",IF(OR(ISNUMBER(SEARCH("تعویض",G2)),ISNUMBER(SEARCH("تعويض",G2))),"تعویض کامل دستگاه (Replacement)","سایر (نیازمند بررسی دستی)")))))))))))))))))))))))))))))))))))))))))))</f>
        <v/>
      </c>
      <c r="P2" s="124" t="inlineStr">
        <is>
          <t>*</t>
        </is>
      </c>
      <c r="Q2" s="124">
        <f>IF(ISNUMBER(SEARCH("عهده شرکت",F2)),"شرکت",IF(ISNUMBER(SEARCH("عهده مشتري",F2)),"مشتری",IF(ISNUMBER(SEARCH("عهده مشتری",F2)),"مشتری","نامشخص")))</f>
        <v/>
      </c>
      <c r="R2" s="178">
        <f>IF(O2="تعویض کامل دستگاه (Replacement)",IF(SUMIF('قیمت‌ها و مفروضات'!$A$9:$A$13,C2,'قیمت‌ها و مفروضات'!$C$9:$C$13)&lt;&gt;0,SUMIF('قیمت‌ها و مفروضات'!$A$9:$A$13,C2,'قیمت‌ها و مفروضات'!$C$9:$C$13),SUMIF('قیمت‌ها و مفروضات'!$A$9:$A$13,C2,'قیمت‌ها و مفروضات'!$B$9:$B$13)),IF(SUMIF('قیمت‌ها و مفروضات'!$A$18:$A$63,O2,'قیمت‌ها و مفروضات'!$C$18:$C$63)&lt;&gt;0,SUMIF('قیمت‌ها و مفروضات'!$A$18:$A$63,O2,'قیمت‌ها و مفروضات'!$C$18:$C$63),SUMIF('قیمت‌ها و مفروضات'!$A$18:$A$63,O2,'قیمت‌ها و مفروضات'!$B$18:$B$63)))</f>
        <v/>
      </c>
      <c r="S2" s="178">
        <f>'قیمت‌ها و مفروضات'!$B$3+'قیمت‌ها و مفروضات'!$B$4</f>
        <v/>
      </c>
      <c r="T2" s="178">
        <f>R2+S2</f>
        <v/>
      </c>
      <c r="U2" s="178">
        <f>IF(COUNTIF($E$2:E2,E2)&gt;1,"بله (تکراری)","خیر")</f>
        <v/>
      </c>
      <c r="V2" s="178">
        <f>IF(U2="بله (تکراری)",S2,0)</f>
        <v/>
      </c>
      <c r="W2" s="208" t="inlineStr"/>
      <c r="X2" s="208" t="inlineStr"/>
    </row>
    <row r="3" ht="58.5" customHeight="1" s="151">
      <c r="A3" s="176" t="n">
        <v>760495</v>
      </c>
      <c r="B3" s="124">
        <f>CHOOSE(_xlfn.NUMBERVALUE(MID(H3,6,2)),"فروردین","اردیبهشت","خرداد","تیر","مرداد","شهریور","مهر","آبان","آذر","دی","بهمن","اسفند")</f>
        <v/>
      </c>
      <c r="C3" s="176" t="inlineStr">
        <is>
          <t>یخچال ساید‌بای‌ساید</t>
        </is>
      </c>
      <c r="D3" s="176" t="inlineStr">
        <is>
          <t>C2S-29HS1</t>
        </is>
      </c>
      <c r="E3" s="176" t="inlineStr">
        <is>
          <t>52240001N01136</t>
        </is>
      </c>
      <c r="F3" s="173" t="inlineStr">
        <is>
          <t>عدم کارکرد يخساز**اياب و ذهاب به عهده شرکت</t>
        </is>
      </c>
      <c r="G3" s="173" t="inlineStr">
        <is>
          <t>اصلاح دمپر پلاستيکي</t>
        </is>
      </c>
      <c r="H3" s="176" t="inlineStr">
        <is>
          <t>1405/01/16</t>
        </is>
      </c>
      <c r="I3" s="176" t="inlineStr">
        <is>
          <t>1403/04/28</t>
        </is>
      </c>
      <c r="J3" s="176" t="inlineStr">
        <is>
          <t>1404/04/25</t>
        </is>
      </c>
      <c r="K3" s="177">
        <f>IFERROR(VLOOKUP(LEFT(H3,7),'تبدیل تاریخ'!$A$2:$B$73,2,FALSE())+VALUE(RIGHT(H3,2))-1,"")</f>
        <v/>
      </c>
      <c r="L3" s="177">
        <f>IFERROR(VLOOKUP(LEFT(I3,7),'تبدیل تاریخ'!$A$2:$B$73,2,FALSE())+VALUE(RIGHT(I3,2))-1,"")</f>
        <v/>
      </c>
      <c r="M3" s="177">
        <f>IF(J3="","",IFERROR(VLOOKUP(LEFT(J3,7),'تبدیل تاریخ'!$A$2:$B$73,2,FALSE())+VALUE(RIGHT(J3,2))-1,""))</f>
        <v/>
      </c>
      <c r="N3" s="124">
        <f>IF(OR(K3="",M3=""),"",CEILING((K3-M3)/30,1))</f>
        <v/>
      </c>
      <c r="O3" s="124">
        <f>IF(OR(ISNUMBER(SEARCH("بدون مورد",G3)),ISNUMBER(SEARCH("غير گارانتي",G3)),ISNUMBER(SEARCH("غیر گارانتی",G3)),ISNUMBER(SEARCH("بدون اجرت",G3)),ISNUMBER(SEARCH("فيلتر",G3)),ISNUMBER(SEARCH("فیلتر",G3))),"غیرگارانتی/بدون قطعه",IF(OR(ISNUMBER(SEARCH("ريست",G3)),ISNUMBER(SEARCH("ریست",G3))),"ریست نرم‌افزاری (بدون قطعه)",IF(OR(ISNUMBER(SEARCH("تعویض محصول",G3)),ISNUMBER(SEARCH("تعویض دستگاه",G3))),"تعویض کامل دستگاه (Replacement)",IF(ISNUMBER(SEARCH("پمپ",G3)),IF(ISNUMBER(SEARCH("نشت",G3)),"نشتی - پمپ تخلیه (تعمیر/آب‌بندی)","خرابی - پمپ تخلیه (تعویض)"),IF(ISNUMBER(SEARCH("کمپرسور",G3)),"خرابی - کمپرسور (تعویض)",IF(ISNUMBER(SEARCH("کمک فنر",G3)),"خرابی - کمک فنر (تعویض)",IF(ISNUMBER(SEARCH("لولا",G3)),"مکانیزم درب - لولا (تعویض)",IF(OR(ISNUMBER(SEARCH("قلاب",G3)),ISNUMBER(SEARCH("ميکروسوئيچ",G3)),ISNUMBER(SEARCH("میکروسوئیچ",G3))),"مکانیزم درب - میکروسوئیچ/قلاب (تعویض/تنظیم)",IF(ISNUMBER(SEARCH("زبانه",G3)),"مکانیزم درب - زبانه (تعویض)",IF(OR(ISNUMBER(SEARCH("شيلنگ",G3)),ISNUMBER(SEARCH("شیلنگ",G3))),IF(OR(ISNUMBER(SEARCH("نشتی",G3)),ISNUMBER(SEARCH("نشتي",G3))),"نشتی - شیلنگ (تعمیر/آب‌بندی)",IF(OR(ISNUMBER(SEARCH("يخ",G3)),ISNUMBER(SEARCH("یخ",G3))),"شیلنگ یخساز - یخ‌زدگی (بازبینی)","شیلنگ - برخورد/لهیدگی (بازبینی)")),IF(OR(ISNUMBER(SEARCH("تنظيم ديسپل",G3)),ISNUMBER(SEARCH("تنظیم دیسپل",G3)),ISNUMBER(SEARCH("تنظيم صفحه نمايش",G3)),ISNUMBER(SEARCH("تنظیم صفحه نمایش",G3))),"تنظیم - تنظیمات دستگاه/دیسپلی (تعمیر)",IF(OR(ISNUMBER(SEARCH("برد",G3)),ISNUMBER(SEARCH("سوکت",G3)),ISNUMBER(SEARCH("ديسپل",G3)),ISNUMBER(SEARCH("دیسپل",G3))),"خرابی - برد الکترونیک (تعویض)",IF(OR(ISNUMBER(SEARCH("يخساز",G3)),ISNUMBER(SEARCH("یخساز",G3)),ISNUMBER(SEARCH("دمپر",G3))),IF(OR(ISNUMBER(SEARCH("خرابی",G3)),ISNUMBER(SEARCH("خراب",G3)),ISNUMBER(SEARCH("عدم کارکرد",G3)),ISNUMBER(SEARCH("عدم عملکرد",G3))),"یخساز - خرابی موتور/سنسور/برد (تعویض)","یخساز - تنظیم/عایق (تعمیر)"),IF(OR(ISNUMBER(SEARCH("لاستيک",G3)),ISNUMBER(SEARCH("لاستیک",G3))),"لاستیک درزگیر - دفرمگی/پارگی (تعویض)",IF(OR(ISNUMBER(SEARCH("گسکت",G3)),ISNUMBER(SEARCH("گسگت",G3))),"لاستیک درزگیر - دفرمگی/پارگی (تعویض)",IF(ISNUMBER(SEARCH("مخزن نمک",G3)),"نشتی - درب مخزن نمک (تعمیر/آب‌بندی)",IF(ISNUMBER(SEARCH("براکت",G3)),"نشتی - براکت ریل (تعمیر/آب‌بندی)",IF(ISNUMBER(SEARCH("جاپودر",G3)),"نشتی - جاپودری (تعمیر/آب‌بندی)",IF(ISNUMBER(SEARCH("مقسم",G3)),"نشتی - مقسم آب (تعمیر/آب‌بندی)",IF(OR(ISNUMBER(SEARCH("سنسور دما",G3)),ISNUMBER(SEARCH("ترموستات",G3))),"خرابی - ترموستات (تعویض)",IF(OR(ISNUMBER(SEARCH("هيدروستات",G3)),ISNUMBER(SEARCH("هیدروستات",G3))),"خرابی - هیدروستات (تعویض)",IF(OR(ISNUMBER(SEARCH("بلبرينگ",G3)),ISNUMBER(SEARCH("بلبرینگ",G3))),"خرابی - بلبرینگ (تعویض)",IF(OR(ISNUMBER(SEARCH("شيربرق",G3)),ISNUMBER(SEARCH("شیربرق",G3))),"خرابی - شیربرقی (تعویض)",IF(OR(ISNUMBER(SEARCH("واتر جت",G3)),ISNUMBER(SEARCH("واترجت",G3))),"خرابی - واترجت (تعویض)",IF(OR(ISNUMBER(SEARCH("سيم",G3)),ISNUMBER(SEARCH("سیم",G3)),ISNUMBER(SEARCH("اتصال",G3))),"سیم‌کشی/اتصالات (تعویض/بازبینی)",IF(OR(ISNUMBER(SEARCH("تصوير",G3)),ISNUMBER(SEARCH("تصویر",G3))),"برد نمایش تلویزیون (تعویض)",IF(OR(ISNUMBER(SEARCH("ريموت",G3)),ISNUMBER(SEARCH("ریموت",G3))),"ریموت کنترل (تعویض/تعمیر)",IF(OR(ISNUMBER(SEARCH("ال اي دي",G3)),ISNUMBER(SEARCH("ال ای دی",G3)),ISNUMBER(SEARCH("LED",G3))),"خرابی - لامپ/LED داخلی (تعویض)",IF(ISNUMBER(SEARCH("زنگ زدگ",G3)),"زنگ‌زدگی بدنه/قطعه (تعویض)",IF(OR(ISNUMBER(SEARCH("قطعات تزئين",G3)),ISNUMBER(SEARCH("قطعات تزئین",G3))),"قطعات تزئینی - شکستگی/کسری (تعویض)",IF(ISNUMBER(SEARCH("سبد",G3)),"سبد ظرفشویی - شکستگی (تعویض)",IF(ISNUMBER(SEARCH("تاب درام",G3)),"خرابی - تاب برداشتن درام (تعویض)",IF(ISNUMBER(SEARCH("درام",G3)),"خرابی - سایر ایراد درام (تعویض)",IF(ISNUMBER(SEARCH("موتور",G3)),"خرابی - موتور (تعویض)",IF(ISNUMBER(SEARCH("تسمه",G3)),"خرابی - تسمه (تعویض)",IF(OR(ISNUMBER(SEARCH("پيچ ولوم",G3)),ISNUMBER(SEARCH("پیچ ولوم",G3))),"تنظیم - پیچ ولوم/دکمه (تعمیر)",IF(OR(ISNUMBER(SEARCH("کسري قطعات",G3)),ISNUMBER(SEARCH("کسری قطعات",G3))),"کسری قطعات تزئینی (تعویض)",IF(ISNUMBER(SEARCH("پرچ",G3)),"پرچ/بدنه کابین(تعمیر)",IF(OR(ISNUMBER(SEARCH("نشت",G3)),ISNUMBER(SEARCH("آبريزش",G3)),ISNUMBER(SEARCH("آبریزش",G3))),"نشتی آب - محل نامشخص (نیازمند بازدید)",IF(ISNUMBER(SEARCH("درب",G3)),"سایر اجزای درب (بازبینی)",IF(ISNUMBER(SEARCH("ضربه",G3)),"بدنه/کابین - ضربه (بازبینی/تعویض پنل)",IF(ISNUMBER(SEARCH("تراز",G3)),"تراز/لرزش - نصب (رگلاژ پایه)",IF(OR(ISNUMBER(SEARCH("تعویض",G3)),ISNUMBER(SEARCH("تعويض",G3))),"تعویض کامل دستگاه (Replacement)","سایر (نیازمند بررسی دستی)")))))))))))))))))))))))))))))))))))))))))))</f>
        <v/>
      </c>
      <c r="P3" s="124" t="inlineStr">
        <is>
          <t>*</t>
        </is>
      </c>
      <c r="Q3" s="124">
        <f>IF(ISNUMBER(SEARCH("عهده شرکت",F3)),"شرکت",IF(ISNUMBER(SEARCH("عهده مشتري",F3)),"مشتری",IF(ISNUMBER(SEARCH("عهده مشتری",F3)),"مشتری","نامشخص")))</f>
        <v/>
      </c>
      <c r="R3" s="178">
        <f>IF(O3="تعویض کامل دستگاه (Replacement)",IF(SUMIF('قیمت‌ها و مفروضات'!$A$9:$A$13,C3,'قیمت‌ها و مفروضات'!$C$9:$C$13)&lt;&gt;0,SUMIF('قیمت‌ها و مفروضات'!$A$9:$A$13,C3,'قیمت‌ها و مفروضات'!$C$9:$C$13),SUMIF('قیمت‌ها و مفروضات'!$A$9:$A$13,C3,'قیمت‌ها و مفروضات'!$B$9:$B$13)),IF(SUMIF('قیمت‌ها و مفروضات'!$A$18:$A$63,O3,'قیمت‌ها و مفروضات'!$C$18:$C$63)&lt;&gt;0,SUMIF('قیمت‌ها و مفروضات'!$A$18:$A$63,O3,'قیمت‌ها و مفروضات'!$C$18:$C$63),SUMIF('قیمت‌ها و مفروضات'!$A$18:$A$63,O3,'قیمت‌ها و مفروضات'!$B$18:$B$63)))</f>
        <v/>
      </c>
      <c r="S3" s="178">
        <f>'قیمت‌ها و مفروضات'!$B$3+'قیمت‌ها و مفروضات'!$B$4</f>
        <v/>
      </c>
      <c r="T3" s="178">
        <f>R3+S3</f>
        <v/>
      </c>
      <c r="U3" s="178">
        <f>IF(COUNTIF($E$2:E3,E3)&gt;1,"بله (تکراری)","خیر")</f>
        <v/>
      </c>
      <c r="V3" s="178">
        <f>IF(U3="بله (تکراری)",S3,0)</f>
        <v/>
      </c>
      <c r="W3" s="208" t="inlineStr"/>
      <c r="X3" s="208" t="inlineStr"/>
    </row>
    <row r="4" ht="58.5" customHeight="1" s="151">
      <c r="A4" s="176" t="n">
        <v>765741</v>
      </c>
      <c r="B4" s="124">
        <f>CHOOSE(_xlfn.NUMBERVALUE(MID(H4,6,2)),"فروردین","اردیبهشت","خرداد","تیر","مرداد","شهریور","مهر","آبان","آذر","دی","بهمن","اسفند")</f>
        <v/>
      </c>
      <c r="C4" s="176" t="inlineStr">
        <is>
          <t>یخچال ساید‌بای‌ساید</t>
        </is>
      </c>
      <c r="D4" s="176" t="inlineStr">
        <is>
          <t>C2S-29HS1</t>
        </is>
      </c>
      <c r="E4" s="176" t="inlineStr">
        <is>
          <t>52240001N02021</t>
        </is>
      </c>
      <c r="F4" s="173" t="inlineStr">
        <is>
          <t>عدم کارکرد يخساز**اياب و ذهاب به عهده شرکت</t>
        </is>
      </c>
      <c r="G4" s="173" t="inlineStr">
        <is>
          <t>خرابی برد</t>
        </is>
      </c>
      <c r="H4" s="176" t="inlineStr">
        <is>
          <t>1405/01/26</t>
        </is>
      </c>
      <c r="I4" s="176" t="inlineStr">
        <is>
          <t>1403/09/13</t>
        </is>
      </c>
      <c r="J4" s="176" t="inlineStr">
        <is>
          <t>1404/12/03</t>
        </is>
      </c>
      <c r="K4" s="177">
        <f>IFERROR(VLOOKUP(LEFT(H4,7),'تبدیل تاریخ'!$A$2:$B$73,2,FALSE())+VALUE(RIGHT(H4,2))-1,"")</f>
        <v/>
      </c>
      <c r="L4" s="177">
        <f>IFERROR(VLOOKUP(LEFT(I4,7),'تبدیل تاریخ'!$A$2:$B$73,2,FALSE())+VALUE(RIGHT(I4,2))-1,"")</f>
        <v/>
      </c>
      <c r="M4" s="177">
        <f>IF(J4="","",IFERROR(VLOOKUP(LEFT(J4,7),'تبدیل تاریخ'!$A$2:$B$73,2,FALSE())+VALUE(RIGHT(J4,2))-1,""))</f>
        <v/>
      </c>
      <c r="N4" s="124">
        <f>IF(OR(K4="",M4=""),"",CEILING((K4-M4)/30,1))</f>
        <v/>
      </c>
      <c r="O4" s="124">
        <f>IF(OR(ISNUMBER(SEARCH("بدون مورد",G4)),ISNUMBER(SEARCH("غير گارانتي",G4)),ISNUMBER(SEARCH("غیر گارانتی",G4)),ISNUMBER(SEARCH("بدون اجرت",G4)),ISNUMBER(SEARCH("فيلتر",G4)),ISNUMBER(SEARCH("فیلتر",G4))),"غیرگارانتی/بدون قطعه",IF(OR(ISNUMBER(SEARCH("ريست",G4)),ISNUMBER(SEARCH("ریست",G4))),"ریست نرم‌افزاری (بدون قطعه)",IF(OR(ISNUMBER(SEARCH("تعویض محصول",G4)),ISNUMBER(SEARCH("تعویض دستگاه",G4))),"تعویض کامل دستگاه (Replacement)",IF(ISNUMBER(SEARCH("پمپ",G4)),IF(ISNUMBER(SEARCH("نشت",G4)),"نشتی - پمپ تخلیه (تعمیر/آب‌بندی)","خرابی - پمپ تخلیه (تعویض)"),IF(ISNUMBER(SEARCH("کمپرسور",G4)),"خرابی - کمپرسور (تعویض)",IF(ISNUMBER(SEARCH("کمک فنر",G4)),"خرابی - کمک فنر (تعویض)",IF(ISNUMBER(SEARCH("لولا",G4)),"مکانیزم درب - لولا (تعویض)",IF(OR(ISNUMBER(SEARCH("قلاب",G4)),ISNUMBER(SEARCH("ميکروسوئيچ",G4)),ISNUMBER(SEARCH("میکروسوئیچ",G4))),"مکانیزم درب - میکروسوئیچ/قلاب (تعویض/تنظیم)",IF(ISNUMBER(SEARCH("زبانه",G4)),"مکانیزم درب - زبانه (تعویض)",IF(OR(ISNUMBER(SEARCH("شيلنگ",G4)),ISNUMBER(SEARCH("شیلنگ",G4))),IF(OR(ISNUMBER(SEARCH("نشتی",G4)),ISNUMBER(SEARCH("نشتي",G4))),"نشتی - شیلنگ (تعمیر/آب‌بندی)",IF(OR(ISNUMBER(SEARCH("يخ",G4)),ISNUMBER(SEARCH("یخ",G4))),"شیلنگ یخساز - یخ‌زدگی (بازبینی)","شیلنگ - برخورد/لهیدگی (بازبینی)")),IF(OR(ISNUMBER(SEARCH("تنظيم ديسپل",G4)),ISNUMBER(SEARCH("تنظیم دیسپل",G4)),ISNUMBER(SEARCH("تنظيم صفحه نمايش",G4)),ISNUMBER(SEARCH("تنظیم صفحه نمایش",G4))),"تنظیم - تنظیمات دستگاه/دیسپلی (تعمیر)",IF(OR(ISNUMBER(SEARCH("برد",G4)),ISNUMBER(SEARCH("سوکت",G4)),ISNUMBER(SEARCH("ديسپل",G4)),ISNUMBER(SEARCH("دیسپل",G4))),"خرابی - برد الکترونیک (تعویض)",IF(OR(ISNUMBER(SEARCH("يخساز",G4)),ISNUMBER(SEARCH("یخساز",G4)),ISNUMBER(SEARCH("دمپر",G4))),IF(OR(ISNUMBER(SEARCH("خرابی",G4)),ISNUMBER(SEARCH("خراب",G4)),ISNUMBER(SEARCH("عدم کارکرد",G4)),ISNUMBER(SEARCH("عدم عملکرد",G4))),"یخساز - خرابی موتور/سنسور/برد (تعویض)","یخساز - تنظیم/عایق (تعمیر)"),IF(OR(ISNUMBER(SEARCH("لاستيک",G4)),ISNUMBER(SEARCH("لاستیک",G4))),"لاستیک درزگیر - دفرمگی/پارگی (تعویض)",IF(OR(ISNUMBER(SEARCH("گسکت",G4)),ISNUMBER(SEARCH("گسگت",G4))),"لاستیک درزگیر - دفرمگی/پارگی (تعویض)",IF(ISNUMBER(SEARCH("مخزن نمک",G4)),"نشتی - درب مخزن نمک (تعمیر/آب‌بندی)",IF(ISNUMBER(SEARCH("براکت",G4)),"نشتی - براکت ریل (تعمیر/آب‌بندی)",IF(ISNUMBER(SEARCH("جاپودر",G4)),"نشتی - جاپودری (تعمیر/آب‌بندی)",IF(ISNUMBER(SEARCH("مقسم",G4)),"نشتی - مقسم آب (تعمیر/آب‌بندی)",IF(OR(ISNUMBER(SEARCH("سنسور دما",G4)),ISNUMBER(SEARCH("ترموستات",G4))),"خرابی - ترموستات (تعویض)",IF(OR(ISNUMBER(SEARCH("هيدروستات",G4)),ISNUMBER(SEARCH("هیدروستات",G4))),"خرابی - هیدروستات (تعویض)",IF(OR(ISNUMBER(SEARCH("بلبرينگ",G4)),ISNUMBER(SEARCH("بلبرینگ",G4))),"خرابی - بلبرینگ (تعویض)",IF(OR(ISNUMBER(SEARCH("شيربرق",G4)),ISNUMBER(SEARCH("شیربرق",G4))),"خرابی - شیربرقی (تعویض)",IF(OR(ISNUMBER(SEARCH("واتر جت",G4)),ISNUMBER(SEARCH("واترجت",G4))),"خرابی - واترجت (تعویض)",IF(OR(ISNUMBER(SEARCH("سيم",G4)),ISNUMBER(SEARCH("سیم",G4)),ISNUMBER(SEARCH("اتصال",G4))),"سیم‌کشی/اتصالات (تعویض/بازبینی)",IF(OR(ISNUMBER(SEARCH("تصوير",G4)),ISNUMBER(SEARCH("تصویر",G4))),"برد نمایش تلویزیون (تعویض)",IF(OR(ISNUMBER(SEARCH("ريموت",G4)),ISNUMBER(SEARCH("ریموت",G4))),"ریموت کنترل (تعویض/تعمیر)",IF(OR(ISNUMBER(SEARCH("ال اي دي",G4)),ISNUMBER(SEARCH("ال ای دی",G4)),ISNUMBER(SEARCH("LED",G4))),"خرابی - لامپ/LED داخلی (تعویض)",IF(ISNUMBER(SEARCH("زنگ زدگ",G4)),"زنگ‌زدگی بدنه/قطعه (تعویض)",IF(OR(ISNUMBER(SEARCH("قطعات تزئين",G4)),ISNUMBER(SEARCH("قطعات تزئین",G4))),"قطعات تزئینی - شکستگی/کسری (تعویض)",IF(ISNUMBER(SEARCH("سبد",G4)),"سبد ظرفشویی - شکستگی (تعویض)",IF(ISNUMBER(SEARCH("تاب درام",G4)),"خرابی - تاب برداشتن درام (تعویض)",IF(ISNUMBER(SEARCH("درام",G4)),"خرابی - سایر ایراد درام (تعویض)",IF(ISNUMBER(SEARCH("موتور",G4)),"خرابی - موتور (تعویض)",IF(ISNUMBER(SEARCH("تسمه",G4)),"خرابی - تسمه (تعویض)",IF(OR(ISNUMBER(SEARCH("پيچ ولوم",G4)),ISNUMBER(SEARCH("پیچ ولوم",G4))),"تنظیم - پیچ ولوم/دکمه (تعمیر)",IF(OR(ISNUMBER(SEARCH("کسري قطعات",G4)),ISNUMBER(SEARCH("کسری قطعات",G4))),"کسری قطعات تزئینی (تعویض)",IF(ISNUMBER(SEARCH("پرچ",G4)),"پرچ/بدنه کابین(تعمیر)",IF(OR(ISNUMBER(SEARCH("نشت",G4)),ISNUMBER(SEARCH("آبريزش",G4)),ISNUMBER(SEARCH("آبریزش",G4))),"نشتی آب - محل نامشخص (نیازمند بازدید)",IF(ISNUMBER(SEARCH("درب",G4)),"سایر اجزای درب (بازبینی)",IF(ISNUMBER(SEARCH("ضربه",G4)),"بدنه/کابین - ضربه (بازبینی/تعویض پنل)",IF(ISNUMBER(SEARCH("تراز",G4)),"تراز/لرزش - نصب (رگلاژ پایه)",IF(OR(ISNUMBER(SEARCH("تعویض",G4)),ISNUMBER(SEARCH("تعويض",G4))),"تعویض کامل دستگاه (Replacement)","سایر (نیازمند بررسی دستی)")))))))))))))))))))))))))))))))))))))))))))</f>
        <v/>
      </c>
      <c r="P4" s="124" t="inlineStr">
        <is>
          <t>برد ساید بای ساید</t>
        </is>
      </c>
      <c r="Q4" s="124">
        <f>IF(ISNUMBER(SEARCH("عهده شرکت",F4)),"شرکت",IF(ISNUMBER(SEARCH("عهده مشتري",F4)),"مشتری",IF(ISNUMBER(SEARCH("عهده مشتری",F4)),"مشتری","نامشخص")))</f>
        <v/>
      </c>
      <c r="R4" s="178">
        <f>IF(O4="تعویض کامل دستگاه (Replacement)",IF(SUMIF('قیمت‌ها و مفروضات'!$A$9:$A$13,C4,'قیمت‌ها و مفروضات'!$C$9:$C$13)&lt;&gt;0,SUMIF('قیمت‌ها و مفروضات'!$A$9:$A$13,C4,'قیمت‌ها و مفروضات'!$C$9:$C$13),SUMIF('قیمت‌ها و مفروضات'!$A$9:$A$13,C4,'قیمت‌ها و مفروضات'!$B$9:$B$13)),IF(SUMIF('قیمت‌ها و مفروضات'!$A$18:$A$63,O4,'قیمت‌ها و مفروضات'!$C$18:$C$63)&lt;&gt;0,SUMIF('قیمت‌ها و مفروضات'!$A$18:$A$63,O4,'قیمت‌ها و مفروضات'!$C$18:$C$63),SUMIF('قیمت‌ها و مفروضات'!$A$18:$A$63,O4,'قیمت‌ها و مفروضات'!$B$18:$B$63)))</f>
        <v/>
      </c>
      <c r="S4" s="178">
        <f>'قیمت‌ها و مفروضات'!$B$3+'قیمت‌ها و مفروضات'!$B$4</f>
        <v/>
      </c>
      <c r="T4" s="178">
        <f>R4+S4</f>
        <v/>
      </c>
      <c r="U4" s="178">
        <f>IF(COUNTIF($E$2:E3,E2)&gt;1,"بله (تکراری)","خیر")</f>
        <v/>
      </c>
      <c r="V4" s="178">
        <f>IF(U4="بله (تکراری)",S4,0)</f>
        <v/>
      </c>
      <c r="W4" s="208" t="inlineStr"/>
      <c r="X4" s="208" t="inlineStr"/>
    </row>
    <row r="5" ht="58.5" customHeight="1" s="151">
      <c r="A5" s="176" t="n">
        <v>761565</v>
      </c>
      <c r="B5" s="124">
        <f>CHOOSE(_xlfn.NUMBERVALUE(MID(H5,6,2)),"فروردین","اردیبهشت","خرداد","تیر","مرداد","شهریور","مهر","آبان","آذر","دی","بهمن","اسفند")</f>
        <v/>
      </c>
      <c r="C5" s="176" t="inlineStr">
        <is>
          <t>ماشين ظرفشويي</t>
        </is>
      </c>
      <c r="D5" s="176" t="inlineStr">
        <is>
          <t>CDW-H16T</t>
        </is>
      </c>
      <c r="E5" s="176" t="inlineStr">
        <is>
          <t>52220004N01428</t>
        </is>
      </c>
      <c r="F5" s="173" t="inlineStr">
        <is>
          <t>اياب و ذهاب به عهده شرکت ** بسته نشدن درب</t>
        </is>
      </c>
      <c r="G5" s="173" t="inlineStr">
        <is>
          <t xml:space="preserve">بدون مورد و اجرت </t>
        </is>
      </c>
      <c r="H5" s="176" t="inlineStr">
        <is>
          <t>1405/01/16</t>
        </is>
      </c>
      <c r="I5" s="176" t="inlineStr">
        <is>
          <t>1403/11/02</t>
        </is>
      </c>
      <c r="J5" s="176" t="inlineStr">
        <is>
          <t>1404/01/30</t>
        </is>
      </c>
      <c r="K5" s="177">
        <f>IFERROR(VLOOKUP(LEFT(H5,7),'تبدیل تاریخ'!$A$2:$B$73,2,FALSE())+VALUE(RIGHT(H5,2))-1,"")</f>
        <v/>
      </c>
      <c r="L5" s="177">
        <f>IFERROR(VLOOKUP(LEFT(I5,7),'تبدیل تاریخ'!$A$2:$B$73,2,FALSE())+VALUE(RIGHT(I5,2))-1,"")</f>
        <v/>
      </c>
      <c r="M5" s="177">
        <f>IF(J5="","",IFERROR(VLOOKUP(LEFT(J5,7),'تبدیل تاریخ'!$A$2:$B$73,2,FALSE())+VALUE(RIGHT(J5,2))-1,""))</f>
        <v/>
      </c>
      <c r="N5" s="124">
        <f>IF(OR(K5="",M5=""),"",CEILING((K5-M5)/30,1))</f>
        <v/>
      </c>
      <c r="O5" s="124">
        <f>IF(OR(ISNUMBER(SEARCH("بدون مورد",G5)),ISNUMBER(SEARCH("غير گارانتي",G5)),ISNUMBER(SEARCH("غیر گارانتی",G5)),ISNUMBER(SEARCH("بدون اجرت",G5)),ISNUMBER(SEARCH("فيلتر",G5)),ISNUMBER(SEARCH("فیلتر",G5))),"غیرگارانتی/بدون قطعه",IF(OR(ISNUMBER(SEARCH("ريست",G5)),ISNUMBER(SEARCH("ریست",G5))),"ریست نرم‌افزاری (بدون قطعه)",IF(OR(ISNUMBER(SEARCH("تعویض محصول",G5)),ISNUMBER(SEARCH("تعویض دستگاه",G5))),"تعویض کامل دستگاه (Replacement)",IF(ISNUMBER(SEARCH("پمپ",G5)),IF(ISNUMBER(SEARCH("نشت",G5)),"نشتی - پمپ تخلیه (تعمیر/آب‌بندی)","خرابی - پمپ تخلیه (تعویض)"),IF(ISNUMBER(SEARCH("کمپرسور",G5)),"خرابی - کمپرسور (تعویض)",IF(ISNUMBER(SEARCH("کمک فنر",G5)),"خرابی - کمک فنر (تعویض)",IF(ISNUMBER(SEARCH("لولا",G5)),"مکانیزم درب - لولا (تعویض)",IF(OR(ISNUMBER(SEARCH("قلاب",G5)),ISNUMBER(SEARCH("ميکروسوئيچ",G5)),ISNUMBER(SEARCH("میکروسوئیچ",G5))),"مکانیزم درب - میکروسوئیچ/قلاب (تعویض/تنظیم)",IF(ISNUMBER(SEARCH("زبانه",G5)),"مکانیزم درب - زبانه (تعویض)",IF(OR(ISNUMBER(SEARCH("شيلنگ",G5)),ISNUMBER(SEARCH("شیلنگ",G5))),IF(OR(ISNUMBER(SEARCH("نشتی",G5)),ISNUMBER(SEARCH("نشتي",G5))),"نشتی - شیلنگ (تعمیر/آب‌بندی)",IF(OR(ISNUMBER(SEARCH("يخ",G5)),ISNUMBER(SEARCH("یخ",G5))),"شیلنگ یخساز - یخ‌زدگی (بازبینی)","شیلنگ - برخورد/لهیدگی (بازبینی)")),IF(OR(ISNUMBER(SEARCH("تنظيم ديسپل",G5)),ISNUMBER(SEARCH("تنظیم دیسپل",G5)),ISNUMBER(SEARCH("تنظيم صفحه نمايش",G5)),ISNUMBER(SEARCH("تنظیم صفحه نمایش",G5))),"تنظیم - تنظیمات دستگاه/دیسپلی (تعمیر)",IF(OR(ISNUMBER(SEARCH("برد",G5)),ISNUMBER(SEARCH("سوکت",G5)),ISNUMBER(SEARCH("ديسپل",G5)),ISNUMBER(SEARCH("دیسپل",G5))),"خرابی - برد الکترونیک (تعویض)",IF(OR(ISNUMBER(SEARCH("يخساز",G5)),ISNUMBER(SEARCH("یخساز",G5)),ISNUMBER(SEARCH("دمپر",G5))),IF(OR(ISNUMBER(SEARCH("خرابی",G5)),ISNUMBER(SEARCH("خراب",G5)),ISNUMBER(SEARCH("عدم کارکرد",G5)),ISNUMBER(SEARCH("عدم عملکرد",G5))),"یخساز - خرابی موتور/سنسور/برد (تعویض)","یخساز - تنظیم/عایق (تعمیر)"),IF(OR(ISNUMBER(SEARCH("لاستيک",G5)),ISNUMBER(SEARCH("لاستیک",G5))),"لاستیک درزگیر - دفرمگی/پارگی (تعویض)",IF(OR(ISNUMBER(SEARCH("گسکت",G5)),ISNUMBER(SEARCH("گسگت",G5))),"لاستیک درزگیر - دفرمگی/پارگی (تعویض)",IF(ISNUMBER(SEARCH("مخزن نمک",G5)),"نشتی - درب مخزن نمک (تعمیر/آب‌بندی)",IF(ISNUMBER(SEARCH("براکت",G5)),"نشتی - براکت ریل (تعمیر/آب‌بندی)",IF(ISNUMBER(SEARCH("جاپودر",G5)),"نشتی - جاپودری (تعمیر/آب‌بندی)",IF(ISNUMBER(SEARCH("مقسم",G5)),"نشتی - مقسم آب (تعمیر/آب‌بندی)",IF(OR(ISNUMBER(SEARCH("سنسور دما",G5)),ISNUMBER(SEARCH("ترموستات",G5))),"خرابی - ترموستات (تعویض)",IF(OR(ISNUMBER(SEARCH("هيدروستات",G5)),ISNUMBER(SEARCH("هیدروستات",G5))),"خرابی - هیدروستات (تعویض)",IF(OR(ISNUMBER(SEARCH("بلبرينگ",G5)),ISNUMBER(SEARCH("بلبرینگ",G5))),"خرابی - بلبرینگ (تعویض)",IF(OR(ISNUMBER(SEARCH("شيربرق",G5)),ISNUMBER(SEARCH("شیربرق",G5))),"خرابی - شیربرقی (تعویض)",IF(OR(ISNUMBER(SEARCH("واتر جت",G5)),ISNUMBER(SEARCH("واترجت",G5))),"خرابی - واترجت (تعویض)",IF(OR(ISNUMBER(SEARCH("سيم",G5)),ISNUMBER(SEARCH("سیم",G5)),ISNUMBER(SEARCH("اتصال",G5))),"سیم‌کشی/اتصالات (تعویض/بازبینی)",IF(OR(ISNUMBER(SEARCH("تصوير",G5)),ISNUMBER(SEARCH("تصویر",G5))),"برد نمایش تلویزیون (تعویض)",IF(OR(ISNUMBER(SEARCH("ريموت",G5)),ISNUMBER(SEARCH("ریموت",G5))),"ریموت کنترل (تعویض/تعمیر)",IF(OR(ISNUMBER(SEARCH("ال اي دي",G5)),ISNUMBER(SEARCH("ال ای دی",G5)),ISNUMBER(SEARCH("LED",G5))),"خرابی - لامپ/LED داخلی (تعویض)",IF(ISNUMBER(SEARCH("زنگ زدگ",G5)),"زنگ‌زدگی بدنه/قطعه (تعویض)",IF(OR(ISNUMBER(SEARCH("قطعات تزئين",G5)),ISNUMBER(SEARCH("قطعات تزئین",G5))),"قطعات تزئینی - شکستگی/کسری (تعویض)",IF(ISNUMBER(SEARCH("سبد",G5)),"سبد ظرفشویی - شکستگی (تعویض)",IF(ISNUMBER(SEARCH("تاب درام",G5)),"خرابی - تاب برداشتن درام (تعویض)",IF(ISNUMBER(SEARCH("درام",G5)),"خرابی - سایر ایراد درام (تعویض)",IF(ISNUMBER(SEARCH("موتور",G5)),"خرابی - موتور (تعویض)",IF(ISNUMBER(SEARCH("تسمه",G5)),"خرابی - تسمه (تعویض)",IF(OR(ISNUMBER(SEARCH("پيچ ولوم",G5)),ISNUMBER(SEARCH("پیچ ولوم",G5))),"تنظیم - پیچ ولوم/دکمه (تعمیر)",IF(OR(ISNUMBER(SEARCH("کسري قطعات",G5)),ISNUMBER(SEARCH("کسری قطعات",G5))),"کسری قطعات تزئینی (تعویض)",IF(ISNUMBER(SEARCH("پرچ",G5)),"پرچ/بدنه کابین(تعمیر)",IF(OR(ISNUMBER(SEARCH("نشت",G5)),ISNUMBER(SEARCH("آبريزش",G5)),ISNUMBER(SEARCH("آبریزش",G5))),"نشتی آب - محل نامشخص (نیازمند بازدید)",IF(ISNUMBER(SEARCH("درب",G5)),"سایر اجزای درب (بازبینی)",IF(ISNUMBER(SEARCH("ضربه",G5)),"بدنه/کابین - ضربه (بازبینی/تعویض پنل)",IF(ISNUMBER(SEARCH("تراز",G5)),"تراز/لرزش - نصب (رگلاژ پایه)",IF(OR(ISNUMBER(SEARCH("تعویض",G5)),ISNUMBER(SEARCH("تعويض",G5))),"تعویض کامل دستگاه (Replacement)","سایر (نیازمند بررسی دستی)")))))))))))))))))))))))))))))))))))))))))))</f>
        <v/>
      </c>
      <c r="P5" s="124" t="inlineStr">
        <is>
          <t>*</t>
        </is>
      </c>
      <c r="Q5" s="124">
        <f>IF(ISNUMBER(SEARCH("عهده شرکت",F5)),"شرکت",IF(ISNUMBER(SEARCH("عهده مشتري",F5)),"مشتری",IF(ISNUMBER(SEARCH("عهده مشتری",F5)),"مشتری","نامشخص")))</f>
        <v/>
      </c>
      <c r="R5" s="178">
        <f>IF(O5="تعویض کامل دستگاه (Replacement)",IF(SUMIF('قیمت‌ها و مفروضات'!$A$9:$A$13,C5,'قیمت‌ها و مفروضات'!$C$9:$C$13)&lt;&gt;0,SUMIF('قیمت‌ها و مفروضات'!$A$9:$A$13,C5,'قیمت‌ها و مفروضات'!$C$9:$C$13),SUMIF('قیمت‌ها و مفروضات'!$A$9:$A$13,C5,'قیمت‌ها و مفروضات'!$B$9:$B$13)),IF(SUMIF('قیمت‌ها و مفروضات'!$A$18:$A$63,O5,'قیمت‌ها و مفروضات'!$C$18:$C$63)&lt;&gt;0,SUMIF('قیمت‌ها و مفروضات'!$A$18:$A$63,O5,'قیمت‌ها و مفروضات'!$C$18:$C$63),SUMIF('قیمت‌ها و مفروضات'!$A$18:$A$63,O5,'قیمت‌ها و مفروضات'!$B$18:$B$63)))</f>
        <v/>
      </c>
      <c r="S5" s="178">
        <f>'قیمت‌ها و مفروضات'!$B$3+'قیمت‌ها و مفروضات'!$B$4</f>
        <v/>
      </c>
      <c r="T5" s="178">
        <f>R5+S5</f>
        <v/>
      </c>
      <c r="U5" s="178">
        <f>IF(COUNTIF($E$2:E5,E5)&gt;1,"بله (تکراری)","خیر")</f>
        <v/>
      </c>
      <c r="V5" s="178">
        <f>IF(U5="بله (تکراری)",S5,0)</f>
        <v/>
      </c>
      <c r="W5" s="208" t="inlineStr"/>
      <c r="X5" s="208" t="inlineStr"/>
    </row>
    <row r="6" ht="58.5" customHeight="1" s="151">
      <c r="A6" s="176" t="n">
        <v>764237</v>
      </c>
      <c r="B6" s="124">
        <f>CHOOSE(_xlfn.NUMBERVALUE(MID(H6,6,2)),"فروردین","اردیبهشت","خرداد","تیر","مرداد","شهریور","مهر","آبان","آذر","دی","بهمن","اسفند")</f>
        <v/>
      </c>
      <c r="C6" s="176" t="inlineStr">
        <is>
          <t>ماشين ظرفشويي</t>
        </is>
      </c>
      <c r="D6" s="176" t="inlineStr">
        <is>
          <t>CDW-H16T</t>
        </is>
      </c>
      <c r="E6" s="176" t="inlineStr">
        <is>
          <t>52220004N01662</t>
        </is>
      </c>
      <c r="F6" s="173" t="inlineStr">
        <is>
          <t>اياب و ذهاب به عهده شرکت ** بسته نشدن درب</t>
        </is>
      </c>
      <c r="G6" s="173" t="inlineStr">
        <is>
          <t xml:space="preserve">بدون مورد و اجرت </t>
        </is>
      </c>
      <c r="H6" s="176" t="inlineStr">
        <is>
          <t>1405/01/22</t>
        </is>
      </c>
      <c r="I6" s="176" t="inlineStr">
        <is>
          <t>1403/11/09</t>
        </is>
      </c>
      <c r="J6" s="176" t="inlineStr">
        <is>
          <t>1404/04/21</t>
        </is>
      </c>
      <c r="K6" s="177">
        <f>IFERROR(VLOOKUP(LEFT(H6,7),'تبدیل تاریخ'!$A$2:$B$73,2,FALSE())+VALUE(RIGHT(H6,2))-1,"")</f>
        <v/>
      </c>
      <c r="L6" s="177">
        <f>IFERROR(VLOOKUP(LEFT(I6,7),'تبدیل تاریخ'!$A$2:$B$73,2,FALSE())+VALUE(RIGHT(I6,2))-1,"")</f>
        <v/>
      </c>
      <c r="M6" s="177">
        <f>IF(J6="","",IFERROR(VLOOKUP(LEFT(J6,7),'تبدیل تاریخ'!$A$2:$B$73,2,FALSE())+VALUE(RIGHT(J6,2))-1,""))</f>
        <v/>
      </c>
      <c r="N6" s="124">
        <f>IF(OR(K6="",M6=""),"",CEILING((K6-M6)/30,1))</f>
        <v/>
      </c>
      <c r="O6" s="124">
        <f>IF(OR(ISNUMBER(SEARCH("بدون مورد",G6)),ISNUMBER(SEARCH("غير گارانتي",G6)),ISNUMBER(SEARCH("غیر گارانتی",G6)),ISNUMBER(SEARCH("بدون اجرت",G6)),ISNUMBER(SEARCH("فيلتر",G6)),ISNUMBER(SEARCH("فیلتر",G6))),"غیرگارانتی/بدون قطعه",IF(OR(ISNUMBER(SEARCH("ريست",G6)),ISNUMBER(SEARCH("ریست",G6))),"ریست نرم‌افزاری (بدون قطعه)",IF(OR(ISNUMBER(SEARCH("تعویض محصول",G6)),ISNUMBER(SEARCH("تعویض دستگاه",G6))),"تعویض کامل دستگاه (Replacement)",IF(ISNUMBER(SEARCH("پمپ",G6)),IF(ISNUMBER(SEARCH("نشت",G6)),"نشتی - پمپ تخلیه (تعمیر/آب‌بندی)","خرابی - پمپ تخلیه (تعویض)"),IF(ISNUMBER(SEARCH("کمپرسور",G6)),"خرابی - کمپرسور (تعویض)",IF(ISNUMBER(SEARCH("کمک فنر",G6)),"خرابی - کمک فنر (تعویض)",IF(ISNUMBER(SEARCH("لولا",G6)),"مکانیزم درب - لولا (تعویض)",IF(OR(ISNUMBER(SEARCH("قلاب",G6)),ISNUMBER(SEARCH("ميکروسوئيچ",G6)),ISNUMBER(SEARCH("میکروسوئیچ",G6))),"مکانیزم درب - میکروسوئیچ/قلاب (تعویض/تنظیم)",IF(ISNUMBER(SEARCH("زبانه",G6)),"مکانیزم درب - زبانه (تعویض)",IF(OR(ISNUMBER(SEARCH("شيلنگ",G6)),ISNUMBER(SEARCH("شیلنگ",G6))),IF(OR(ISNUMBER(SEARCH("نشتی",G6)),ISNUMBER(SEARCH("نشتي",G6))),"نشتی - شیلنگ (تعمیر/آب‌بندی)",IF(OR(ISNUMBER(SEARCH("يخ",G6)),ISNUMBER(SEARCH("یخ",G6))),"شیلنگ یخساز - یخ‌زدگی (بازبینی)","شیلنگ - برخورد/لهیدگی (بازبینی)")),IF(OR(ISNUMBER(SEARCH("تنظيم ديسپل",G6)),ISNUMBER(SEARCH("تنظیم دیسپل",G6)),ISNUMBER(SEARCH("تنظيم صفحه نمايش",G6)),ISNUMBER(SEARCH("تنظیم صفحه نمایش",G6))),"تنظیم - تنظیمات دستگاه/دیسپلی (تعمیر)",IF(OR(ISNUMBER(SEARCH("برد",G6)),ISNUMBER(SEARCH("سوکت",G6)),ISNUMBER(SEARCH("ديسپل",G6)),ISNUMBER(SEARCH("دیسپل",G6))),"خرابی - برد الکترونیک (تعویض)",IF(OR(ISNUMBER(SEARCH("يخساز",G6)),ISNUMBER(SEARCH("یخساز",G6)),ISNUMBER(SEARCH("دمپر",G6))),IF(OR(ISNUMBER(SEARCH("خرابی",G6)),ISNUMBER(SEARCH("خراب",G6)),ISNUMBER(SEARCH("عدم کارکرد",G6)),ISNUMBER(SEARCH("عدم عملکرد",G6))),"یخساز - خرابی موتور/سنسور/برد (تعویض)","یخساز - تنظیم/عایق (تعمیر)"),IF(OR(ISNUMBER(SEARCH("لاستيک",G6)),ISNUMBER(SEARCH("لاستیک",G6))),"لاستیک درزگیر - دفرمگی/پارگی (تعویض)",IF(OR(ISNUMBER(SEARCH("گسکت",G6)),ISNUMBER(SEARCH("گسگت",G6))),"لاستیک درزگیر - دفرمگی/پارگی (تعویض)",IF(ISNUMBER(SEARCH("مخزن نمک",G6)),"نشتی - درب مخزن نمک (تعمیر/آب‌بندی)",IF(ISNUMBER(SEARCH("براکت",G6)),"نشتی - براکت ریل (تعمیر/آب‌بندی)",IF(ISNUMBER(SEARCH("جاپودر",G6)),"نشتی - جاپودری (تعمیر/آب‌بندی)",IF(ISNUMBER(SEARCH("مقسم",G6)),"نشتی - مقسم آب (تعمیر/آب‌بندی)",IF(OR(ISNUMBER(SEARCH("سنسور دما",G6)),ISNUMBER(SEARCH("ترموستات",G6))),"خرابی - ترموستات (تعویض)",IF(OR(ISNUMBER(SEARCH("هيدروستات",G6)),ISNUMBER(SEARCH("هیدروستات",G6))),"خرابی - هیدروستات (تعویض)",IF(OR(ISNUMBER(SEARCH("بلبرينگ",G6)),ISNUMBER(SEARCH("بلبرینگ",G6))),"خرابی - بلبرینگ (تعویض)",IF(OR(ISNUMBER(SEARCH("شيربرق",G6)),ISNUMBER(SEARCH("شیربرق",G6))),"خرابی - شیربرقی (تعویض)",IF(OR(ISNUMBER(SEARCH("واتر جت",G6)),ISNUMBER(SEARCH("واترجت",G6))),"خرابی - واترجت (تعویض)",IF(OR(ISNUMBER(SEARCH("سيم",G6)),ISNUMBER(SEARCH("سیم",G6)),ISNUMBER(SEARCH("اتصال",G6))),"سیم‌کشی/اتصالات (تعویض/بازبینی)",IF(OR(ISNUMBER(SEARCH("تصوير",G6)),ISNUMBER(SEARCH("تصویر",G6))),"برد نمایش تلویزیون (تعویض)",IF(OR(ISNUMBER(SEARCH("ريموت",G6)),ISNUMBER(SEARCH("ریموت",G6))),"ریموت کنترل (تعویض/تعمیر)",IF(OR(ISNUMBER(SEARCH("ال اي دي",G6)),ISNUMBER(SEARCH("ال ای دی",G6)),ISNUMBER(SEARCH("LED",G6))),"خرابی - لامپ/LED داخلی (تعویض)",IF(ISNUMBER(SEARCH("زنگ زدگ",G6)),"زنگ‌زدگی بدنه/قطعه (تعویض)",IF(OR(ISNUMBER(SEARCH("قطعات تزئين",G6)),ISNUMBER(SEARCH("قطعات تزئین",G6))),"قطعات تزئینی - شکستگی/کسری (تعویض)",IF(ISNUMBER(SEARCH("سبد",G6)),"سبد ظرفشویی - شکستگی (تعویض)",IF(ISNUMBER(SEARCH("تاب درام",G6)),"خرابی - تاب برداشتن درام (تعویض)",IF(ISNUMBER(SEARCH("درام",G6)),"خرابی - سایر ایراد درام (تعویض)",IF(ISNUMBER(SEARCH("موتور",G6)),"خرابی - موتور (تعویض)",IF(ISNUMBER(SEARCH("تسمه",G6)),"خرابی - تسمه (تعویض)",IF(OR(ISNUMBER(SEARCH("پيچ ولوم",G6)),ISNUMBER(SEARCH("پیچ ولوم",G6))),"تنظیم - پیچ ولوم/دکمه (تعمیر)",IF(OR(ISNUMBER(SEARCH("کسري قطعات",G6)),ISNUMBER(SEARCH("کسری قطعات",G6))),"کسری قطعات تزئینی (تعویض)",IF(ISNUMBER(SEARCH("پرچ",G6)),"پرچ/بدنه کابین(تعمیر)",IF(OR(ISNUMBER(SEARCH("نشت",G6)),ISNUMBER(SEARCH("آبريزش",G6)),ISNUMBER(SEARCH("آبریزش",G6))),"نشتی آب - محل نامشخص (نیازمند بازدید)",IF(ISNUMBER(SEARCH("درب",G6)),"سایر اجزای درب (بازبینی)",IF(ISNUMBER(SEARCH("ضربه",G6)),"بدنه/کابین - ضربه (بازبینی/تعویض پنل)",IF(ISNUMBER(SEARCH("تراز",G6)),"تراز/لرزش - نصب (رگلاژ پایه)",IF(OR(ISNUMBER(SEARCH("تعویض",G6)),ISNUMBER(SEARCH("تعويض",G6))),"تعویض کامل دستگاه (Replacement)","سایر (نیازمند بررسی دستی)")))))))))))))))))))))))))))))))))))))))))))</f>
        <v/>
      </c>
      <c r="P6" s="124" t="inlineStr">
        <is>
          <t>*</t>
        </is>
      </c>
      <c r="Q6" s="124">
        <f>IF(ISNUMBER(SEARCH("عهده شرکت",F6)),"شرکت",IF(ISNUMBER(SEARCH("عهده مشتري",F6)),"مشتری",IF(ISNUMBER(SEARCH("عهده مشتری",F6)),"مشتری","نامشخص")))</f>
        <v/>
      </c>
      <c r="R6" s="178">
        <f>IF(O6="تعویض کامل دستگاه (Replacement)",IF(SUMIF('قیمت‌ها و مفروضات'!$A$9:$A$13,C6,'قیمت‌ها و مفروضات'!$C$9:$C$13)&lt;&gt;0,SUMIF('قیمت‌ها و مفروضات'!$A$9:$A$13,C6,'قیمت‌ها و مفروضات'!$C$9:$C$13),SUMIF('قیمت‌ها و مفروضات'!$A$9:$A$13,C6,'قیمت‌ها و مفروضات'!$B$9:$B$13)),IF(SUMIF('قیمت‌ها و مفروضات'!$A$18:$A$63,O6,'قیمت‌ها و مفروضات'!$C$18:$C$63)&lt;&gt;0,SUMIF('قیمت‌ها و مفروضات'!$A$18:$A$63,O6,'قیمت‌ها و مفروضات'!$C$18:$C$63),SUMIF('قیمت‌ها و مفروضات'!$A$18:$A$63,O6,'قیمت‌ها و مفروضات'!$B$18:$B$63)))</f>
        <v/>
      </c>
      <c r="S6" s="178">
        <f>'قیمت‌ها و مفروضات'!$B$3+'قیمت‌ها و مفروضات'!$B$4</f>
        <v/>
      </c>
      <c r="T6" s="178">
        <f>R6+S6</f>
        <v/>
      </c>
      <c r="U6" s="178">
        <f>IF(COUNTIF($E$2:E6,E6)&gt;1,"بله (تکراری)","خیر")</f>
        <v/>
      </c>
      <c r="V6" s="178">
        <f>IF(U6="بله (تکراری)",S6,0)</f>
        <v/>
      </c>
      <c r="W6" s="208" t="inlineStr"/>
      <c r="X6" s="208" t="inlineStr"/>
    </row>
    <row r="7" ht="58.5" customHeight="1" s="151">
      <c r="A7" s="176" t="n">
        <v>764504</v>
      </c>
      <c r="B7" s="124">
        <f>CHOOSE(_xlfn.NUMBERVALUE(MID(H7,6,2)),"فروردین","اردیبهشت","خرداد","تیر","مرداد","شهریور","مهر","آبان","آذر","دی","بهمن","اسفند")</f>
        <v/>
      </c>
      <c r="C7" s="176" t="inlineStr">
        <is>
          <t>يخچال ميني</t>
        </is>
      </c>
      <c r="D7" s="176" t="inlineStr">
        <is>
          <t>CM-RS5BK1</t>
        </is>
      </c>
      <c r="E7" s="176" t="inlineStr">
        <is>
          <t>52240002N00838</t>
        </is>
      </c>
      <c r="F7" s="173" t="inlineStr">
        <is>
          <t>گرم شدن محصول**اياب و ذهاب به عهده شرکت</t>
        </is>
      </c>
      <c r="G7" s="173" t="inlineStr">
        <is>
          <t xml:space="preserve">خرابی ترموستات  </t>
        </is>
      </c>
      <c r="H7" s="176" t="inlineStr">
        <is>
          <t>1405/01/22</t>
        </is>
      </c>
      <c r="I7" s="176" t="inlineStr">
        <is>
          <t>1403/12/11</t>
        </is>
      </c>
      <c r="J7" s="176" t="inlineStr">
        <is>
          <t>1404/05/31</t>
        </is>
      </c>
      <c r="K7" s="177">
        <f>IFERROR(VLOOKUP(LEFT(H7,7),'تبدیل تاریخ'!$A$2:$B$73,2,FALSE())+VALUE(RIGHT(H7,2))-1,"")</f>
        <v/>
      </c>
      <c r="L7" s="177">
        <f>IFERROR(VLOOKUP(LEFT(I7,7),'تبدیل تاریخ'!$A$2:$B$73,2,FALSE())+VALUE(RIGHT(I7,2))-1,"")</f>
        <v/>
      </c>
      <c r="M7" s="177">
        <f>IF(J7="","",IFERROR(VLOOKUP(LEFT(J7,7),'تبدیل تاریخ'!$A$2:$B$73,2,FALSE())+VALUE(RIGHT(J7,2))-1,""))</f>
        <v/>
      </c>
      <c r="N7" s="124">
        <f>IF(OR(K7="",M7=""),"",CEILING((K7-M7)/30,1))</f>
        <v/>
      </c>
      <c r="O7" s="124">
        <f>IF(OR(ISNUMBER(SEARCH("بدون مورد",G7)),ISNUMBER(SEARCH("غير گارانتي",G7)),ISNUMBER(SEARCH("غیر گارانتی",G7)),ISNUMBER(SEARCH("بدون اجرت",G7)),ISNUMBER(SEARCH("فيلتر",G7)),ISNUMBER(SEARCH("فیلتر",G7))),"غیرگارانتی/بدون قطعه",IF(OR(ISNUMBER(SEARCH("ريست",G7)),ISNUMBER(SEARCH("ریست",G7))),"ریست نرم‌افزاری (بدون قطعه)",IF(OR(ISNUMBER(SEARCH("تعویض محصول",G7)),ISNUMBER(SEARCH("تعویض دستگاه",G7))),"تعویض کامل دستگاه (Replacement)",IF(ISNUMBER(SEARCH("پمپ",G7)),IF(ISNUMBER(SEARCH("نشت",G7)),"نشتی - پمپ تخلیه (تعمیر/آب‌بندی)","خرابی - پمپ تخلیه (تعویض)"),IF(ISNUMBER(SEARCH("کمپرسور",G7)),"خرابی - کمپرسور (تعویض)",IF(ISNUMBER(SEARCH("کمک فنر",G7)),"خرابی - کمک فنر (تعویض)",IF(ISNUMBER(SEARCH("لولا",G7)),"مکانیزم درب - لولا (تعویض)",IF(OR(ISNUMBER(SEARCH("قلاب",G7)),ISNUMBER(SEARCH("ميکروسوئيچ",G7)),ISNUMBER(SEARCH("میکروسوئیچ",G7))),"مکانیزم درب - میکروسوئیچ/قلاب (تعویض/تنظیم)",IF(ISNUMBER(SEARCH("زبانه",G7)),"مکانیزم درب - زبانه (تعویض)",IF(OR(ISNUMBER(SEARCH("شيلنگ",G7)),ISNUMBER(SEARCH("شیلنگ",G7))),IF(OR(ISNUMBER(SEARCH("نشتی",G7)),ISNUMBER(SEARCH("نشتي",G7))),"نشتی - شیلنگ (تعمیر/آب‌بندی)",IF(OR(ISNUMBER(SEARCH("يخ",G7)),ISNUMBER(SEARCH("یخ",G7))),"شیلنگ یخساز - یخ‌زدگی (بازبینی)","شیلنگ - برخورد/لهیدگی (بازبینی)")),IF(OR(ISNUMBER(SEARCH("تنظيم ديسپل",G7)),ISNUMBER(SEARCH("تنظیم دیسپل",G7)),ISNUMBER(SEARCH("تنظيم صفحه نمايش",G7)),ISNUMBER(SEARCH("تنظیم صفحه نمایش",G7))),"تنظیم - تنظیمات دستگاه/دیسپلی (تعمیر)",IF(OR(ISNUMBER(SEARCH("برد",G7)),ISNUMBER(SEARCH("سوکت",G7)),ISNUMBER(SEARCH("ديسپل",G7)),ISNUMBER(SEARCH("دیسپل",G7))),"خرابی - برد الکترونیک (تعویض)",IF(OR(ISNUMBER(SEARCH("يخساز",G7)),ISNUMBER(SEARCH("یخساز",G7)),ISNUMBER(SEARCH("دمپر",G7))),IF(OR(ISNUMBER(SEARCH("خرابی",G7)),ISNUMBER(SEARCH("خراب",G7)),ISNUMBER(SEARCH("عدم کارکرد",G7)),ISNUMBER(SEARCH("عدم عملکرد",G7))),"یخساز - خرابی موتور/سنسور/برد (تعویض)","یخساز - تنظیم/عایق (تعمیر)"),IF(OR(ISNUMBER(SEARCH("لاستيک",G7)),ISNUMBER(SEARCH("لاستیک",G7))),"لاستیک درزگیر - دفرمگی/پارگی (تعویض)",IF(OR(ISNUMBER(SEARCH("گسکت",G7)),ISNUMBER(SEARCH("گسگت",G7))),"لاستیک درزگیر - دفرمگی/پارگی (تعویض)",IF(ISNUMBER(SEARCH("مخزن نمک",G7)),"نشتی - درب مخزن نمک (تعمیر/آب‌بندی)",IF(ISNUMBER(SEARCH("براکت",G7)),"نشتی - براکت ریل (تعمیر/آب‌بندی)",IF(ISNUMBER(SEARCH("جاپودر",G7)),"نشتی - جاپودری (تعمیر/آب‌بندی)",IF(ISNUMBER(SEARCH("مقسم",G7)),"نشتی - مقسم آب (تعمیر/آب‌بندی)",IF(OR(ISNUMBER(SEARCH("سنسور دما",G7)),ISNUMBER(SEARCH("ترموستات",G7))),"خرابی - ترموستات (تعویض)",IF(OR(ISNUMBER(SEARCH("هيدروستات",G7)),ISNUMBER(SEARCH("هیدروستات",G7))),"خرابی - هیدروستات (تعویض)",IF(OR(ISNUMBER(SEARCH("بلبرينگ",G7)),ISNUMBER(SEARCH("بلبرینگ",G7))),"خرابی - بلبرینگ (تعویض)",IF(OR(ISNUMBER(SEARCH("شيربرق",G7)),ISNUMBER(SEARCH("شیربرق",G7))),"خرابی - شیربرقی (تعویض)",IF(OR(ISNUMBER(SEARCH("واتر جت",G7)),ISNUMBER(SEARCH("واترجت",G7))),"خرابی - واترجت (تعویض)",IF(OR(ISNUMBER(SEARCH("سيم",G7)),ISNUMBER(SEARCH("سیم",G7)),ISNUMBER(SEARCH("اتصال",G7))),"سیم‌کشی/اتصالات (تعویض/بازبینی)",IF(OR(ISNUMBER(SEARCH("تصوير",G7)),ISNUMBER(SEARCH("تصویر",G7))),"برد نمایش تلویزیون (تعویض)",IF(OR(ISNUMBER(SEARCH("ريموت",G7)),ISNUMBER(SEARCH("ریموت",G7))),"ریموت کنترل (تعویض/تعمیر)",IF(OR(ISNUMBER(SEARCH("ال اي دي",G7)),ISNUMBER(SEARCH("ال ای دی",G7)),ISNUMBER(SEARCH("LED",G7))),"خرابی - لامپ/LED داخلی (تعویض)",IF(ISNUMBER(SEARCH("زنگ زدگ",G7)),"زنگ‌زدگی بدنه/قطعه (تعویض)",IF(OR(ISNUMBER(SEARCH("قطعات تزئين",G7)),ISNUMBER(SEARCH("قطعات تزئین",G7))),"قطعات تزئینی - شکستگی/کسری (تعویض)",IF(ISNUMBER(SEARCH("سبد",G7)),"سبد ظرفشویی - شکستگی (تعویض)",IF(ISNUMBER(SEARCH("تاب درام",G7)),"خرابی - تاب برداشتن درام (تعویض)",IF(ISNUMBER(SEARCH("درام",G7)),"خرابی - سایر ایراد درام (تعویض)",IF(ISNUMBER(SEARCH("موتور",G7)),"خرابی - موتور (تعویض)",IF(ISNUMBER(SEARCH("تسمه",G7)),"خرابی - تسمه (تعویض)",IF(OR(ISNUMBER(SEARCH("پيچ ولوم",G7)),ISNUMBER(SEARCH("پیچ ولوم",G7))),"تنظیم - پیچ ولوم/دکمه (تعمیر)",IF(OR(ISNUMBER(SEARCH("کسري قطعات",G7)),ISNUMBER(SEARCH("کسری قطعات",G7))),"کسری قطعات تزئینی (تعویض)",IF(ISNUMBER(SEARCH("پرچ",G7)),"پرچ/بدنه کابین(تعمیر)",IF(OR(ISNUMBER(SEARCH("نشت",G7)),ISNUMBER(SEARCH("آبريزش",G7)),ISNUMBER(SEARCH("آبریزش",G7))),"نشتی آب - محل نامشخص (نیازمند بازدید)",IF(ISNUMBER(SEARCH("درب",G7)),"سایر اجزای درب (بازبینی)",IF(ISNUMBER(SEARCH("ضربه",G7)),"بدنه/کابین - ضربه (بازبینی/تعویض پنل)",IF(ISNUMBER(SEARCH("تراز",G7)),"تراز/لرزش - نصب (رگلاژ پایه)",IF(OR(ISNUMBER(SEARCH("تعویض",G7)),ISNUMBER(SEARCH("تعويض",G7))),"تعویض کامل دستگاه (Replacement)","سایر (نیازمند بررسی دستی)")))))))))))))))))))))))))))))))))))))))))))</f>
        <v/>
      </c>
      <c r="P7" s="124" t="inlineStr">
        <is>
          <t>ترموستات مینی</t>
        </is>
      </c>
      <c r="Q7" s="124">
        <f>IF(ISNUMBER(SEARCH("عهده شرکت",F7)),"شرکت",IF(ISNUMBER(SEARCH("عهده مشتري",F7)),"مشتری",IF(ISNUMBER(SEARCH("عهده مشتری",F7)),"مشتری","نامشخص")))</f>
        <v/>
      </c>
      <c r="R7" s="178">
        <f>IF(O7="تعویض کامل دستگاه (Replacement)",IF(SUMIF('قیمت‌ها و مفروضات'!$A$9:$A$13,C7,'قیمت‌ها و مفروضات'!$C$9:$C$13)&lt;&gt;0,SUMIF('قیمت‌ها و مفروضات'!$A$9:$A$13,C7,'قیمت‌ها و مفروضات'!$C$9:$C$13),SUMIF('قیمت‌ها و مفروضات'!$A$9:$A$13,C7,'قیمت‌ها و مفروضات'!$B$9:$B$13)),IF(SUMIF('قیمت‌ها و مفروضات'!$A$18:$A$63,O7,'قیمت‌ها و مفروضات'!$C$18:$C$63)&lt;&gt;0,SUMIF('قیمت‌ها و مفروضات'!$A$18:$A$63,O7,'قیمت‌ها و مفروضات'!$C$18:$C$63),SUMIF('قیمت‌ها و مفروضات'!$A$18:$A$63,O7,'قیمت‌ها و مفروضات'!$B$18:$B$63)))</f>
        <v/>
      </c>
      <c r="S7" s="178">
        <f>'قیمت‌ها و مفروضات'!$B$3+'قیمت‌ها و مفروضات'!$B$4</f>
        <v/>
      </c>
      <c r="T7" s="178">
        <f>R7+S7</f>
        <v/>
      </c>
      <c r="U7" s="178">
        <f>IF(COUNTIF($E$2:E7,E7)&gt;1,"بله (تکراری)","خیر")</f>
        <v/>
      </c>
      <c r="V7" s="178">
        <f>IF(U7="بله (تکراری)",S7,0)</f>
        <v/>
      </c>
      <c r="W7" s="208" t="inlineStr"/>
      <c r="X7" s="208" t="inlineStr"/>
    </row>
    <row r="8" ht="58.5" customHeight="1" s="151">
      <c r="A8" s="176" t="n">
        <v>765575</v>
      </c>
      <c r="B8" s="124">
        <f>CHOOSE(_xlfn.NUMBERVALUE(MID(H8,6,2)),"فروردین","اردیبهشت","خرداد","تیر","مرداد","شهریور","مهر","آبان","آذر","دی","بهمن","اسفند")</f>
        <v/>
      </c>
      <c r="C8" s="176" t="inlineStr">
        <is>
          <t>ماشين ظرفشويي</t>
        </is>
      </c>
      <c r="D8" s="176" t="inlineStr">
        <is>
          <t>CDW-H16T</t>
        </is>
      </c>
      <c r="E8" s="176" t="inlineStr">
        <is>
          <t>52220004N02595</t>
        </is>
      </c>
      <c r="F8" s="173" t="inlineStr">
        <is>
          <t>خطاي F54اياب و ذهاب به عهده شرکت</t>
        </is>
      </c>
      <c r="G8" s="173" t="inlineStr">
        <is>
          <t>نشتی شیلنگ تخلیه</t>
        </is>
      </c>
      <c r="H8" s="176" t="inlineStr">
        <is>
          <t>1405/01/25</t>
        </is>
      </c>
      <c r="I8" s="176" t="inlineStr">
        <is>
          <t>1404/02/05</t>
        </is>
      </c>
      <c r="J8" s="176" t="inlineStr">
        <is>
          <t>1404/06/04</t>
        </is>
      </c>
      <c r="K8" s="177">
        <f>IFERROR(VLOOKUP(LEFT(H8,7),'تبدیل تاریخ'!$A$2:$B$73,2,FALSE())+VALUE(RIGHT(H8,2))-1,"")</f>
        <v/>
      </c>
      <c r="L8" s="177">
        <f>IFERROR(VLOOKUP(LEFT(I8,7),'تبدیل تاریخ'!$A$2:$B$73,2,FALSE())+VALUE(RIGHT(I8,2))-1,"")</f>
        <v/>
      </c>
      <c r="M8" s="177">
        <f>IF(J8="","",IFERROR(VLOOKUP(LEFT(J8,7),'تبدیل تاریخ'!$A$2:$B$73,2,FALSE())+VALUE(RIGHT(J8,2))-1,""))</f>
        <v/>
      </c>
      <c r="N8" s="124">
        <f>IF(OR(K8="",M8=""),"",CEILING((K8-M8)/30,1))</f>
        <v/>
      </c>
      <c r="O8" s="124">
        <f>IF(OR(ISNUMBER(SEARCH("بدون مورد",G8)),ISNUMBER(SEARCH("غير گارانتي",G8)),ISNUMBER(SEARCH("غیر گارانتی",G8)),ISNUMBER(SEARCH("بدون اجرت",G8)),ISNUMBER(SEARCH("فيلتر",G8)),ISNUMBER(SEARCH("فیلتر",G8))),"غیرگارانتی/بدون قطعه",IF(OR(ISNUMBER(SEARCH("ريست",G8)),ISNUMBER(SEARCH("ریست",G8))),"ریست نرم‌افزاری (بدون قطعه)",IF(OR(ISNUMBER(SEARCH("تعویض محصول",G8)),ISNUMBER(SEARCH("تعویض دستگاه",G8))),"تعویض کامل دستگاه (Replacement)",IF(ISNUMBER(SEARCH("پمپ",G8)),IF(ISNUMBER(SEARCH("نشت",G8)),"نشتی - پمپ تخلیه (تعمیر/آب‌بندی)","خرابی - پمپ تخلیه (تعویض)"),IF(ISNUMBER(SEARCH("کمپرسور",G8)),"خرابی - کمپرسور (تعویض)",IF(ISNUMBER(SEARCH("کمک فنر",G8)),"خرابی - کمک فنر (تعویض)",IF(ISNUMBER(SEARCH("لولا",G8)),"مکانیزم درب - لولا (تعویض)",IF(OR(ISNUMBER(SEARCH("قلاب",G8)),ISNUMBER(SEARCH("ميکروسوئيچ",G8)),ISNUMBER(SEARCH("میکروسوئیچ",G8))),"مکانیزم درب - میکروسوئیچ/قلاب (تعویض/تنظیم)",IF(ISNUMBER(SEARCH("زبانه",G8)),"مکانیزم درب - زبانه (تعویض)",IF(OR(ISNUMBER(SEARCH("شيلنگ",G8)),ISNUMBER(SEARCH("شیلنگ",G8))),IF(OR(ISNUMBER(SEARCH("نشتی",G8)),ISNUMBER(SEARCH("نشتي",G8))),"نشتی - شیلنگ (تعمیر/آب‌بندی)",IF(OR(ISNUMBER(SEARCH("يخ",G8)),ISNUMBER(SEARCH("یخ",G8))),"شیلنگ یخساز - یخ‌زدگی (بازبینی)","شیلنگ - برخورد/لهیدگی (بازبینی)")),IF(OR(ISNUMBER(SEARCH("تنظيم ديسپل",G8)),ISNUMBER(SEARCH("تنظیم دیسپل",G8)),ISNUMBER(SEARCH("تنظيم صفحه نمايش",G8)),ISNUMBER(SEARCH("تنظیم صفحه نمایش",G8))),"تنظیم - تنظیمات دستگاه/دیسپلی (تعمیر)",IF(OR(ISNUMBER(SEARCH("برد",G8)),ISNUMBER(SEARCH("سوکت",G8)),ISNUMBER(SEARCH("ديسپل",G8)),ISNUMBER(SEARCH("دیسپل",G8))),"خرابی - برد الکترونیک (تعویض)",IF(OR(ISNUMBER(SEARCH("يخساز",G8)),ISNUMBER(SEARCH("یخساز",G8)),ISNUMBER(SEARCH("دمپر",G8))),IF(OR(ISNUMBER(SEARCH("خرابی",G8)),ISNUMBER(SEARCH("خراب",G8)),ISNUMBER(SEARCH("عدم کارکرد",G8)),ISNUMBER(SEARCH("عدم عملکرد",G8))),"یخساز - خرابی موتور/سنسور/برد (تعویض)","یخساز - تنظیم/عایق (تعمیر)"),IF(OR(ISNUMBER(SEARCH("لاستيک",G8)),ISNUMBER(SEARCH("لاستیک",G8))),"لاستیک درزگیر - دفرمگی/پارگی (تعویض)",IF(OR(ISNUMBER(SEARCH("گسکت",G8)),ISNUMBER(SEARCH("گسگت",G8))),"لاستیک درزگیر - دفرمگی/پارگی (تعویض)",IF(ISNUMBER(SEARCH("مخزن نمک",G8)),"نشتی - درب مخزن نمک (تعمیر/آب‌بندی)",IF(ISNUMBER(SEARCH("براکت",G8)),"نشتی - براکت ریل (تعمیر/آب‌بندی)",IF(ISNUMBER(SEARCH("جاپودر",G8)),"نشتی - جاپودری (تعمیر/آب‌بندی)",IF(ISNUMBER(SEARCH("مقسم",G8)),"نشتی - مقسم آب (تعمیر/آب‌بندی)",IF(OR(ISNUMBER(SEARCH("سنسور دما",G8)),ISNUMBER(SEARCH("ترموستات",G8))),"خرابی - ترموستات (تعویض)",IF(OR(ISNUMBER(SEARCH("هيدروستات",G8)),ISNUMBER(SEARCH("هیدروستات",G8))),"خرابی - هیدروستات (تعویض)",IF(OR(ISNUMBER(SEARCH("بلبرينگ",G8)),ISNUMBER(SEARCH("بلبرینگ",G8))),"خرابی - بلبرینگ (تعویض)",IF(OR(ISNUMBER(SEARCH("شيربرق",G8)),ISNUMBER(SEARCH("شیربرق",G8))),"خرابی - شیربرقی (تعویض)",IF(OR(ISNUMBER(SEARCH("واتر جت",G8)),ISNUMBER(SEARCH("واترجت",G8))),"خرابی - واترجت (تعویض)",IF(OR(ISNUMBER(SEARCH("سيم",G8)),ISNUMBER(SEARCH("سیم",G8)),ISNUMBER(SEARCH("اتصال",G8))),"سیم‌کشی/اتصالات (تعویض/بازبینی)",IF(OR(ISNUMBER(SEARCH("تصوير",G8)),ISNUMBER(SEARCH("تصویر",G8))),"برد نمایش تلویزیون (تعویض)",IF(OR(ISNUMBER(SEARCH("ريموت",G8)),ISNUMBER(SEARCH("ریموت",G8))),"ریموت کنترل (تعویض/تعمیر)",IF(OR(ISNUMBER(SEARCH("ال اي دي",G8)),ISNUMBER(SEARCH("ال ای دی",G8)),ISNUMBER(SEARCH("LED",G8))),"خرابی - لامپ/LED داخلی (تعویض)",IF(ISNUMBER(SEARCH("زنگ زدگ",G8)),"زنگ‌زدگی بدنه/قطعه (تعویض)",IF(OR(ISNUMBER(SEARCH("قطعات تزئين",G8)),ISNUMBER(SEARCH("قطعات تزئین",G8))),"قطعات تزئینی - شکستگی/کسری (تعویض)",IF(ISNUMBER(SEARCH("سبد",G8)),"سبد ظرفشویی - شکستگی (تعویض)",IF(ISNUMBER(SEARCH("تاب درام",G8)),"خرابی - تاب برداشتن درام (تعویض)",IF(ISNUMBER(SEARCH("درام",G8)),"خرابی - سایر ایراد درام (تعویض)",IF(ISNUMBER(SEARCH("موتور",G8)),"خرابی - موتور (تعویض)",IF(ISNUMBER(SEARCH("تسمه",G8)),"خرابی - تسمه (تعویض)",IF(OR(ISNUMBER(SEARCH("پيچ ولوم",G8)),ISNUMBER(SEARCH("پیچ ولوم",G8))),"تنظیم - پیچ ولوم/دکمه (تعمیر)",IF(OR(ISNUMBER(SEARCH("کسري قطعات",G8)),ISNUMBER(SEARCH("کسری قطعات",G8))),"کسری قطعات تزئینی (تعویض)",IF(ISNUMBER(SEARCH("پرچ",G8)),"پرچ/بدنه کابین(تعمیر)",IF(OR(ISNUMBER(SEARCH("نشت",G8)),ISNUMBER(SEARCH("آبريزش",G8)),ISNUMBER(SEARCH("آبریزش",G8))),"نشتی آب - محل نامشخص (نیازمند بازدید)",IF(ISNUMBER(SEARCH("درب",G8)),"سایر اجزای درب (بازبینی)",IF(ISNUMBER(SEARCH("ضربه",G8)),"بدنه/کابین - ضربه (بازبینی/تعویض پنل)",IF(ISNUMBER(SEARCH("تراز",G8)),"تراز/لرزش - نصب (رگلاژ پایه)",IF(OR(ISNUMBER(SEARCH("تعویض",G8)),ISNUMBER(SEARCH("تعويض",G8))),"تعویض کامل دستگاه (Replacement)","سایر (نیازمند بررسی دستی)")))))))))))))))))))))))))))))))))))))))))))</f>
        <v/>
      </c>
      <c r="P8" s="124" t="inlineStr">
        <is>
          <t>*</t>
        </is>
      </c>
      <c r="Q8" s="124">
        <f>IF(ISNUMBER(SEARCH("عهده شرکت",F8)),"شرکت",IF(ISNUMBER(SEARCH("عهده مشتري",F8)),"مشتری",IF(ISNUMBER(SEARCH("عهده مشتری",F8)),"مشتری","نامشخص")))</f>
        <v/>
      </c>
      <c r="R8" s="178">
        <f>IF(O8="تعویض کامل دستگاه (Replacement)",IF(SUMIF('قیمت‌ها و مفروضات'!$A$9:$A$13,C8,'قیمت‌ها و مفروضات'!$C$9:$C$13)&lt;&gt;0,SUMIF('قیمت‌ها و مفروضات'!$A$9:$A$13,C8,'قیمت‌ها و مفروضات'!$C$9:$C$13),SUMIF('قیمت‌ها و مفروضات'!$A$9:$A$13,C8,'قیمت‌ها و مفروضات'!$B$9:$B$13)),IF(SUMIF('قیمت‌ها و مفروضات'!$A$18:$A$63,O8,'قیمت‌ها و مفروضات'!$C$18:$C$63)&lt;&gt;0,SUMIF('قیمت‌ها و مفروضات'!$A$18:$A$63,O8,'قیمت‌ها و مفروضات'!$C$18:$C$63),SUMIF('قیمت‌ها و مفروضات'!$A$18:$A$63,O8,'قیمت‌ها و مفروضات'!$B$18:$B$63)))</f>
        <v/>
      </c>
      <c r="S8" s="178">
        <f>'قیمت‌ها و مفروضات'!$B$3+'قیمت‌ها و مفروضات'!$B$4</f>
        <v/>
      </c>
      <c r="T8" s="178">
        <f>R8+S8</f>
        <v/>
      </c>
      <c r="U8" s="178">
        <f>IF(COUNTIF($E$2:E8,E8)&gt;1,"بله (تکراری)","خیر")</f>
        <v/>
      </c>
      <c r="V8" s="178">
        <f>IF(U8="بله (تکراری)",S8,0)</f>
        <v/>
      </c>
      <c r="W8" s="208" t="inlineStr"/>
      <c r="X8" s="208" t="inlineStr"/>
    </row>
    <row r="9" ht="58.5" customHeight="1" s="151">
      <c r="A9" s="176" t="n">
        <v>761626</v>
      </c>
      <c r="B9" s="124">
        <f>CHOOSE(_xlfn.NUMBERVALUE(MID(H9,6,2)),"فروردین","اردیبهشت","خرداد","تیر","مرداد","شهریور","مهر","آبان","آذر","دی","بهمن","اسفند")</f>
        <v/>
      </c>
      <c r="C9" s="176" t="inlineStr">
        <is>
          <t>ماشين لباسشويي</t>
        </is>
      </c>
      <c r="D9" s="176" t="inlineStr">
        <is>
          <t>CWM-BMW9T1</t>
        </is>
      </c>
      <c r="E9" s="176" t="inlineStr">
        <is>
          <t>52210007N00625</t>
        </is>
      </c>
      <c r="F9" s="173" t="inlineStr">
        <is>
          <t>صداي غيرعادي هنگام خشک کن**اياب و ذهاب به عهده شرکت</t>
        </is>
      </c>
      <c r="G9" s="173" t="inlineStr">
        <is>
          <t>تراز پایه تنظیم</t>
        </is>
      </c>
      <c r="H9" s="176" t="inlineStr">
        <is>
          <t>1405/01/16</t>
        </is>
      </c>
      <c r="I9" s="176" t="inlineStr">
        <is>
          <t>1404/02/11</t>
        </is>
      </c>
      <c r="J9" s="176" t="inlineStr">
        <is>
          <t>1404/04/25</t>
        </is>
      </c>
      <c r="K9" s="177">
        <f>IFERROR(VLOOKUP(LEFT(H9,7),'تبدیل تاریخ'!$A$2:$B$73,2,FALSE())+VALUE(RIGHT(H9,2))-1,"")</f>
        <v/>
      </c>
      <c r="L9" s="177">
        <f>IFERROR(VLOOKUP(LEFT(I9,7),'تبدیل تاریخ'!$A$2:$B$73,2,FALSE())+VALUE(RIGHT(I9,2))-1,"")</f>
        <v/>
      </c>
      <c r="M9" s="177">
        <f>IF(J9="","",IFERROR(VLOOKUP(LEFT(J9,7),'تبدیل تاریخ'!$A$2:$B$73,2,FALSE())+VALUE(RIGHT(J9,2))-1,""))</f>
        <v/>
      </c>
      <c r="N9" s="124">
        <f>IF(OR(K9="",M9=""),"",CEILING((K9-M9)/30,1))</f>
        <v/>
      </c>
      <c r="O9" s="124">
        <f>IF(OR(ISNUMBER(SEARCH("بدون مورد",G9)),ISNUMBER(SEARCH("غير گارانتي",G9)),ISNUMBER(SEARCH("غیر گارانتی",G9)),ISNUMBER(SEARCH("بدون اجرت",G9)),ISNUMBER(SEARCH("فيلتر",G9)),ISNUMBER(SEARCH("فیلتر",G9))),"غیرگارانتی/بدون قطعه",IF(OR(ISNUMBER(SEARCH("ريست",G9)),ISNUMBER(SEARCH("ریست",G9))),"ریست نرم‌افزاری (بدون قطعه)",IF(OR(ISNUMBER(SEARCH("تعویض محصول",G9)),ISNUMBER(SEARCH("تعویض دستگاه",G9))),"تعویض کامل دستگاه (Replacement)",IF(ISNUMBER(SEARCH("پمپ",G9)),IF(ISNUMBER(SEARCH("نشت",G9)),"نشتی - پمپ تخلیه (تعمیر/آب‌بندی)","خرابی - پمپ تخلیه (تعویض)"),IF(ISNUMBER(SEARCH("کمپرسور",G9)),"خرابی - کمپرسور (تعویض)",IF(ISNUMBER(SEARCH("کمک فنر",G9)),"خرابی - کمک فنر (تعویض)",IF(ISNUMBER(SEARCH("لولا",G9)),"مکانیزم درب - لولا (تعویض)",IF(OR(ISNUMBER(SEARCH("قلاب",G9)),ISNUMBER(SEARCH("ميکروسوئيچ",G9)),ISNUMBER(SEARCH("میکروسوئیچ",G9))),"مکانیزم درب - میکروسوئیچ/قلاب (تعویض/تنظیم)",IF(ISNUMBER(SEARCH("زبانه",G9)),"مکانیزم درب - زبانه (تعویض)",IF(OR(ISNUMBER(SEARCH("شيلنگ",G9)),ISNUMBER(SEARCH("شیلنگ",G9))),IF(OR(ISNUMBER(SEARCH("نشتی",G9)),ISNUMBER(SEARCH("نشتي",G9))),"نشتی - شیلنگ (تعمیر/آب‌بندی)",IF(OR(ISNUMBER(SEARCH("يخ",G9)),ISNUMBER(SEARCH("یخ",G9))),"شیلنگ یخساز - یخ‌زدگی (بازبینی)","شیلنگ - برخورد/لهیدگی (بازبینی)")),IF(OR(ISNUMBER(SEARCH("تنظيم ديسپل",G9)),ISNUMBER(SEARCH("تنظیم دیسپل",G9)),ISNUMBER(SEARCH("تنظيم صفحه نمايش",G9)),ISNUMBER(SEARCH("تنظیم صفحه نمایش",G9))),"تنظیم - تنظیمات دستگاه/دیسپلی (تعمیر)",IF(OR(ISNUMBER(SEARCH("برد",G9)),ISNUMBER(SEARCH("سوکت",G9)),ISNUMBER(SEARCH("ديسپل",G9)),ISNUMBER(SEARCH("دیسپل",G9))),"خرابی - برد الکترونیک (تعویض)",IF(OR(ISNUMBER(SEARCH("يخساز",G9)),ISNUMBER(SEARCH("یخساز",G9)),ISNUMBER(SEARCH("دمپر",G9))),IF(OR(ISNUMBER(SEARCH("خرابی",G9)),ISNUMBER(SEARCH("خراب",G9)),ISNUMBER(SEARCH("عدم کارکرد",G9)),ISNUMBER(SEARCH("عدم عملکرد",G9))),"یخساز - خرابی موتور/سنسور/برد (تعویض)","یخساز - تنظیم/عایق (تعمیر)"),IF(OR(ISNUMBER(SEARCH("لاستيک",G9)),ISNUMBER(SEARCH("لاستیک",G9))),"لاستیک درزگیر - دفرمگی/پارگی (تعویض)",IF(OR(ISNUMBER(SEARCH("گسکت",G9)),ISNUMBER(SEARCH("گسگت",G9))),"لاستیک درزگیر - دفرمگی/پارگی (تعویض)",IF(ISNUMBER(SEARCH("مخزن نمک",G9)),"نشتی - درب مخزن نمک (تعمیر/آب‌بندی)",IF(ISNUMBER(SEARCH("براکت",G9)),"نشتی - براکت ریل (تعمیر/آب‌بندی)",IF(ISNUMBER(SEARCH("جاپودر",G9)),"نشتی - جاپودری (تعمیر/آب‌بندی)",IF(ISNUMBER(SEARCH("مقسم",G9)),"نشتی - مقسم آب (تعمیر/آب‌بندی)",IF(OR(ISNUMBER(SEARCH("سنسور دما",G9)),ISNUMBER(SEARCH("ترموستات",G9))),"خرابی - ترموستات (تعویض)",IF(OR(ISNUMBER(SEARCH("هيدروستات",G9)),ISNUMBER(SEARCH("هیدروستات",G9))),"خرابی - هیدروستات (تعویض)",IF(OR(ISNUMBER(SEARCH("بلبرينگ",G9)),ISNUMBER(SEARCH("بلبرینگ",G9))),"خرابی - بلبرینگ (تعویض)",IF(OR(ISNUMBER(SEARCH("شيربرق",G9)),ISNUMBER(SEARCH("شیربرق",G9))),"خرابی - شیربرقی (تعویض)",IF(OR(ISNUMBER(SEARCH("واتر جت",G9)),ISNUMBER(SEARCH("واترجت",G9))),"خرابی - واترجت (تعویض)",IF(OR(ISNUMBER(SEARCH("سيم",G9)),ISNUMBER(SEARCH("سیم",G9)),ISNUMBER(SEARCH("اتصال",G9))),"سیم‌کشی/اتصالات (تعویض/بازبینی)",IF(OR(ISNUMBER(SEARCH("تصوير",G9)),ISNUMBER(SEARCH("تصویر",G9))),"برد نمایش تلویزیون (تعویض)",IF(OR(ISNUMBER(SEARCH("ريموت",G9)),ISNUMBER(SEARCH("ریموت",G9))),"ریموت کنترل (تعویض/تعمیر)",IF(OR(ISNUMBER(SEARCH("ال اي دي",G9)),ISNUMBER(SEARCH("ال ای دی",G9)),ISNUMBER(SEARCH("LED",G9))),"خرابی - لامپ/LED داخلی (تعویض)",IF(ISNUMBER(SEARCH("زنگ زدگ",G9)),"زنگ‌زدگی بدنه/قطعه (تعویض)",IF(OR(ISNUMBER(SEARCH("قطعات تزئين",G9)),ISNUMBER(SEARCH("قطعات تزئین",G9))),"قطعات تزئینی - شکستگی/کسری (تعویض)",IF(ISNUMBER(SEARCH("سبد",G9)),"سبد ظرفشویی - شکستگی (تعویض)",IF(ISNUMBER(SEARCH("تاب درام",G9)),"خرابی - تاب برداشتن درام (تعویض)",IF(ISNUMBER(SEARCH("درام",G9)),"خرابی - سایر ایراد درام (تعویض)",IF(ISNUMBER(SEARCH("موتور",G9)),"خرابی - موتور (تعویض)",IF(ISNUMBER(SEARCH("تسمه",G9)),"خرابی - تسمه (تعویض)",IF(OR(ISNUMBER(SEARCH("پيچ ولوم",G9)),ISNUMBER(SEARCH("پیچ ولوم",G9))),"تنظیم - پیچ ولوم/دکمه (تعمیر)",IF(OR(ISNUMBER(SEARCH("کسري قطعات",G9)),ISNUMBER(SEARCH("کسری قطعات",G9))),"کسری قطعات تزئینی (تعویض)",IF(ISNUMBER(SEARCH("پرچ",G9)),"پرچ/بدنه کابین(تعمیر)",IF(OR(ISNUMBER(SEARCH("نشت",G9)),ISNUMBER(SEARCH("آبريزش",G9)),ISNUMBER(SEARCH("آبریزش",G9))),"نشتی آب - محل نامشخص (نیازمند بازدید)",IF(ISNUMBER(SEARCH("درب",G9)),"سایر اجزای درب (بازبینی)",IF(ISNUMBER(SEARCH("ضربه",G9)),"بدنه/کابین - ضربه (بازبینی/تعویض پنل)",IF(ISNUMBER(SEARCH("تراز",G9)),"تراز/لرزش - نصب (رگلاژ پایه)",IF(OR(ISNUMBER(SEARCH("تعویض",G9)),ISNUMBER(SEARCH("تعويض",G9))),"تعویض کامل دستگاه (Replacement)","سایر (نیازمند بررسی دستی)")))))))))))))))))))))))))))))))))))))))))))</f>
        <v/>
      </c>
      <c r="P9" s="124" t="inlineStr">
        <is>
          <t>رگلاژ پایه تنظیم لباسشویی</t>
        </is>
      </c>
      <c r="Q9" s="124">
        <f>IF(ISNUMBER(SEARCH("عهده شرکت",F9)),"شرکت",IF(ISNUMBER(SEARCH("عهده مشتري",F9)),"مشتری",IF(ISNUMBER(SEARCH("عهده مشتری",F9)),"مشتری","نامشخص")))</f>
        <v/>
      </c>
      <c r="R9" s="178">
        <f>IF(O9="تعویض کامل دستگاه (Replacement)",IF(SUMIF('قیمت‌ها و مفروضات'!$A$9:$A$13,C9,'قیمت‌ها و مفروضات'!$C$9:$C$13)&lt;&gt;0,SUMIF('قیمت‌ها و مفروضات'!$A$9:$A$13,C9,'قیمت‌ها و مفروضات'!$C$9:$C$13),SUMIF('قیمت‌ها و مفروضات'!$A$9:$A$13,C9,'قیمت‌ها و مفروضات'!$B$9:$B$13)),IF(SUMIF('قیمت‌ها و مفروضات'!$A$18:$A$63,O9,'قیمت‌ها و مفروضات'!$C$18:$C$63)&lt;&gt;0,SUMIF('قیمت‌ها و مفروضات'!$A$18:$A$63,O9,'قیمت‌ها و مفروضات'!$C$18:$C$63),SUMIF('قیمت‌ها و مفروضات'!$A$18:$A$63,O9,'قیمت‌ها و مفروضات'!$B$18:$B$63)))</f>
        <v/>
      </c>
      <c r="S9" s="178">
        <f>'قیمت‌ها و مفروضات'!$B$3+'قیمت‌ها و مفروضات'!$B$4</f>
        <v/>
      </c>
      <c r="T9" s="178">
        <f>R9+S9</f>
        <v/>
      </c>
      <c r="U9" s="178">
        <f>IF(COUNTIF($E$2:E9,E9)&gt;1,"بله (تکراری)","خیر")</f>
        <v/>
      </c>
      <c r="V9" s="178">
        <f>IF(U9="بله (تکراری)",S9,0)</f>
        <v/>
      </c>
      <c r="W9" s="208" t="inlineStr"/>
      <c r="X9" s="208" t="inlineStr"/>
    </row>
    <row r="10" ht="58.5" customHeight="1" s="151">
      <c r="A10" s="176" t="n">
        <v>762981</v>
      </c>
      <c r="B10" s="124">
        <f>CHOOSE(_xlfn.NUMBERVALUE(MID(H10,6,2)),"فروردین","اردیبهشت","خرداد","تیر","مرداد","شهریور","مهر","آبان","آذر","دی","بهمن","اسفند")</f>
        <v/>
      </c>
      <c r="C10" s="176" t="inlineStr">
        <is>
          <t>ماشين لباسشويي</t>
        </is>
      </c>
      <c r="D10" s="176" t="inlineStr">
        <is>
          <t>CWM-BMW9T1</t>
        </is>
      </c>
      <c r="E10" s="176" t="inlineStr">
        <is>
          <t>52210008N00610</t>
        </is>
      </c>
      <c r="F10" s="173" t="inlineStr">
        <is>
          <t>صداي غيرعادي هنگام خشک کن</t>
        </is>
      </c>
      <c r="G10" s="173" t="inlineStr">
        <is>
          <t>تراز پایه تنظیم</t>
        </is>
      </c>
      <c r="H10" s="176" t="inlineStr">
        <is>
          <t>1405/01/17</t>
        </is>
      </c>
      <c r="I10" s="176" t="inlineStr">
        <is>
          <t>1404/02/13</t>
        </is>
      </c>
      <c r="J10" s="176" t="inlineStr">
        <is>
          <t>1404/07/13</t>
        </is>
      </c>
      <c r="K10" s="177">
        <f>IFERROR(VLOOKUP(LEFT(H10,7),'تبدیل تاریخ'!$A$2:$B$73,2,FALSE())+VALUE(RIGHT(H10,2))-1,"")</f>
        <v/>
      </c>
      <c r="L10" s="177">
        <f>IFERROR(VLOOKUP(LEFT(I10,7),'تبدیل تاریخ'!$A$2:$B$73,2,FALSE())+VALUE(RIGHT(I10,2))-1,"")</f>
        <v/>
      </c>
      <c r="M10" s="177">
        <f>IF(J10="","",IFERROR(VLOOKUP(LEFT(J10,7),'تبدیل تاریخ'!$A$2:$B$73,2,FALSE())+VALUE(RIGHT(J10,2))-1,""))</f>
        <v/>
      </c>
      <c r="N10" s="124">
        <f>IF(OR(K10="",M10=""),"",CEILING((K10-M10)/30,1))</f>
        <v/>
      </c>
      <c r="O10" s="124">
        <f>IF(OR(ISNUMBER(SEARCH("بدون مورد",G10)),ISNUMBER(SEARCH("غير گارانتي",G10)),ISNUMBER(SEARCH("غیر گارانتی",G10)),ISNUMBER(SEARCH("بدون اجرت",G10)),ISNUMBER(SEARCH("فيلتر",G10)),ISNUMBER(SEARCH("فیلتر",G10))),"غیرگارانتی/بدون قطعه",IF(OR(ISNUMBER(SEARCH("ريست",G10)),ISNUMBER(SEARCH("ریست",G10))),"ریست نرم‌افزاری (بدون قطعه)",IF(OR(ISNUMBER(SEARCH("تعویض محصول",G10)),ISNUMBER(SEARCH("تعویض دستگاه",G10))),"تعویض کامل دستگاه (Replacement)",IF(ISNUMBER(SEARCH("پمپ",G10)),IF(ISNUMBER(SEARCH("نشت",G10)),"نشتی - پمپ تخلیه (تعمیر/آب‌بندی)","خرابی - پمپ تخلیه (تعویض)"),IF(ISNUMBER(SEARCH("کمپرسور",G10)),"خرابی - کمپرسور (تعویض)",IF(ISNUMBER(SEARCH("کمک فنر",G10)),"خرابی - کمک فنر (تعویض)",IF(ISNUMBER(SEARCH("لولا",G10)),"مکانیزم درب - لولا (تعویض)",IF(OR(ISNUMBER(SEARCH("قلاب",G10)),ISNUMBER(SEARCH("ميکروسوئيچ",G10)),ISNUMBER(SEARCH("میکروسوئیچ",G10))),"مکانیزم درب - میکروسوئیچ/قلاب (تعویض/تنظیم)",IF(ISNUMBER(SEARCH("زبانه",G10)),"مکانیزم درب - زبانه (تعویض)",IF(OR(ISNUMBER(SEARCH("شيلنگ",G10)),ISNUMBER(SEARCH("شیلنگ",G10))),IF(OR(ISNUMBER(SEARCH("نشتی",G10)),ISNUMBER(SEARCH("نشتي",G10))),"نشتی - شیلنگ (تعمیر/آب‌بندی)",IF(OR(ISNUMBER(SEARCH("يخ",G10)),ISNUMBER(SEARCH("یخ",G10))),"شیلنگ یخساز - یخ‌زدگی (بازبینی)","شیلنگ - برخورد/لهیدگی (بازبینی)")),IF(OR(ISNUMBER(SEARCH("تنظيم ديسپل",G10)),ISNUMBER(SEARCH("تنظیم دیسپل",G10)),ISNUMBER(SEARCH("تنظيم صفحه نمايش",G10)),ISNUMBER(SEARCH("تنظیم صفحه نمایش",G10))),"تنظیم - تنظیمات دستگاه/دیسپلی (تعمیر)",IF(OR(ISNUMBER(SEARCH("برد",G10)),ISNUMBER(SEARCH("سوکت",G10)),ISNUMBER(SEARCH("ديسپل",G10)),ISNUMBER(SEARCH("دیسپل",G10))),"خرابی - برد الکترونیک (تعویض)",IF(OR(ISNUMBER(SEARCH("يخساز",G10)),ISNUMBER(SEARCH("یخساز",G10)),ISNUMBER(SEARCH("دمپر",G10))),IF(OR(ISNUMBER(SEARCH("خرابی",G10)),ISNUMBER(SEARCH("خراب",G10)),ISNUMBER(SEARCH("عدم کارکرد",G10)),ISNUMBER(SEARCH("عدم عملکرد",G10))),"یخساز - خرابی موتور/سنسور/برد (تعویض)","یخساز - تنظیم/عایق (تعمیر)"),IF(OR(ISNUMBER(SEARCH("لاستيک",G10)),ISNUMBER(SEARCH("لاستیک",G10))),"لاستیک درزگیر - دفرمگی/پارگی (تعویض)",IF(OR(ISNUMBER(SEARCH("گسکت",G10)),ISNUMBER(SEARCH("گسگت",G10))),"لاستیک درزگیر - دفرمگی/پارگی (تعویض)",IF(ISNUMBER(SEARCH("مخزن نمک",G10)),"نشتی - درب مخزن نمک (تعمیر/آب‌بندی)",IF(ISNUMBER(SEARCH("براکت",G10)),"نشتی - براکت ریل (تعمیر/آب‌بندی)",IF(ISNUMBER(SEARCH("جاپودر",G10)),"نشتی - جاپودری (تعمیر/آب‌بندی)",IF(ISNUMBER(SEARCH("مقسم",G10)),"نشتی - مقسم آب (تعمیر/آب‌بندی)",IF(OR(ISNUMBER(SEARCH("سنسور دما",G10)),ISNUMBER(SEARCH("ترموستات",G10))),"خرابی - ترموستات (تعویض)",IF(OR(ISNUMBER(SEARCH("هيدروستات",G10)),ISNUMBER(SEARCH("هیدروستات",G10))),"خرابی - هیدروستات (تعویض)",IF(OR(ISNUMBER(SEARCH("بلبرينگ",G10)),ISNUMBER(SEARCH("بلبرینگ",G10))),"خرابی - بلبرینگ (تعویض)",IF(OR(ISNUMBER(SEARCH("شيربرق",G10)),ISNUMBER(SEARCH("شیربرق",G10))),"خرابی - شیربرقی (تعویض)",IF(OR(ISNUMBER(SEARCH("واتر جت",G10)),ISNUMBER(SEARCH("واترجت",G10))),"خرابی - واترجت (تعویض)",IF(OR(ISNUMBER(SEARCH("سيم",G10)),ISNUMBER(SEARCH("سیم",G10)),ISNUMBER(SEARCH("اتصال",G10))),"سیم‌کشی/اتصالات (تعویض/بازبینی)",IF(OR(ISNUMBER(SEARCH("تصوير",G10)),ISNUMBER(SEARCH("تصویر",G10))),"برد نمایش تلویزیون (تعویض)",IF(OR(ISNUMBER(SEARCH("ريموت",G10)),ISNUMBER(SEARCH("ریموت",G10))),"ریموت کنترل (تعویض/تعمیر)",IF(OR(ISNUMBER(SEARCH("ال اي دي",G10)),ISNUMBER(SEARCH("ال ای دی",G10)),ISNUMBER(SEARCH("LED",G10))),"خرابی - لامپ/LED داخلی (تعویض)",IF(ISNUMBER(SEARCH("زنگ زدگ",G10)),"زنگ‌زدگی بدنه/قطعه (تعویض)",IF(OR(ISNUMBER(SEARCH("قطعات تزئين",G10)),ISNUMBER(SEARCH("قطعات تزئین",G10))),"قطعات تزئینی - شکستگی/کسری (تعویض)",IF(ISNUMBER(SEARCH("سبد",G10)),"سبد ظرفشویی - شکستگی (تعویض)",IF(ISNUMBER(SEARCH("تاب درام",G10)),"خرابی - تاب برداشتن درام (تعویض)",IF(ISNUMBER(SEARCH("درام",G10)),"خرابی - سایر ایراد درام (تعویض)",IF(ISNUMBER(SEARCH("موتور",G10)),"خرابی - موتور (تعویض)",IF(ISNUMBER(SEARCH("تسمه",G10)),"خرابی - تسمه (تعویض)",IF(OR(ISNUMBER(SEARCH("پيچ ولوم",G10)),ISNUMBER(SEARCH("پیچ ولوم",G10))),"تنظیم - پیچ ولوم/دکمه (تعمیر)",IF(OR(ISNUMBER(SEARCH("کسري قطعات",G10)),ISNUMBER(SEARCH("کسری قطعات",G10))),"کسری قطعات تزئینی (تعویض)",IF(ISNUMBER(SEARCH("پرچ",G10)),"پرچ/بدنه کابین(تعمیر)",IF(OR(ISNUMBER(SEARCH("نشت",G10)),ISNUMBER(SEARCH("آبريزش",G10)),ISNUMBER(SEARCH("آبریزش",G10))),"نشتی آب - محل نامشخص (نیازمند بازدید)",IF(ISNUMBER(SEARCH("درب",G10)),"سایر اجزای درب (بازبینی)",IF(ISNUMBER(SEARCH("ضربه",G10)),"بدنه/کابین - ضربه (بازبینی/تعویض پنل)",IF(ISNUMBER(SEARCH("تراز",G10)),"تراز/لرزش - نصب (رگلاژ پایه)",IF(OR(ISNUMBER(SEARCH("تعویض",G10)),ISNUMBER(SEARCH("تعويض",G10))),"تعویض کامل دستگاه (Replacement)","سایر (نیازمند بررسی دستی)")))))))))))))))))))))))))))))))))))))))))))</f>
        <v/>
      </c>
      <c r="P10" s="124" t="inlineStr">
        <is>
          <t>رگلاژ پایه تنظیم لباسشویی</t>
        </is>
      </c>
      <c r="Q10" s="124">
        <f>IF(ISNUMBER(SEARCH("عهده شرکت",F10)),"شرکت",IF(ISNUMBER(SEARCH("عهده مشتري",F10)),"مشتری",IF(ISNUMBER(SEARCH("عهده مشتری",F10)),"مشتری","نامشخص")))</f>
        <v/>
      </c>
      <c r="R10" s="178">
        <f>IF(O10="تعویض کامل دستگاه (Replacement)",IF(SUMIF('قیمت‌ها و مفروضات'!$A$9:$A$13,C10,'قیمت‌ها و مفروضات'!$C$9:$C$13)&lt;&gt;0,SUMIF('قیمت‌ها و مفروضات'!$A$9:$A$13,C10,'قیمت‌ها و مفروضات'!$C$9:$C$13),SUMIF('قیمت‌ها و مفروضات'!$A$9:$A$13,C10,'قیمت‌ها و مفروضات'!$B$9:$B$13)),IF(SUMIF('قیمت‌ها و مفروضات'!$A$18:$A$63,O10,'قیمت‌ها و مفروضات'!$C$18:$C$63)&lt;&gt;0,SUMIF('قیمت‌ها و مفروضات'!$A$18:$A$63,O10,'قیمت‌ها و مفروضات'!$C$18:$C$63),SUMIF('قیمت‌ها و مفروضات'!$A$18:$A$63,O10,'قیمت‌ها و مفروضات'!$B$18:$B$63)))</f>
        <v/>
      </c>
      <c r="S10" s="178">
        <f>'قیمت‌ها و مفروضات'!$B$3+'قیمت‌ها و مفروضات'!$B$4</f>
        <v/>
      </c>
      <c r="T10" s="178">
        <f>R10+S10</f>
        <v/>
      </c>
      <c r="U10" s="178">
        <f>IF(COUNTIF($E$2:E10,E10)&gt;1,"بله (تکراری)","خیر")</f>
        <v/>
      </c>
      <c r="V10" s="178">
        <f>IF(U10="بله (تکراری)",S10,0)</f>
        <v/>
      </c>
      <c r="W10" s="208" t="inlineStr"/>
      <c r="X10" s="208" t="inlineStr"/>
    </row>
    <row r="11" ht="58.5" customHeight="1" s="151">
      <c r="A11" s="176" t="n">
        <v>761052</v>
      </c>
      <c r="B11" s="124">
        <f>CHOOSE(_xlfn.NUMBERVALUE(MID(H11,6,2)),"فروردین","اردیبهشت","خرداد","تیر","مرداد","شهریور","مهر","آبان","آذر","دی","بهمن","اسفند")</f>
        <v/>
      </c>
      <c r="C11" s="176" t="inlineStr">
        <is>
          <t>ماشين لباسشويي</t>
        </is>
      </c>
      <c r="D11" s="176" t="inlineStr">
        <is>
          <t>CWM-BMW9T1</t>
        </is>
      </c>
      <c r="E11" s="176" t="inlineStr">
        <is>
          <t>52210008N00788</t>
        </is>
      </c>
      <c r="F11" s="173" t="inlineStr">
        <is>
          <t>لرزش و حرکت محصول**اياب و ذهاب به عهده شرکت</t>
        </is>
      </c>
      <c r="G11" s="173" t="inlineStr">
        <is>
          <t>تراز پایه تنظیم</t>
        </is>
      </c>
      <c r="H11" s="176" t="inlineStr">
        <is>
          <t>1405/01/16</t>
        </is>
      </c>
      <c r="I11" s="176" t="inlineStr">
        <is>
          <t>1404/02/22</t>
        </is>
      </c>
      <c r="J11" s="176" t="inlineStr">
        <is>
          <t>1404/08/11</t>
        </is>
      </c>
      <c r="K11" s="177">
        <f>IFERROR(VLOOKUP(LEFT(H11,7),'تبدیل تاریخ'!$A$2:$B$73,2,FALSE())+VALUE(RIGHT(H11,2))-1,"")</f>
        <v/>
      </c>
      <c r="L11" s="177">
        <f>IFERROR(VLOOKUP(LEFT(I11,7),'تبدیل تاریخ'!$A$2:$B$73,2,FALSE())+VALUE(RIGHT(I11,2))-1,"")</f>
        <v/>
      </c>
      <c r="M11" s="177">
        <f>IF(J11="","",IFERROR(VLOOKUP(LEFT(J11,7),'تبدیل تاریخ'!$A$2:$B$73,2,FALSE())+VALUE(RIGHT(J11,2))-1,""))</f>
        <v/>
      </c>
      <c r="N11" s="124">
        <f>IF(OR(K11="",M11=""),"",CEILING((K11-M11)/30,1))</f>
        <v/>
      </c>
      <c r="O11" s="124">
        <f>IF(OR(ISNUMBER(SEARCH("بدون مورد",G11)),ISNUMBER(SEARCH("غير گارانتي",G11)),ISNUMBER(SEARCH("غیر گارانتی",G11)),ISNUMBER(SEARCH("بدون اجرت",G11)),ISNUMBER(SEARCH("فيلتر",G11)),ISNUMBER(SEARCH("فیلتر",G11))),"غیرگارانتی/بدون قطعه",IF(OR(ISNUMBER(SEARCH("ريست",G11)),ISNUMBER(SEARCH("ریست",G11))),"ریست نرم‌افزاری (بدون قطعه)",IF(OR(ISNUMBER(SEARCH("تعویض محصول",G11)),ISNUMBER(SEARCH("تعویض دستگاه",G11))),"تعویض کامل دستگاه (Replacement)",IF(ISNUMBER(SEARCH("پمپ",G11)),IF(ISNUMBER(SEARCH("نشت",G11)),"نشتی - پمپ تخلیه (تعمیر/آب‌بندی)","خرابی - پمپ تخلیه (تعویض)"),IF(ISNUMBER(SEARCH("کمپرسور",G11)),"خرابی - کمپرسور (تعویض)",IF(ISNUMBER(SEARCH("کمک فنر",G11)),"خرابی - کمک فنر (تعویض)",IF(ISNUMBER(SEARCH("لولا",G11)),"مکانیزم درب - لولا (تعویض)",IF(OR(ISNUMBER(SEARCH("قلاب",G11)),ISNUMBER(SEARCH("ميکروسوئيچ",G11)),ISNUMBER(SEARCH("میکروسوئیچ",G11))),"مکانیزم درب - میکروسوئیچ/قلاب (تعویض/تنظیم)",IF(ISNUMBER(SEARCH("زبانه",G11)),"مکانیزم درب - زبانه (تعویض)",IF(OR(ISNUMBER(SEARCH("شيلنگ",G11)),ISNUMBER(SEARCH("شیلنگ",G11))),IF(OR(ISNUMBER(SEARCH("نشتی",G11)),ISNUMBER(SEARCH("نشتي",G11))),"نشتی - شیلنگ (تعمیر/آب‌بندی)",IF(OR(ISNUMBER(SEARCH("يخ",G11)),ISNUMBER(SEARCH("یخ",G11))),"شیلنگ یخساز - یخ‌زدگی (بازبینی)","شیلنگ - برخورد/لهیدگی (بازبینی)")),IF(OR(ISNUMBER(SEARCH("تنظيم ديسپل",G11)),ISNUMBER(SEARCH("تنظیم دیسپل",G11)),ISNUMBER(SEARCH("تنظيم صفحه نمايش",G11)),ISNUMBER(SEARCH("تنظیم صفحه نمایش",G11))),"تنظیم - تنظیمات دستگاه/دیسپلی (تعمیر)",IF(OR(ISNUMBER(SEARCH("برد",G11)),ISNUMBER(SEARCH("سوکت",G11)),ISNUMBER(SEARCH("ديسپل",G11)),ISNUMBER(SEARCH("دیسپل",G11))),"خرابی - برد الکترونیک (تعویض)",IF(OR(ISNUMBER(SEARCH("يخساز",G11)),ISNUMBER(SEARCH("یخساز",G11)),ISNUMBER(SEARCH("دمپر",G11))),IF(OR(ISNUMBER(SEARCH("خرابی",G11)),ISNUMBER(SEARCH("خراب",G11)),ISNUMBER(SEARCH("عدم کارکرد",G11)),ISNUMBER(SEARCH("عدم عملکرد",G11))),"یخساز - خرابی موتور/سنسور/برد (تعویض)","یخساز - تنظیم/عایق (تعمیر)"),IF(OR(ISNUMBER(SEARCH("لاستيک",G11)),ISNUMBER(SEARCH("لاستیک",G11))),"لاستیک درزگیر - دفرمگی/پارگی (تعویض)",IF(OR(ISNUMBER(SEARCH("گسکت",G11)),ISNUMBER(SEARCH("گسگت",G11))),"لاستیک درزگیر - دفرمگی/پارگی (تعویض)",IF(ISNUMBER(SEARCH("مخزن نمک",G11)),"نشتی - درب مخزن نمک (تعمیر/آب‌بندی)",IF(ISNUMBER(SEARCH("براکت",G11)),"نشتی - براکت ریل (تعمیر/آب‌بندی)",IF(ISNUMBER(SEARCH("جاپودر",G11)),"نشتی - جاپودری (تعمیر/آب‌بندی)",IF(ISNUMBER(SEARCH("مقسم",G11)),"نشتی - مقسم آب (تعمیر/آب‌بندی)",IF(OR(ISNUMBER(SEARCH("سنسور دما",G11)),ISNUMBER(SEARCH("ترموستات",G11))),"خرابی - ترموستات (تعویض)",IF(OR(ISNUMBER(SEARCH("هيدروستات",G11)),ISNUMBER(SEARCH("هیدروستات",G11))),"خرابی - هیدروستات (تعویض)",IF(OR(ISNUMBER(SEARCH("بلبرينگ",G11)),ISNUMBER(SEARCH("بلبرینگ",G11))),"خرابی - بلبرینگ (تعویض)",IF(OR(ISNUMBER(SEARCH("شيربرق",G11)),ISNUMBER(SEARCH("شیربرق",G11))),"خرابی - شیربرقی (تعویض)",IF(OR(ISNUMBER(SEARCH("واتر جت",G11)),ISNUMBER(SEARCH("واترجت",G11))),"خرابی - واترجت (تعویض)",IF(OR(ISNUMBER(SEARCH("سيم",G11)),ISNUMBER(SEARCH("سیم",G11)),ISNUMBER(SEARCH("اتصال",G11))),"سیم‌کشی/اتصالات (تعویض/بازبینی)",IF(OR(ISNUMBER(SEARCH("تصوير",G11)),ISNUMBER(SEARCH("تصویر",G11))),"برد نمایش تلویزیون (تعویض)",IF(OR(ISNUMBER(SEARCH("ريموت",G11)),ISNUMBER(SEARCH("ریموت",G11))),"ریموت کنترل (تعویض/تعمیر)",IF(OR(ISNUMBER(SEARCH("ال اي دي",G11)),ISNUMBER(SEARCH("ال ای دی",G11)),ISNUMBER(SEARCH("LED",G11))),"خرابی - لامپ/LED داخلی (تعویض)",IF(ISNUMBER(SEARCH("زنگ زدگ",G11)),"زنگ‌زدگی بدنه/قطعه (تعویض)",IF(OR(ISNUMBER(SEARCH("قطعات تزئين",G11)),ISNUMBER(SEARCH("قطعات تزئین",G11))),"قطعات تزئینی - شکستگی/کسری (تعویض)",IF(ISNUMBER(SEARCH("سبد",G11)),"سبد ظرفشویی - شکستگی (تعویض)",IF(ISNUMBER(SEARCH("تاب درام",G11)),"خرابی - تاب برداشتن درام (تعویض)",IF(ISNUMBER(SEARCH("درام",G11)),"خرابی - سایر ایراد درام (تعویض)",IF(ISNUMBER(SEARCH("موتور",G11)),"خرابی - موتور (تعویض)",IF(ISNUMBER(SEARCH("تسمه",G11)),"خرابی - تسمه (تعویض)",IF(OR(ISNUMBER(SEARCH("پيچ ولوم",G11)),ISNUMBER(SEARCH("پیچ ولوم",G11))),"تنظیم - پیچ ولوم/دکمه (تعمیر)",IF(OR(ISNUMBER(SEARCH("کسري قطعات",G11)),ISNUMBER(SEARCH("کسری قطعات",G11))),"کسری قطعات تزئینی (تعویض)",IF(ISNUMBER(SEARCH("پرچ",G11)),"پرچ/بدنه کابین(تعمیر)",IF(OR(ISNUMBER(SEARCH("نشت",G11)),ISNUMBER(SEARCH("آبريزش",G11)),ISNUMBER(SEARCH("آبریزش",G11))),"نشتی آب - محل نامشخص (نیازمند بازدید)",IF(ISNUMBER(SEARCH("درب",G11)),"سایر اجزای درب (بازبینی)",IF(ISNUMBER(SEARCH("ضربه",G11)),"بدنه/کابین - ضربه (بازبینی/تعویض پنل)",IF(ISNUMBER(SEARCH("تراز",G11)),"تراز/لرزش - نصب (رگلاژ پایه)",IF(OR(ISNUMBER(SEARCH("تعویض",G11)),ISNUMBER(SEARCH("تعويض",G11))),"تعویض کامل دستگاه (Replacement)","سایر (نیازمند بررسی دستی)")))))))))))))))))))))))))))))))))))))))))))</f>
        <v/>
      </c>
      <c r="P11" s="124" t="inlineStr">
        <is>
          <t>رگلاژ پایه تنظیم لباسشویی</t>
        </is>
      </c>
      <c r="Q11" s="124">
        <f>IF(ISNUMBER(SEARCH("عهده شرکت",F11)),"شرکت",IF(ISNUMBER(SEARCH("عهده مشتري",F11)),"مشتری",IF(ISNUMBER(SEARCH("عهده مشتری",F11)),"مشتری","نامشخص")))</f>
        <v/>
      </c>
      <c r="R11" s="178">
        <f>IF(O11="تعویض کامل دستگاه (Replacement)",IF(SUMIF('قیمت‌ها و مفروضات'!$A$9:$A$13,C11,'قیمت‌ها و مفروضات'!$C$9:$C$13)&lt;&gt;0,SUMIF('قیمت‌ها و مفروضات'!$A$9:$A$13,C11,'قیمت‌ها و مفروضات'!$C$9:$C$13),SUMIF('قیمت‌ها و مفروضات'!$A$9:$A$13,C11,'قیمت‌ها و مفروضات'!$B$9:$B$13)),IF(SUMIF('قیمت‌ها و مفروضات'!$A$18:$A$63,O11,'قیمت‌ها و مفروضات'!$C$18:$C$63)&lt;&gt;0,SUMIF('قیمت‌ها و مفروضات'!$A$18:$A$63,O11,'قیمت‌ها و مفروضات'!$C$18:$C$63),SUMIF('قیمت‌ها و مفروضات'!$A$18:$A$63,O11,'قیمت‌ها و مفروضات'!$B$18:$B$63)))</f>
        <v/>
      </c>
      <c r="S11" s="178">
        <f>'قیمت‌ها و مفروضات'!$B$3+'قیمت‌ها و مفروضات'!$B$4</f>
        <v/>
      </c>
      <c r="T11" s="178">
        <f>R11+S11</f>
        <v/>
      </c>
      <c r="U11" s="178">
        <f>IF(COUNTIF($E$2:E11,E11)&gt;1,"بله (تکراری)","خیر")</f>
        <v/>
      </c>
      <c r="V11" s="178">
        <f>IF(U11="بله (تکراری)",S11,0)</f>
        <v/>
      </c>
      <c r="W11" s="208" t="inlineStr"/>
      <c r="X11" s="208" t="inlineStr"/>
    </row>
    <row r="12" ht="58.5" customHeight="1" s="151">
      <c r="A12" s="176" t="n">
        <v>764368</v>
      </c>
      <c r="B12" s="124">
        <f>CHOOSE(_xlfn.NUMBERVALUE(MID(H12,6,2)),"فروردین","اردیبهشت","خرداد","تیر","مرداد","شهریور","مهر","آبان","آذر","دی","بهمن","اسفند")</f>
        <v/>
      </c>
      <c r="C12" s="176" t="inlineStr">
        <is>
          <t>ماشين ظرفشويي</t>
        </is>
      </c>
      <c r="D12" s="176" t="inlineStr">
        <is>
          <t>CDW-H16T</t>
        </is>
      </c>
      <c r="E12" s="176" t="inlineStr">
        <is>
          <t>52220005N02936</t>
        </is>
      </c>
      <c r="F12" s="173" t="inlineStr">
        <is>
          <t>خطاي F11**اياب و ذهاب به عهده شرکت</t>
        </is>
      </c>
      <c r="G12" s="124" t="inlineStr">
        <is>
          <t>نشتي پمپ تخليه</t>
        </is>
      </c>
      <c r="H12" s="176" t="inlineStr">
        <is>
          <t>1405/01/22</t>
        </is>
      </c>
      <c r="I12" s="176" t="inlineStr">
        <is>
          <t>1404/03/06</t>
        </is>
      </c>
      <c r="J12" s="176" t="inlineStr">
        <is>
          <t>1404/08/01</t>
        </is>
      </c>
      <c r="K12" s="177">
        <f>IFERROR(VLOOKUP(LEFT(H12,7),'تبدیل تاریخ'!$A$2:$B$73,2,FALSE())+VALUE(RIGHT(H12,2))-1,"")</f>
        <v/>
      </c>
      <c r="L12" s="177">
        <f>IFERROR(VLOOKUP(LEFT(I12,7),'تبدیل تاریخ'!$A$2:$B$73,2,FALSE())+VALUE(RIGHT(I12,2))-1,"")</f>
        <v/>
      </c>
      <c r="M12" s="177">
        <f>IF(J12="","",IFERROR(VLOOKUP(LEFT(J12,7),'تبدیل تاریخ'!$A$2:$B$73,2,FALSE())+VALUE(RIGHT(J12,2))-1,""))</f>
        <v/>
      </c>
      <c r="N12" s="124">
        <f>IF(OR(K12="",M12=""),"",CEILING((K12-M12)/30,1))</f>
        <v/>
      </c>
      <c r="O12" s="124">
        <f>IF(OR(ISNUMBER(SEARCH("بدون مورد",G12)),ISNUMBER(SEARCH("غير گارانتي",G12)),ISNUMBER(SEARCH("غیر گارانتی",G12)),ISNUMBER(SEARCH("بدون اجرت",G12)),ISNUMBER(SEARCH("فيلتر",G12)),ISNUMBER(SEARCH("فیلتر",G12))),"غیرگارانتی/بدون قطعه",IF(OR(ISNUMBER(SEARCH("ريست",G12)),ISNUMBER(SEARCH("ریست",G12))),"ریست نرم‌افزاری (بدون قطعه)",IF(OR(ISNUMBER(SEARCH("تعویض محصول",G12)),ISNUMBER(SEARCH("تعویض دستگاه",G12))),"تعویض کامل دستگاه (Replacement)",IF(ISNUMBER(SEARCH("پمپ",G12)),IF(ISNUMBER(SEARCH("نشت",G12)),"نشتی - پمپ تخلیه (تعمیر/آب‌بندی)","خرابی - پمپ تخلیه (تعویض)"),IF(ISNUMBER(SEARCH("کمپرسور",G12)),"خرابی - کمپرسور (تعویض)",IF(ISNUMBER(SEARCH("کمک فنر",G12)),"خرابی - کمک فنر (تعویض)",IF(ISNUMBER(SEARCH("لولا",G12)),"مکانیزم درب - لولا (تعویض)",IF(OR(ISNUMBER(SEARCH("قلاب",G12)),ISNUMBER(SEARCH("ميکروسوئيچ",G12)),ISNUMBER(SEARCH("میکروسوئیچ",G12))),"مکانیزم درب - میکروسوئیچ/قلاب (تعویض/تنظیم)",IF(ISNUMBER(SEARCH("زبانه",G12)),"مکانیزم درب - زبانه (تعویض)",IF(OR(ISNUMBER(SEARCH("شيلنگ",G12)),ISNUMBER(SEARCH("شیلنگ",G12))),IF(OR(ISNUMBER(SEARCH("نشتی",G12)),ISNUMBER(SEARCH("نشتي",G12))),"نشتی - شیلنگ (تعمیر/آب‌بندی)",IF(OR(ISNUMBER(SEARCH("يخ",G12)),ISNUMBER(SEARCH("یخ",G12))),"شیلنگ یخساز - یخ‌زدگی (بازبینی)","شیلنگ - برخورد/لهیدگی (بازبینی)")),IF(OR(ISNUMBER(SEARCH("تنظيم ديسپل",G12)),ISNUMBER(SEARCH("تنظیم دیسپل",G12)),ISNUMBER(SEARCH("تنظيم صفحه نمايش",G12)),ISNUMBER(SEARCH("تنظیم صفحه نمایش",G12))),"تنظیم - تنظیمات دستگاه/دیسپلی (تعمیر)",IF(OR(ISNUMBER(SEARCH("برد",G12)),ISNUMBER(SEARCH("سوکت",G12)),ISNUMBER(SEARCH("ديسپل",G12)),ISNUMBER(SEARCH("دیسپل",G12))),"خرابی - برد الکترونیک (تعویض)",IF(OR(ISNUMBER(SEARCH("يخساز",G12)),ISNUMBER(SEARCH("یخساز",G12)),ISNUMBER(SEARCH("دمپر",G12))),IF(OR(ISNUMBER(SEARCH("خرابی",G12)),ISNUMBER(SEARCH("خراب",G12)),ISNUMBER(SEARCH("عدم کارکرد",G12)),ISNUMBER(SEARCH("عدم عملکرد",G12))),"یخساز - خرابی موتور/سنسور/برد (تعویض)","یخساز - تنظیم/عایق (تعمیر)"),IF(OR(ISNUMBER(SEARCH("لاستيک",G12)),ISNUMBER(SEARCH("لاستیک",G12))),"لاستیک درزگیر - دفرمگی/پارگی (تعویض)",IF(OR(ISNUMBER(SEARCH("گسکت",G12)),ISNUMBER(SEARCH("گسگت",G12))),"لاستیک درزگیر - دفرمگی/پارگی (تعویض)",IF(ISNUMBER(SEARCH("مخزن نمک",G12)),"نشتی - درب مخزن نمک (تعمیر/آب‌بندی)",IF(ISNUMBER(SEARCH("براکت",G12)),"نشتی - براکت ریل (تعمیر/آب‌بندی)",IF(ISNUMBER(SEARCH("جاپودر",G12)),"نشتی - جاپودری (تعمیر/آب‌بندی)",IF(ISNUMBER(SEARCH("مقسم",G12)),"نشتی - مقسم آب (تعمیر/آب‌بندی)",IF(OR(ISNUMBER(SEARCH("سنسور دما",G12)),ISNUMBER(SEARCH("ترموستات",G12))),"خرابی - ترموستات (تعویض)",IF(OR(ISNUMBER(SEARCH("هيدروستات",G12)),ISNUMBER(SEARCH("هیدروستات",G12))),"خرابی - هیدروستات (تعویض)",IF(OR(ISNUMBER(SEARCH("بلبرينگ",G12)),ISNUMBER(SEARCH("بلبرینگ",G12))),"خرابی - بلبرینگ (تعویض)",IF(OR(ISNUMBER(SEARCH("شيربرق",G12)),ISNUMBER(SEARCH("شیربرق",G12))),"خرابی - شیربرقی (تعویض)",IF(OR(ISNUMBER(SEARCH("واتر جت",G12)),ISNUMBER(SEARCH("واترجت",G12))),"خرابی - واترجت (تعویض)",IF(OR(ISNUMBER(SEARCH("سيم",G12)),ISNUMBER(SEARCH("سیم",G12)),ISNUMBER(SEARCH("اتصال",G12))),"سیم‌کشی/اتصالات (تعویض/بازبینی)",IF(OR(ISNUMBER(SEARCH("تصوير",G12)),ISNUMBER(SEARCH("تصویر",G12))),"برد نمایش تلویزیون (تعویض)",IF(OR(ISNUMBER(SEARCH("ريموت",G12)),ISNUMBER(SEARCH("ریموت",G12))),"ریموت کنترل (تعویض/تعمیر)",IF(OR(ISNUMBER(SEARCH("ال اي دي",G12)),ISNUMBER(SEARCH("ال ای دی",G12)),ISNUMBER(SEARCH("LED",G12))),"خرابی - لامپ/LED داخلی (تعویض)",IF(ISNUMBER(SEARCH("زنگ زدگ",G12)),"زنگ‌زدگی بدنه/قطعه (تعویض)",IF(OR(ISNUMBER(SEARCH("قطعات تزئين",G12)),ISNUMBER(SEARCH("قطعات تزئین",G12))),"قطعات تزئینی - شکستگی/کسری (تعویض)",IF(ISNUMBER(SEARCH("سبد",G12)),"سبد ظرفشویی - شکستگی (تعویض)",IF(ISNUMBER(SEARCH("تاب درام",G12)),"خرابی - تاب برداشتن درام (تعویض)",IF(ISNUMBER(SEARCH("درام",G12)),"خرابی - سایر ایراد درام (تعویض)",IF(ISNUMBER(SEARCH("موتور",G12)),"خرابی - موتور (تعویض)",IF(ISNUMBER(SEARCH("تسمه",G12)),"خرابی - تسمه (تعویض)",IF(OR(ISNUMBER(SEARCH("پيچ ولوم",G12)),ISNUMBER(SEARCH("پیچ ولوم",G12))),"تنظیم - پیچ ولوم/دکمه (تعمیر)",IF(OR(ISNUMBER(SEARCH("کسري قطعات",G12)),ISNUMBER(SEARCH("کسری قطعات",G12))),"کسری قطعات تزئینی (تعویض)",IF(ISNUMBER(SEARCH("پرچ",G12)),"پرچ/بدنه کابین(تعمیر)",IF(OR(ISNUMBER(SEARCH("نشت",G12)),ISNUMBER(SEARCH("آبريزش",G12)),ISNUMBER(SEARCH("آبریزش",G12))),"نشتی آب - محل نامشخص (نیازمند بازدید)",IF(ISNUMBER(SEARCH("درب",G12)),"سایر اجزای درب (بازبینی)",IF(ISNUMBER(SEARCH("ضربه",G12)),"بدنه/کابین - ضربه (بازبینی/تعویض پنل)",IF(ISNUMBER(SEARCH("تراز",G12)),"تراز/لرزش - نصب (رگلاژ پایه)",IF(OR(ISNUMBER(SEARCH("تعویض",G12)),ISNUMBER(SEARCH("تعويض",G12))),"تعویض کامل دستگاه (Replacement)","سایر (نیازمند بررسی دستی)")))))))))))))))))))))))))))))))))))))))))))</f>
        <v/>
      </c>
      <c r="P12" s="124" t="inlineStr">
        <is>
          <t>نشتی پمپ ظرفشویی</t>
        </is>
      </c>
      <c r="Q12" s="124">
        <f>IF(ISNUMBER(SEARCH("عهده شرکت",F12)),"شرکت",IF(ISNUMBER(SEARCH("عهده مشتري",F12)),"مشتری",IF(ISNUMBER(SEARCH("عهده مشتری",F12)),"مشتری","نامشخص")))</f>
        <v/>
      </c>
      <c r="R12" s="178">
        <f>IF(O12="تعویض کامل دستگاه (Replacement)",IF(SUMIF('قیمت‌ها و مفروضات'!$A$9:$A$13,C12,'قیمت‌ها و مفروضات'!$C$9:$C$13)&lt;&gt;0,SUMIF('قیمت‌ها و مفروضات'!$A$9:$A$13,C12,'قیمت‌ها و مفروضات'!$C$9:$C$13),SUMIF('قیمت‌ها و مفروضات'!$A$9:$A$13,C12,'قیمت‌ها و مفروضات'!$B$9:$B$13)),IF(SUMIF('قیمت‌ها و مفروضات'!$A$18:$A$63,O12,'قیمت‌ها و مفروضات'!$C$18:$C$63)&lt;&gt;0,SUMIF('قیمت‌ها و مفروضات'!$A$18:$A$63,O12,'قیمت‌ها و مفروضات'!$C$18:$C$63),SUMIF('قیمت‌ها و مفروضات'!$A$18:$A$63,O12,'قیمت‌ها و مفروضات'!$B$18:$B$63)))</f>
        <v/>
      </c>
      <c r="S12" s="178">
        <f>'قیمت‌ها و مفروضات'!$B$3+'قیمت‌ها و مفروضات'!$B$4</f>
        <v/>
      </c>
      <c r="T12" s="178">
        <f>R12+S12</f>
        <v/>
      </c>
      <c r="U12" s="178">
        <f>IF(COUNTIF($E$2:E12,E12)&gt;1,"بله (تکراری)","خیر")</f>
        <v/>
      </c>
      <c r="V12" s="178">
        <f>IF(U12="بله (تکراری)",S12,0)</f>
        <v/>
      </c>
      <c r="W12" s="208" t="inlineStr"/>
      <c r="X12" s="208" t="inlineStr"/>
    </row>
    <row r="13" ht="58.5" customHeight="1" s="151">
      <c r="A13" s="176" t="n">
        <v>760111</v>
      </c>
      <c r="B13" s="124">
        <f>CHOOSE(_xlfn.NUMBERVALUE(MID(H13,6,2)),"فروردین","اردیبهشت","خرداد","تیر","مرداد","شهریور","مهر","آبان","آذر","دی","بهمن","اسفند")</f>
        <v/>
      </c>
      <c r="C13" s="176" t="inlineStr">
        <is>
          <t>ماشين ظرفشويي</t>
        </is>
      </c>
      <c r="D13" s="176" t="inlineStr">
        <is>
          <t>CDW-H15V</t>
        </is>
      </c>
      <c r="E13" s="176" t="inlineStr">
        <is>
          <t>52220002N02241</t>
        </is>
      </c>
      <c r="F13" s="173" t="inlineStr">
        <is>
          <t>خطاي F54 ** اياب و ذهاب به عهده شرکت</t>
        </is>
      </c>
      <c r="G13" s="173" t="inlineStr">
        <is>
          <t>نشتی درب مخزن نمک</t>
        </is>
      </c>
      <c r="H13" s="176" t="inlineStr">
        <is>
          <t>1405/01/16</t>
        </is>
      </c>
      <c r="I13" s="176" t="inlineStr">
        <is>
          <t>1404/04/09</t>
        </is>
      </c>
      <c r="J13" s="176" t="inlineStr">
        <is>
          <t>1404/12/17</t>
        </is>
      </c>
      <c r="K13" s="177">
        <f>IFERROR(VLOOKUP(LEFT(H13,7),'تبدیل تاریخ'!$A$2:$B$73,2,FALSE())+VALUE(RIGHT(H13,2))-1,"")</f>
        <v/>
      </c>
      <c r="L13" s="177">
        <f>IFERROR(VLOOKUP(LEFT(I13,7),'تبدیل تاریخ'!$A$2:$B$73,2,FALSE())+VALUE(RIGHT(I13,2))-1,"")</f>
        <v/>
      </c>
      <c r="M13" s="177">
        <f>IF(J13="","",IFERROR(VLOOKUP(LEFT(J13,7),'تبدیل تاریخ'!$A$2:$B$73,2,FALSE())+VALUE(RIGHT(J13,2))-1,""))</f>
        <v/>
      </c>
      <c r="N13" s="124">
        <f>IF(OR(K13="",M13=""),"",CEILING((K13-M13)/30,1))</f>
        <v/>
      </c>
      <c r="O13" s="124">
        <f>IF(OR(ISNUMBER(SEARCH("بدون مورد",G13)),ISNUMBER(SEARCH("غير گارانتي",G13)),ISNUMBER(SEARCH("غیر گارانتی",G13)),ISNUMBER(SEARCH("بدون اجرت",G13)),ISNUMBER(SEARCH("فيلتر",G13)),ISNUMBER(SEARCH("فیلتر",G13))),"غیرگارانتی/بدون قطعه",IF(OR(ISNUMBER(SEARCH("ريست",G13)),ISNUMBER(SEARCH("ریست",G13))),"ریست نرم‌افزاری (بدون قطعه)",IF(OR(ISNUMBER(SEARCH("تعویض محصول",G13)),ISNUMBER(SEARCH("تعویض دستگاه",G13))),"تعویض کامل دستگاه (Replacement)",IF(ISNUMBER(SEARCH("پمپ",G13)),IF(ISNUMBER(SEARCH("نشت",G13)),"نشتی - پمپ تخلیه (تعمیر/آب‌بندی)","خرابی - پمپ تخلیه (تعویض)"),IF(ISNUMBER(SEARCH("کمپرسور",G13)),"خرابی - کمپرسور (تعویض)",IF(ISNUMBER(SEARCH("کمک فنر",G13)),"خرابی - کمک فنر (تعویض)",IF(ISNUMBER(SEARCH("لولا",G13)),"مکانیزم درب - لولا (تعویض)",IF(OR(ISNUMBER(SEARCH("قلاب",G13)),ISNUMBER(SEARCH("ميکروسوئيچ",G13)),ISNUMBER(SEARCH("میکروسوئیچ",G13))),"مکانیزم درب - میکروسوئیچ/قلاب (تعویض/تنظیم)",IF(ISNUMBER(SEARCH("زبانه",G13)),"مکانیزم درب - زبانه (تعویض)",IF(OR(ISNUMBER(SEARCH("شيلنگ",G13)),ISNUMBER(SEARCH("شیلنگ",G13))),IF(OR(ISNUMBER(SEARCH("نشتی",G13)),ISNUMBER(SEARCH("نشتي",G13))),"نشتی - شیلنگ (تعمیر/آب‌بندی)",IF(OR(ISNUMBER(SEARCH("يخ",G13)),ISNUMBER(SEARCH("یخ",G13))),"شیلنگ یخساز - یخ‌زدگی (بازبینی)","شیلنگ - برخورد/لهیدگی (بازبینی)")),IF(OR(ISNUMBER(SEARCH("تنظيم ديسپل",G13)),ISNUMBER(SEARCH("تنظیم دیسپل",G13)),ISNUMBER(SEARCH("تنظيم صفحه نمايش",G13)),ISNUMBER(SEARCH("تنظیم صفحه نمایش",G13))),"تنظیم - تنظیمات دستگاه/دیسپلی (تعمیر)",IF(OR(ISNUMBER(SEARCH("برد",G13)),ISNUMBER(SEARCH("سوکت",G13)),ISNUMBER(SEARCH("ديسپل",G13)),ISNUMBER(SEARCH("دیسپل",G13))),"خرابی - برد الکترونیک (تعویض)",IF(OR(ISNUMBER(SEARCH("يخساز",G13)),ISNUMBER(SEARCH("یخساز",G13)),ISNUMBER(SEARCH("دمپر",G13))),IF(OR(ISNUMBER(SEARCH("خرابی",G13)),ISNUMBER(SEARCH("خراب",G13)),ISNUMBER(SEARCH("عدم کارکرد",G13)),ISNUMBER(SEARCH("عدم عملکرد",G13))),"یخساز - خرابی موتور/سنسور/برد (تعویض)","یخساز - تنظیم/عایق (تعمیر)"),IF(OR(ISNUMBER(SEARCH("لاستيک",G13)),ISNUMBER(SEARCH("لاستیک",G13))),"لاستیک درزگیر - دفرمگی/پارگی (تعویض)",IF(OR(ISNUMBER(SEARCH("گسکت",G13)),ISNUMBER(SEARCH("گسگت",G13))),"لاستیک درزگیر - دفرمگی/پارگی (تعویض)",IF(ISNUMBER(SEARCH("مخزن نمک",G13)),"نشتی - درب مخزن نمک (تعمیر/آب‌بندی)",IF(ISNUMBER(SEARCH("براکت",G13)),"نشتی - براکت ریل (تعمیر/آب‌بندی)",IF(ISNUMBER(SEARCH("جاپودر",G13)),"نشتی - جاپودری (تعمیر/آب‌بندی)",IF(ISNUMBER(SEARCH("مقسم",G13)),"نشتی - مقسم آب (تعمیر/آب‌بندی)",IF(OR(ISNUMBER(SEARCH("سنسور دما",G13)),ISNUMBER(SEARCH("ترموستات",G13))),"خرابی - ترموستات (تعویض)",IF(OR(ISNUMBER(SEARCH("هيدروستات",G13)),ISNUMBER(SEARCH("هیدروستات",G13))),"خرابی - هیدروستات (تعویض)",IF(OR(ISNUMBER(SEARCH("بلبرينگ",G13)),ISNUMBER(SEARCH("بلبرینگ",G13))),"خرابی - بلبرینگ (تعویض)",IF(OR(ISNUMBER(SEARCH("شيربرق",G13)),ISNUMBER(SEARCH("شیربرق",G13))),"خرابی - شیربرقی (تعویض)",IF(OR(ISNUMBER(SEARCH("واتر جت",G13)),ISNUMBER(SEARCH("واترجت",G13))),"خرابی - واترجت (تعویض)",IF(OR(ISNUMBER(SEARCH("سيم",G13)),ISNUMBER(SEARCH("سیم",G13)),ISNUMBER(SEARCH("اتصال",G13))),"سیم‌کشی/اتصالات (تعویض/بازبینی)",IF(OR(ISNUMBER(SEARCH("تصوير",G13)),ISNUMBER(SEARCH("تصویر",G13))),"برد نمایش تلویزیون (تعویض)",IF(OR(ISNUMBER(SEARCH("ريموت",G13)),ISNUMBER(SEARCH("ریموت",G13))),"ریموت کنترل (تعویض/تعمیر)",IF(OR(ISNUMBER(SEARCH("ال اي دي",G13)),ISNUMBER(SEARCH("ال ای دی",G13)),ISNUMBER(SEARCH("LED",G13))),"خرابی - لامپ/LED داخلی (تعویض)",IF(ISNUMBER(SEARCH("زنگ زدگ",G13)),"زنگ‌زدگی بدنه/قطعه (تعویض)",IF(OR(ISNUMBER(SEARCH("قطعات تزئين",G13)),ISNUMBER(SEARCH("قطعات تزئین",G13))),"قطعات تزئینی - شکستگی/کسری (تعویض)",IF(ISNUMBER(SEARCH("سبد",G13)),"سبد ظرفشویی - شکستگی (تعویض)",IF(ISNUMBER(SEARCH("تاب درام",G13)),"خرابی - تاب برداشتن درام (تعویض)",IF(ISNUMBER(SEARCH("درام",G13)),"خرابی - سایر ایراد درام (تعویض)",IF(ISNUMBER(SEARCH("موتور",G13)),"خرابی - موتور (تعویض)",IF(ISNUMBER(SEARCH("تسمه",G13)),"خرابی - تسمه (تعویض)",IF(OR(ISNUMBER(SEARCH("پيچ ولوم",G13)),ISNUMBER(SEARCH("پیچ ولوم",G13))),"تنظیم - پیچ ولوم/دکمه (تعمیر)",IF(OR(ISNUMBER(SEARCH("کسري قطعات",G13)),ISNUMBER(SEARCH("کسری قطعات",G13))),"کسری قطعات تزئینی (تعویض)",IF(ISNUMBER(SEARCH("پرچ",G13)),"پرچ/بدنه کابین(تعمیر)",IF(OR(ISNUMBER(SEARCH("نشت",G13)),ISNUMBER(SEARCH("آبريزش",G13)),ISNUMBER(SEARCH("آبریزش",G13))),"نشتی آب - محل نامشخص (نیازمند بازدید)",IF(ISNUMBER(SEARCH("درب",G13)),"سایر اجزای درب (بازبینی)",IF(ISNUMBER(SEARCH("ضربه",G13)),"بدنه/کابین - ضربه (بازبینی/تعویض پنل)",IF(ISNUMBER(SEARCH("تراز",G13)),"تراز/لرزش - نصب (رگلاژ پایه)",IF(OR(ISNUMBER(SEARCH("تعویض",G13)),ISNUMBER(SEARCH("تعويض",G13))),"تعویض کامل دستگاه (Replacement)","سایر (نیازمند بررسی دستی)")))))))))))))))))))))))))))))))))))))))))))</f>
        <v/>
      </c>
      <c r="P13" s="124" t="inlineStr">
        <is>
          <t>*</t>
        </is>
      </c>
      <c r="Q13" s="124">
        <f>IF(ISNUMBER(SEARCH("عهده شرکت",F13)),"شرکت",IF(ISNUMBER(SEARCH("عهده مشتري",F13)),"مشتری",IF(ISNUMBER(SEARCH("عهده مشتری",F13)),"مشتری","نامشخص")))</f>
        <v/>
      </c>
      <c r="R13" s="178">
        <f>IF(O13="تعویض کامل دستگاه (Replacement)",IF(SUMIF('قیمت‌ها و مفروضات'!$A$9:$A$13,C13,'قیمت‌ها و مفروضات'!$C$9:$C$13)&lt;&gt;0,SUMIF('قیمت‌ها و مفروضات'!$A$9:$A$13,C13,'قیمت‌ها و مفروضات'!$C$9:$C$13),SUMIF('قیمت‌ها و مفروضات'!$A$9:$A$13,C13,'قیمت‌ها و مفروضات'!$B$9:$B$13)),IF(SUMIF('قیمت‌ها و مفروضات'!$A$18:$A$63,O13,'قیمت‌ها و مفروضات'!$C$18:$C$63)&lt;&gt;0,SUMIF('قیمت‌ها و مفروضات'!$A$18:$A$63,O13,'قیمت‌ها و مفروضات'!$C$18:$C$63),SUMIF('قیمت‌ها و مفروضات'!$A$18:$A$63,O13,'قیمت‌ها و مفروضات'!$B$18:$B$63)))</f>
        <v/>
      </c>
      <c r="S13" s="178">
        <f>'قیمت‌ها و مفروضات'!$B$3+'قیمت‌ها و مفروضات'!$B$4</f>
        <v/>
      </c>
      <c r="T13" s="178">
        <f>R13+S13</f>
        <v/>
      </c>
      <c r="U13" s="178">
        <f>IF(COUNTIF($E$2:E13,E13)&gt;1,"بله (تکراری)","خیر")</f>
        <v/>
      </c>
      <c r="V13" s="178">
        <f>IF(U13="بله (تکراری)",S13,0)</f>
        <v/>
      </c>
      <c r="W13" s="208" t="inlineStr"/>
      <c r="X13" s="208" t="inlineStr"/>
    </row>
    <row r="14" ht="58.5" customHeight="1" s="151">
      <c r="A14" s="176" t="n">
        <v>765793</v>
      </c>
      <c r="B14" s="124">
        <f>CHOOSE(_xlfn.NUMBERVALUE(MID(H14,6,2)),"فروردین","اردیبهشت","خرداد","تیر","مرداد","شهریور","مهر","آبان","آذر","دی","بهمن","اسفند")</f>
        <v/>
      </c>
      <c r="C14" s="176" t="inlineStr">
        <is>
          <t>ماشين لباسشويي</t>
        </is>
      </c>
      <c r="D14" s="176" t="inlineStr">
        <is>
          <t>CWM-BMW8T2</t>
        </is>
      </c>
      <c r="E14" s="176" t="inlineStr">
        <is>
          <t>52210009N01809</t>
        </is>
      </c>
      <c r="F14" s="173" t="inlineStr">
        <is>
          <t>دفرمگي نوار دور درب ** اياب و ذهاب به عهده شرکت</t>
        </is>
      </c>
      <c r="G14" s="173" t="inlineStr">
        <is>
          <t>دفرمگی نوار گسگت</t>
        </is>
      </c>
      <c r="H14" s="176" t="inlineStr">
        <is>
          <t>1405/01/26</t>
        </is>
      </c>
      <c r="I14" s="176" t="inlineStr">
        <is>
          <t>1404/05/21</t>
        </is>
      </c>
      <c r="J14" s="176" t="inlineStr">
        <is>
          <t>1404/11/12</t>
        </is>
      </c>
      <c r="K14" s="177">
        <f>IFERROR(VLOOKUP(LEFT(H14,7),'تبدیل تاریخ'!$A$2:$B$73,2,FALSE())+VALUE(RIGHT(H14,2))-1,"")</f>
        <v/>
      </c>
      <c r="L14" s="177">
        <f>IFERROR(VLOOKUP(LEFT(I14,7),'تبدیل تاریخ'!$A$2:$B$73,2,FALSE())+VALUE(RIGHT(I14,2))-1,"")</f>
        <v/>
      </c>
      <c r="M14" s="177">
        <f>IF(J14="","",IFERROR(VLOOKUP(LEFT(J14,7),'تبدیل تاریخ'!$A$2:$B$73,2,FALSE())+VALUE(RIGHT(J14,2))-1,""))</f>
        <v/>
      </c>
      <c r="N14" s="124">
        <f>IF(OR(K14="",M14=""),"",CEILING((K14-M14)/30,1))</f>
        <v/>
      </c>
      <c r="O14" s="124">
        <f>IF(OR(ISNUMBER(SEARCH("بدون مورد",G14)),ISNUMBER(SEARCH("غير گارانتي",G14)),ISNUMBER(SEARCH("غیر گارانتی",G14)),ISNUMBER(SEARCH("بدون اجرت",G14)),ISNUMBER(SEARCH("فيلتر",G14)),ISNUMBER(SEARCH("فیلتر",G14))),"غیرگارانتی/بدون قطعه",IF(OR(ISNUMBER(SEARCH("ريست",G14)),ISNUMBER(SEARCH("ریست",G14))),"ریست نرم‌افزاری (بدون قطعه)",IF(OR(ISNUMBER(SEARCH("تعویض محصول",G14)),ISNUMBER(SEARCH("تعویض دستگاه",G14))),"تعویض کامل دستگاه (Replacement)",IF(ISNUMBER(SEARCH("پمپ",G14)),IF(ISNUMBER(SEARCH("نشت",G14)),"نشتی - پمپ تخلیه (تعمیر/آب‌بندی)","خرابی - پمپ تخلیه (تعویض)"),IF(ISNUMBER(SEARCH("کمپرسور",G14)),"خرابی - کمپرسور (تعویض)",IF(ISNUMBER(SEARCH("کمک فنر",G14)),"خرابی - کمک فنر (تعویض)",IF(ISNUMBER(SEARCH("لولا",G14)),"مکانیزم درب - لولا (تعویض)",IF(OR(ISNUMBER(SEARCH("قلاب",G14)),ISNUMBER(SEARCH("ميکروسوئيچ",G14)),ISNUMBER(SEARCH("میکروسوئیچ",G14))),"مکانیزم درب - میکروسوئیچ/قلاب (تعویض/تنظیم)",IF(ISNUMBER(SEARCH("زبانه",G14)),"مکانیزم درب - زبانه (تعویض)",IF(OR(ISNUMBER(SEARCH("شيلنگ",G14)),ISNUMBER(SEARCH("شیلنگ",G14))),IF(OR(ISNUMBER(SEARCH("نشتی",G14)),ISNUMBER(SEARCH("نشتي",G14))),"نشتی - شیلنگ (تعمیر/آب‌بندی)",IF(OR(ISNUMBER(SEARCH("يخ",G14)),ISNUMBER(SEARCH("یخ",G14))),"شیلنگ یخساز - یخ‌زدگی (بازبینی)","شیلنگ - برخورد/لهیدگی (بازبینی)")),IF(OR(ISNUMBER(SEARCH("تنظيم ديسپل",G14)),ISNUMBER(SEARCH("تنظیم دیسپل",G14)),ISNUMBER(SEARCH("تنظيم صفحه نمايش",G14)),ISNUMBER(SEARCH("تنظیم صفحه نمایش",G14))),"تنظیم - تنظیمات دستگاه/دیسپلی (تعمیر)",IF(OR(ISNUMBER(SEARCH("برد",G14)),ISNUMBER(SEARCH("سوکت",G14)),ISNUMBER(SEARCH("ديسپل",G14)),ISNUMBER(SEARCH("دیسپل",G14))),"خرابی - برد الکترونیک (تعویض)",IF(OR(ISNUMBER(SEARCH("يخساز",G14)),ISNUMBER(SEARCH("یخساز",G14)),ISNUMBER(SEARCH("دمپر",G14))),IF(OR(ISNUMBER(SEARCH("خرابی",G14)),ISNUMBER(SEARCH("خراب",G14)),ISNUMBER(SEARCH("عدم کارکرد",G14)),ISNUMBER(SEARCH("عدم عملکرد",G14))),"یخساز - خرابی موتور/سنسور/برد (تعویض)","یخساز - تنظیم/عایق (تعمیر)"),IF(OR(ISNUMBER(SEARCH("لاستيک",G14)),ISNUMBER(SEARCH("لاستیک",G14))),"لاستیک درزگیر - دفرمگی/پارگی (تعویض)",IF(OR(ISNUMBER(SEARCH("گسکت",G14)),ISNUMBER(SEARCH("گسگت",G14))),"لاستیک درزگیر - دفرمگی/پارگی (تعویض)",IF(ISNUMBER(SEARCH("مخزن نمک",G14)),"نشتی - درب مخزن نمک (تعمیر/آب‌بندی)",IF(ISNUMBER(SEARCH("براکت",G14)),"نشتی - براکت ریل (تعمیر/آب‌بندی)",IF(ISNUMBER(SEARCH("جاپودر",G14)),"نشتی - جاپودری (تعمیر/آب‌بندی)",IF(ISNUMBER(SEARCH("مقسم",G14)),"نشتی - مقسم آب (تعمیر/آب‌بندی)",IF(OR(ISNUMBER(SEARCH("سنسور دما",G14)),ISNUMBER(SEARCH("ترموستات",G14))),"خرابی - ترموستات (تعویض)",IF(OR(ISNUMBER(SEARCH("هيدروستات",G14)),ISNUMBER(SEARCH("هیدروستات",G14))),"خرابی - هیدروستات (تعویض)",IF(OR(ISNUMBER(SEARCH("بلبرينگ",G14)),ISNUMBER(SEARCH("بلبرینگ",G14))),"خرابی - بلبرینگ (تعویض)",IF(OR(ISNUMBER(SEARCH("شيربرق",G14)),ISNUMBER(SEARCH("شیربرق",G14))),"خرابی - شیربرقی (تعویض)",IF(OR(ISNUMBER(SEARCH("واتر جت",G14)),ISNUMBER(SEARCH("واترجت",G14))),"خرابی - واترجت (تعویض)",IF(OR(ISNUMBER(SEARCH("سيم",G14)),ISNUMBER(SEARCH("سیم",G14)),ISNUMBER(SEARCH("اتصال",G14))),"سیم‌کشی/اتصالات (تعویض/بازبینی)",IF(OR(ISNUMBER(SEARCH("تصوير",G14)),ISNUMBER(SEARCH("تصویر",G14))),"برد نمایش تلویزیون (تعویض)",IF(OR(ISNUMBER(SEARCH("ريموت",G14)),ISNUMBER(SEARCH("ریموت",G14))),"ریموت کنترل (تعویض/تعمیر)",IF(OR(ISNUMBER(SEARCH("ال اي دي",G14)),ISNUMBER(SEARCH("ال ای دی",G14)),ISNUMBER(SEARCH("LED",G14))),"خرابی - لامپ/LED داخلی (تعویض)",IF(ISNUMBER(SEARCH("زنگ زدگ",G14)),"زنگ‌زدگی بدنه/قطعه (تعویض)",IF(OR(ISNUMBER(SEARCH("قطعات تزئين",G14)),ISNUMBER(SEARCH("قطعات تزئین",G14))),"قطعات تزئینی - شکستگی/کسری (تعویض)",IF(ISNUMBER(SEARCH("سبد",G14)),"سبد ظرفشویی - شکستگی (تعویض)",IF(ISNUMBER(SEARCH("تاب درام",G14)),"خرابی - تاب برداشتن درام (تعویض)",IF(ISNUMBER(SEARCH("درام",G14)),"خرابی - سایر ایراد درام (تعویض)",IF(ISNUMBER(SEARCH("موتور",G14)),"خرابی - موتور (تعویض)",IF(ISNUMBER(SEARCH("تسمه",G14)),"خرابی - تسمه (تعویض)",IF(OR(ISNUMBER(SEARCH("پيچ ولوم",G14)),ISNUMBER(SEARCH("پیچ ولوم",G14))),"تنظیم - پیچ ولوم/دکمه (تعمیر)",IF(OR(ISNUMBER(SEARCH("کسري قطعات",G14)),ISNUMBER(SEARCH("کسری قطعات",G14))),"کسری قطعات تزئینی (تعویض)",IF(ISNUMBER(SEARCH("پرچ",G14)),"پرچ/بدنه کابین(تعمیر)",IF(OR(ISNUMBER(SEARCH("نشت",G14)),ISNUMBER(SEARCH("آبريزش",G14)),ISNUMBER(SEARCH("آبریزش",G14))),"نشتی آب - محل نامشخص (نیازمند بازدید)",IF(ISNUMBER(SEARCH("درب",G14)),"سایر اجزای درب (بازبینی)",IF(ISNUMBER(SEARCH("ضربه",G14)),"بدنه/کابین - ضربه (بازبینی/تعویض پنل)",IF(ISNUMBER(SEARCH("تراز",G14)),"تراز/لرزش - نصب (رگلاژ پایه)",IF(OR(ISNUMBER(SEARCH("تعویض",G14)),ISNUMBER(SEARCH("تعويض",G14))),"تعویض کامل دستگاه (Replacement)","سایر (نیازمند بررسی دستی)")))))))))))))))))))))))))))))))))))))))))))</f>
        <v/>
      </c>
      <c r="P14" s="124" t="inlineStr">
        <is>
          <t>*</t>
        </is>
      </c>
      <c r="Q14" s="124">
        <f>IF(ISNUMBER(SEARCH("عهده شرکت",F14)),"شرکت",IF(ISNUMBER(SEARCH("عهده مشتري",F14)),"مشتری",IF(ISNUMBER(SEARCH("عهده مشتری",F14)),"مشتری","نامشخص")))</f>
        <v/>
      </c>
      <c r="R14" s="178">
        <f>IF(O14="تعویض کامل دستگاه (Replacement)",IF(SUMIF('قیمت‌ها و مفروضات'!$A$9:$A$13,C14,'قیمت‌ها و مفروضات'!$C$9:$C$13)&lt;&gt;0,SUMIF('قیمت‌ها و مفروضات'!$A$9:$A$13,C14,'قیمت‌ها و مفروضات'!$C$9:$C$13),SUMIF('قیمت‌ها و مفروضات'!$A$9:$A$13,C14,'قیمت‌ها و مفروضات'!$B$9:$B$13)),IF(SUMIF('قیمت‌ها و مفروضات'!$A$18:$A$63,O14,'قیمت‌ها و مفروضات'!$C$18:$C$63)&lt;&gt;0,SUMIF('قیمت‌ها و مفروضات'!$A$18:$A$63,O14,'قیمت‌ها و مفروضات'!$C$18:$C$63),SUMIF('قیمت‌ها و مفروضات'!$A$18:$A$63,O14,'قیمت‌ها و مفروضات'!$B$18:$B$63)))</f>
        <v/>
      </c>
      <c r="S14" s="178">
        <f>'قیمت‌ها و مفروضات'!$B$3+'قیمت‌ها و مفروضات'!$B$4</f>
        <v/>
      </c>
      <c r="T14" s="178">
        <f>R14+S14</f>
        <v/>
      </c>
      <c r="U14" s="178">
        <f>IF(COUNTIF($E$2:E14,E14)&gt;1,"بله (تکراری)","خیر")</f>
        <v/>
      </c>
      <c r="V14" s="178">
        <f>IF(U14="بله (تکراری)",S14,0)</f>
        <v/>
      </c>
      <c r="W14" s="208" t="inlineStr"/>
      <c r="X14" s="208" t="inlineStr"/>
    </row>
    <row r="15" ht="58.5" customHeight="1" s="151">
      <c r="A15" s="176" t="n">
        <v>763201</v>
      </c>
      <c r="B15" s="124">
        <f>CHOOSE(_xlfn.NUMBERVALUE(MID(H15,6,2)),"فروردین","اردیبهشت","خرداد","تیر","مرداد","شهریور","مهر","آبان","آذر","دی","بهمن","اسفند")</f>
        <v/>
      </c>
      <c r="C15" s="176" t="inlineStr">
        <is>
          <t>ماشين ظرفشويي</t>
        </is>
      </c>
      <c r="D15" s="176" t="inlineStr">
        <is>
          <t>CDW-H16T</t>
        </is>
      </c>
      <c r="E15" s="176" t="inlineStr">
        <is>
          <t>52220005N03892</t>
        </is>
      </c>
      <c r="F15" s="173" t="inlineStr">
        <is>
          <t>خطاي F11**اياب و ذهاب به عهده شرکت</t>
        </is>
      </c>
      <c r="G15" s="173" t="inlineStr">
        <is>
          <t>خرابی پمپ تخلیه</t>
        </is>
      </c>
      <c r="H15" s="176" t="inlineStr">
        <is>
          <t>1405/01/18</t>
        </is>
      </c>
      <c r="I15" s="176" t="inlineStr">
        <is>
          <t>1404/07/14</t>
        </is>
      </c>
      <c r="J15" s="176" t="inlineStr">
        <is>
          <t>1404/08/11</t>
        </is>
      </c>
      <c r="K15" s="177">
        <f>IFERROR(VLOOKUP(LEFT(H15,7),'تبدیل تاریخ'!$A$2:$B$73,2,FALSE())+VALUE(RIGHT(H15,2))-1,"")</f>
        <v/>
      </c>
      <c r="L15" s="177">
        <f>IFERROR(VLOOKUP(LEFT(I15,7),'تبدیل تاریخ'!$A$2:$B$73,2,FALSE())+VALUE(RIGHT(I15,2))-1,"")</f>
        <v/>
      </c>
      <c r="M15" s="177">
        <f>IF(J15="","",IFERROR(VLOOKUP(LEFT(J15,7),'تبدیل تاریخ'!$A$2:$B$73,2,FALSE())+VALUE(RIGHT(J15,2))-1,""))</f>
        <v/>
      </c>
      <c r="N15" s="124">
        <f>IF(OR(K15="",M15=""),"",CEILING((K15-M15)/30,1))</f>
        <v/>
      </c>
      <c r="O15" s="124">
        <f>IF(OR(ISNUMBER(SEARCH("بدون مورد",G15)),ISNUMBER(SEARCH("غير گارانتي",G15)),ISNUMBER(SEARCH("غیر گارانتی",G15)),ISNUMBER(SEARCH("بدون اجرت",G15)),ISNUMBER(SEARCH("فيلتر",G15)),ISNUMBER(SEARCH("فیلتر",G15))),"غیرگارانتی/بدون قطعه",IF(OR(ISNUMBER(SEARCH("ريست",G15)),ISNUMBER(SEARCH("ریست",G15))),"ریست نرم‌افزاری (بدون قطعه)",IF(OR(ISNUMBER(SEARCH("تعویض محصول",G15)),ISNUMBER(SEARCH("تعویض دستگاه",G15))),"تعویض کامل دستگاه (Replacement)",IF(ISNUMBER(SEARCH("پمپ",G15)),IF(ISNUMBER(SEARCH("نشت",G15)),"نشتی - پمپ تخلیه (تعمیر/آب‌بندی)","خرابی - پمپ تخلیه (تعویض)"),IF(ISNUMBER(SEARCH("کمپرسور",G15)),"خرابی - کمپرسور (تعویض)",IF(ISNUMBER(SEARCH("کمک فنر",G15)),"خرابی - کمک فنر (تعویض)",IF(ISNUMBER(SEARCH("لولا",G15)),"مکانیزم درب - لولا (تعویض)",IF(OR(ISNUMBER(SEARCH("قلاب",G15)),ISNUMBER(SEARCH("ميکروسوئيچ",G15)),ISNUMBER(SEARCH("میکروسوئیچ",G15))),"مکانیزم درب - میکروسوئیچ/قلاب (تعویض/تنظیم)",IF(ISNUMBER(SEARCH("زبانه",G15)),"مکانیزم درب - زبانه (تعویض)",IF(OR(ISNUMBER(SEARCH("شيلنگ",G15)),ISNUMBER(SEARCH("شیلنگ",G15))),IF(OR(ISNUMBER(SEARCH("نشتی",G15)),ISNUMBER(SEARCH("نشتي",G15))),"نشتی - شیلنگ (تعمیر/آب‌بندی)",IF(OR(ISNUMBER(SEARCH("يخ",G15)),ISNUMBER(SEARCH("یخ",G15))),"شیلنگ یخساز - یخ‌زدگی (بازبینی)","شیلنگ - برخورد/لهیدگی (بازبینی)")),IF(OR(ISNUMBER(SEARCH("تنظيم ديسپل",G15)),ISNUMBER(SEARCH("تنظیم دیسپل",G15)),ISNUMBER(SEARCH("تنظيم صفحه نمايش",G15)),ISNUMBER(SEARCH("تنظیم صفحه نمایش",G15))),"تنظیم - تنظیمات دستگاه/دیسپلی (تعمیر)",IF(OR(ISNUMBER(SEARCH("برد",G15)),ISNUMBER(SEARCH("سوکت",G15)),ISNUMBER(SEARCH("ديسپل",G15)),ISNUMBER(SEARCH("دیسپل",G15))),"خرابی - برد الکترونیک (تعویض)",IF(OR(ISNUMBER(SEARCH("يخساز",G15)),ISNUMBER(SEARCH("یخساز",G15)),ISNUMBER(SEARCH("دمپر",G15))),IF(OR(ISNUMBER(SEARCH("خرابی",G15)),ISNUMBER(SEARCH("خراب",G15)),ISNUMBER(SEARCH("عدم کارکرد",G15)),ISNUMBER(SEARCH("عدم عملکرد",G15))),"یخساز - خرابی موتور/سنسور/برد (تعویض)","یخساز - تنظیم/عایق (تعمیر)"),IF(OR(ISNUMBER(SEARCH("لاستيک",G15)),ISNUMBER(SEARCH("لاستیک",G15))),"لاستیک درزگیر - دفرمگی/پارگی (تعویض)",IF(OR(ISNUMBER(SEARCH("گسکت",G15)),ISNUMBER(SEARCH("گسگت",G15))),"لاستیک درزگیر - دفرمگی/پارگی (تعویض)",IF(ISNUMBER(SEARCH("مخزن نمک",G15)),"نشتی - درب مخزن نمک (تعمیر/آب‌بندی)",IF(ISNUMBER(SEARCH("براکت",G15)),"نشتی - براکت ریل (تعمیر/آب‌بندی)",IF(ISNUMBER(SEARCH("جاپودر",G15)),"نشتی - جاپودری (تعمیر/آب‌بندی)",IF(ISNUMBER(SEARCH("مقسم",G15)),"نشتی - مقسم آب (تعمیر/آب‌بندی)",IF(OR(ISNUMBER(SEARCH("سنسور دما",G15)),ISNUMBER(SEARCH("ترموستات",G15))),"خرابی - ترموستات (تعویض)",IF(OR(ISNUMBER(SEARCH("هيدروستات",G15)),ISNUMBER(SEARCH("هیدروستات",G15))),"خرابی - هیدروستات (تعویض)",IF(OR(ISNUMBER(SEARCH("بلبرينگ",G15)),ISNUMBER(SEARCH("بلبرینگ",G15))),"خرابی - بلبرینگ (تعویض)",IF(OR(ISNUMBER(SEARCH("شيربرق",G15)),ISNUMBER(SEARCH("شیربرق",G15))),"خرابی - شیربرقی (تعویض)",IF(OR(ISNUMBER(SEARCH("واتر جت",G15)),ISNUMBER(SEARCH("واترجت",G15))),"خرابی - واترجت (تعویض)",IF(OR(ISNUMBER(SEARCH("سيم",G15)),ISNUMBER(SEARCH("سیم",G15)),ISNUMBER(SEARCH("اتصال",G15))),"سیم‌کشی/اتصالات (تعویض/بازبینی)",IF(OR(ISNUMBER(SEARCH("تصوير",G15)),ISNUMBER(SEARCH("تصویر",G15))),"برد نمایش تلویزیون (تعویض)",IF(OR(ISNUMBER(SEARCH("ريموت",G15)),ISNUMBER(SEARCH("ریموت",G15))),"ریموت کنترل (تعویض/تعمیر)",IF(OR(ISNUMBER(SEARCH("ال اي دي",G15)),ISNUMBER(SEARCH("ال ای دی",G15)),ISNUMBER(SEARCH("LED",G15))),"خرابی - لامپ/LED داخلی (تعویض)",IF(ISNUMBER(SEARCH("زنگ زدگ",G15)),"زنگ‌زدگی بدنه/قطعه (تعویض)",IF(OR(ISNUMBER(SEARCH("قطعات تزئين",G15)),ISNUMBER(SEARCH("قطعات تزئین",G15))),"قطعات تزئینی - شکستگی/کسری (تعویض)",IF(ISNUMBER(SEARCH("سبد",G15)),"سبد ظرفشویی - شکستگی (تعویض)",IF(ISNUMBER(SEARCH("تاب درام",G15)),"خرابی - تاب برداشتن درام (تعویض)",IF(ISNUMBER(SEARCH("درام",G15)),"خرابی - سایر ایراد درام (تعویض)",IF(ISNUMBER(SEARCH("موتور",G15)),"خرابی - موتور (تعویض)",IF(ISNUMBER(SEARCH("تسمه",G15)),"خرابی - تسمه (تعویض)",IF(OR(ISNUMBER(SEARCH("پيچ ولوم",G15)),ISNUMBER(SEARCH("پیچ ولوم",G15))),"تنظیم - پیچ ولوم/دکمه (تعمیر)",IF(OR(ISNUMBER(SEARCH("کسري قطعات",G15)),ISNUMBER(SEARCH("کسری قطعات",G15))),"کسری قطعات تزئینی (تعویض)",IF(ISNUMBER(SEARCH("پرچ",G15)),"پرچ/بدنه کابین(تعمیر)",IF(OR(ISNUMBER(SEARCH("نشت",G15)),ISNUMBER(SEARCH("آبريزش",G15)),ISNUMBER(SEARCH("آبریزش",G15))),"نشتی آب - محل نامشخص (نیازمند بازدید)",IF(ISNUMBER(SEARCH("درب",G15)),"سایر اجزای درب (بازبینی)",IF(ISNUMBER(SEARCH("ضربه",G15)),"بدنه/کابین - ضربه (بازبینی/تعویض پنل)",IF(ISNUMBER(SEARCH("تراز",G15)),"تراز/لرزش - نصب (رگلاژ پایه)",IF(OR(ISNUMBER(SEARCH("تعویض",G15)),ISNUMBER(SEARCH("تعويض",G15))),"تعویض کامل دستگاه (Replacement)","سایر (نیازمند بررسی دستی)")))))))))))))))))))))))))))))))))))))))))))</f>
        <v/>
      </c>
      <c r="P15" s="124" t="inlineStr">
        <is>
          <t>پمپ تخلیه ظرفشویی</t>
        </is>
      </c>
      <c r="Q15" s="124">
        <f>IF(ISNUMBER(SEARCH("عهده شرکت",F15)),"شرکت",IF(ISNUMBER(SEARCH("عهده مشتري",F15)),"مشتری",IF(ISNUMBER(SEARCH("عهده مشتری",F15)),"مشتری","نامشخص")))</f>
        <v/>
      </c>
      <c r="R15" s="178">
        <f>IF(O15="تعویض کامل دستگاه (Replacement)",IF(SUMIF('قیمت‌ها و مفروضات'!$A$9:$A$13,C15,'قیمت‌ها و مفروضات'!$C$9:$C$13)&lt;&gt;0,SUMIF('قیمت‌ها و مفروضات'!$A$9:$A$13,C15,'قیمت‌ها و مفروضات'!$C$9:$C$13),SUMIF('قیمت‌ها و مفروضات'!$A$9:$A$13,C15,'قیمت‌ها و مفروضات'!$B$9:$B$13)),IF(SUMIF('قیمت‌ها و مفروضات'!$A$18:$A$63,O15,'قیمت‌ها و مفروضات'!$C$18:$C$63)&lt;&gt;0,SUMIF('قیمت‌ها و مفروضات'!$A$18:$A$63,O15,'قیمت‌ها و مفروضات'!$C$18:$C$63),SUMIF('قیمت‌ها و مفروضات'!$A$18:$A$63,O15,'قیمت‌ها و مفروضات'!$B$18:$B$63)))</f>
        <v/>
      </c>
      <c r="S15" s="178">
        <f>'قیمت‌ها و مفروضات'!$B$3+'قیمت‌ها و مفروضات'!$B$4</f>
        <v/>
      </c>
      <c r="T15" s="178">
        <f>R15+S15</f>
        <v/>
      </c>
      <c r="U15" s="178">
        <f>IF(COUNTIF($E$2:E15,E15)&gt;1,"بله (تکراری)","خیر")</f>
        <v/>
      </c>
      <c r="V15" s="178">
        <f>IF(U15="بله (تکراری)",S15,0)</f>
        <v/>
      </c>
      <c r="W15" s="208" t="inlineStr"/>
      <c r="X15" s="208" t="inlineStr"/>
    </row>
    <row r="16" ht="58.5" customHeight="1" s="151">
      <c r="A16" s="176" t="n">
        <v>760655</v>
      </c>
      <c r="B16" s="124">
        <f>CHOOSE(_xlfn.NUMBERVALUE(MID(H16,6,2)),"فروردین","اردیبهشت","خرداد","تیر","مرداد","شهریور","مهر","آبان","آذر","دی","بهمن","اسفند")</f>
        <v/>
      </c>
      <c r="C16" s="176" t="inlineStr">
        <is>
          <t>ماشين لباسشويي</t>
        </is>
      </c>
      <c r="D16" s="176" t="inlineStr">
        <is>
          <t>CWM-BMW8T2</t>
        </is>
      </c>
      <c r="E16" s="176" t="inlineStr">
        <is>
          <t>52210010N01699</t>
        </is>
      </c>
      <c r="F16" s="173" t="inlineStr">
        <is>
          <t>از کار افتادن محصول ** اياب و ذهاب به عهده شرکت</t>
        </is>
      </c>
      <c r="G16" s="173" t="inlineStr">
        <is>
          <t xml:space="preserve">تنظیم سوکت برد </t>
        </is>
      </c>
      <c r="H16" s="176" t="inlineStr">
        <is>
          <t>1405/01/16</t>
        </is>
      </c>
      <c r="I16" s="176" t="inlineStr">
        <is>
          <t>1404/07/17</t>
        </is>
      </c>
      <c r="J16" s="176" t="inlineStr">
        <is>
          <t>1404/08/07</t>
        </is>
      </c>
      <c r="K16" s="177">
        <f>IFERROR(VLOOKUP(LEFT(H16,7),'تبدیل تاریخ'!$A$2:$B$73,2,FALSE())+VALUE(RIGHT(H16,2))-1,"")</f>
        <v/>
      </c>
      <c r="L16" s="177">
        <f>IFERROR(VLOOKUP(LEFT(I16,7),'تبدیل تاریخ'!$A$2:$B$73,2,FALSE())+VALUE(RIGHT(I16,2))-1,"")</f>
        <v/>
      </c>
      <c r="M16" s="177">
        <f>IF(J16="","",IFERROR(VLOOKUP(LEFT(J16,7),'تبدیل تاریخ'!$A$2:$B$73,2,FALSE())+VALUE(RIGHT(J16,2))-1,""))</f>
        <v/>
      </c>
      <c r="N16" s="124">
        <f>IF(OR(K16="",M16=""),"",CEILING((K16-M16)/30,1))</f>
        <v/>
      </c>
      <c r="O16" s="124">
        <f>IF(OR(ISNUMBER(SEARCH("بدون مورد",G16)),ISNUMBER(SEARCH("غير گارانتي",G16)),ISNUMBER(SEARCH("غیر گارانتی",G16)),ISNUMBER(SEARCH("بدون اجرت",G16)),ISNUMBER(SEARCH("فيلتر",G16)),ISNUMBER(SEARCH("فیلتر",G16))),"غیرگارانتی/بدون قطعه",IF(OR(ISNUMBER(SEARCH("ريست",G16)),ISNUMBER(SEARCH("ریست",G16))),"ریست نرم‌افزاری (بدون قطعه)",IF(OR(ISNUMBER(SEARCH("تعویض محصول",G16)),ISNUMBER(SEARCH("تعویض دستگاه",G16))),"تعویض کامل دستگاه (Replacement)",IF(ISNUMBER(SEARCH("پمپ",G16)),IF(ISNUMBER(SEARCH("نشت",G16)),"نشتی - پمپ تخلیه (تعمیر/آب‌بندی)","خرابی - پمپ تخلیه (تعویض)"),IF(ISNUMBER(SEARCH("کمپرسور",G16)),"خرابی - کمپرسور (تعویض)",IF(ISNUMBER(SEARCH("کمک فنر",G16)),"خرابی - کمک فنر (تعویض)",IF(ISNUMBER(SEARCH("لولا",G16)),"مکانیزم درب - لولا (تعویض)",IF(OR(ISNUMBER(SEARCH("قلاب",G16)),ISNUMBER(SEARCH("ميکروسوئيچ",G16)),ISNUMBER(SEARCH("میکروسوئیچ",G16))),"مکانیزم درب - میکروسوئیچ/قلاب (تعویض/تنظیم)",IF(ISNUMBER(SEARCH("زبانه",G16)),"مکانیزم درب - زبانه (تعویض)",IF(OR(ISNUMBER(SEARCH("شيلنگ",G16)),ISNUMBER(SEARCH("شیلنگ",G16))),IF(OR(ISNUMBER(SEARCH("نشتی",G16)),ISNUMBER(SEARCH("نشتي",G16))),"نشتی - شیلنگ (تعمیر/آب‌بندی)",IF(OR(ISNUMBER(SEARCH("يخ",G16)),ISNUMBER(SEARCH("یخ",G16))),"شیلنگ یخساز - یخ‌زدگی (بازبینی)","شیلنگ - برخورد/لهیدگی (بازبینی)")),IF(OR(ISNUMBER(SEARCH("تنظيم ديسپل",G16)),ISNUMBER(SEARCH("تنظیم دیسپل",G16)),ISNUMBER(SEARCH("تنظيم صفحه نمايش",G16)),ISNUMBER(SEARCH("تنظیم صفحه نمایش",G16))),"تنظیم - تنظیمات دستگاه/دیسپلی (تعمیر)",IF(OR(ISNUMBER(SEARCH("برد",G16)),ISNUMBER(SEARCH("سوکت",G16)),ISNUMBER(SEARCH("ديسپل",G16)),ISNUMBER(SEARCH("دیسپل",G16))),"خرابی - برد الکترونیک (تعویض)",IF(OR(ISNUMBER(SEARCH("يخساز",G16)),ISNUMBER(SEARCH("یخساز",G16)),ISNUMBER(SEARCH("دمپر",G16))),IF(OR(ISNUMBER(SEARCH("خرابی",G16)),ISNUMBER(SEARCH("خراب",G16)),ISNUMBER(SEARCH("عدم کارکرد",G16)),ISNUMBER(SEARCH("عدم عملکرد",G16))),"یخساز - خرابی موتور/سنسور/برد (تعویض)","یخساز - تنظیم/عایق (تعمیر)"),IF(OR(ISNUMBER(SEARCH("لاستيک",G16)),ISNUMBER(SEARCH("لاستیک",G16))),"لاستیک درزگیر - دفرمگی/پارگی (تعویض)",IF(OR(ISNUMBER(SEARCH("گسکت",G16)),ISNUMBER(SEARCH("گسگت",G16))),"لاستیک درزگیر - دفرمگی/پارگی (تعویض)",IF(ISNUMBER(SEARCH("مخزن نمک",G16)),"نشتی - درب مخزن نمک (تعمیر/آب‌بندی)",IF(ISNUMBER(SEARCH("براکت",G16)),"نشتی - براکت ریل (تعمیر/آب‌بندی)",IF(ISNUMBER(SEARCH("جاپودر",G16)),"نشتی - جاپودری (تعمیر/آب‌بندی)",IF(ISNUMBER(SEARCH("مقسم",G16)),"نشتی - مقسم آب (تعمیر/آب‌بندی)",IF(OR(ISNUMBER(SEARCH("سنسور دما",G16)),ISNUMBER(SEARCH("ترموستات",G16))),"خرابی - ترموستات (تعویض)",IF(OR(ISNUMBER(SEARCH("هيدروستات",G16)),ISNUMBER(SEARCH("هیدروستات",G16))),"خرابی - هیدروستات (تعویض)",IF(OR(ISNUMBER(SEARCH("بلبرينگ",G16)),ISNUMBER(SEARCH("بلبرینگ",G16))),"خرابی - بلبرینگ (تعویض)",IF(OR(ISNUMBER(SEARCH("شيربرق",G16)),ISNUMBER(SEARCH("شیربرق",G16))),"خرابی - شیربرقی (تعویض)",IF(OR(ISNUMBER(SEARCH("واتر جت",G16)),ISNUMBER(SEARCH("واترجت",G16))),"خرابی - واترجت (تعویض)",IF(OR(ISNUMBER(SEARCH("سيم",G16)),ISNUMBER(SEARCH("سیم",G16)),ISNUMBER(SEARCH("اتصال",G16))),"سیم‌کشی/اتصالات (تعویض/بازبینی)",IF(OR(ISNUMBER(SEARCH("تصوير",G16)),ISNUMBER(SEARCH("تصویر",G16))),"برد نمایش تلویزیون (تعویض)",IF(OR(ISNUMBER(SEARCH("ريموت",G16)),ISNUMBER(SEARCH("ریموت",G16))),"ریموت کنترل (تعویض/تعمیر)",IF(OR(ISNUMBER(SEARCH("ال اي دي",G16)),ISNUMBER(SEARCH("ال ای دی",G16)),ISNUMBER(SEARCH("LED",G16))),"خرابی - لامپ/LED داخلی (تعویض)",IF(ISNUMBER(SEARCH("زنگ زدگ",G16)),"زنگ‌زدگی بدنه/قطعه (تعویض)",IF(OR(ISNUMBER(SEARCH("قطعات تزئين",G16)),ISNUMBER(SEARCH("قطعات تزئین",G16))),"قطعات تزئینی - شکستگی/کسری (تعویض)",IF(ISNUMBER(SEARCH("سبد",G16)),"سبد ظرفشویی - شکستگی (تعویض)",IF(ISNUMBER(SEARCH("تاب درام",G16)),"خرابی - تاب برداشتن درام (تعویض)",IF(ISNUMBER(SEARCH("درام",G16)),"خرابی - سایر ایراد درام (تعویض)",IF(ISNUMBER(SEARCH("موتور",G16)),"خرابی - موتور (تعویض)",IF(ISNUMBER(SEARCH("تسمه",G16)),"خرابی - تسمه (تعویض)",IF(OR(ISNUMBER(SEARCH("پيچ ولوم",G16)),ISNUMBER(SEARCH("پیچ ولوم",G16))),"تنظیم - پیچ ولوم/دکمه (تعمیر)",IF(OR(ISNUMBER(SEARCH("کسري قطعات",G16)),ISNUMBER(SEARCH("کسری قطعات",G16))),"کسری قطعات تزئینی (تعویض)",IF(ISNUMBER(SEARCH("پرچ",G16)),"پرچ/بدنه کابین(تعمیر)",IF(OR(ISNUMBER(SEARCH("نشت",G16)),ISNUMBER(SEARCH("آبريزش",G16)),ISNUMBER(SEARCH("آبریزش",G16))),"نشتی آب - محل نامشخص (نیازمند بازدید)",IF(ISNUMBER(SEARCH("درب",G16)),"سایر اجزای درب (بازبینی)",IF(ISNUMBER(SEARCH("ضربه",G16)),"بدنه/کابین - ضربه (بازبینی/تعویض پنل)",IF(ISNUMBER(SEARCH("تراز",G16)),"تراز/لرزش - نصب (رگلاژ پایه)",IF(OR(ISNUMBER(SEARCH("تعویض",G16)),ISNUMBER(SEARCH("تعويض",G16))),"تعویض کامل دستگاه (Replacement)","سایر (نیازمند بررسی دستی)")))))))))))))))))))))))))))))))))))))))))))</f>
        <v/>
      </c>
      <c r="P16" s="124" t="inlineStr">
        <is>
          <t>برد لباسشویی</t>
        </is>
      </c>
      <c r="Q16" s="124">
        <f>IF(ISNUMBER(SEARCH("عهده شرکت",F16)),"شرکت",IF(ISNUMBER(SEARCH("عهده مشتري",F16)),"مشتری",IF(ISNUMBER(SEARCH("عهده مشتری",F16)),"مشتری","نامشخص")))</f>
        <v/>
      </c>
      <c r="R16" s="178">
        <f>IF(O16="تعویض کامل دستگاه (Replacement)",IF(SUMIF('قیمت‌ها و مفروضات'!$A$9:$A$13,C16,'قیمت‌ها و مفروضات'!$C$9:$C$13)&lt;&gt;0,SUMIF('قیمت‌ها و مفروضات'!$A$9:$A$13,C16,'قیمت‌ها و مفروضات'!$C$9:$C$13),SUMIF('قیمت‌ها و مفروضات'!$A$9:$A$13,C16,'قیمت‌ها و مفروضات'!$B$9:$B$13)),IF(SUMIF('قیمت‌ها و مفروضات'!$A$18:$A$63,O16,'قیمت‌ها و مفروضات'!$C$18:$C$63)&lt;&gt;0,SUMIF('قیمت‌ها و مفروضات'!$A$18:$A$63,O16,'قیمت‌ها و مفروضات'!$C$18:$C$63),SUMIF('قیمت‌ها و مفروضات'!$A$18:$A$63,O16,'قیمت‌ها و مفروضات'!$B$18:$B$63)))</f>
        <v/>
      </c>
      <c r="S16" s="178">
        <f>'قیمت‌ها و مفروضات'!$B$3+'قیمت‌ها و مفروضات'!$B$4</f>
        <v/>
      </c>
      <c r="T16" s="178">
        <f>R16+S16</f>
        <v/>
      </c>
      <c r="U16" s="178">
        <f>IF(COUNTIF($E$2:E16,E16)&gt;1,"بله (تکراری)","خیر")</f>
        <v/>
      </c>
      <c r="V16" s="178">
        <f>IF(U16="بله (تکراری)",S16,0)</f>
        <v/>
      </c>
      <c r="W16" s="208" t="inlineStr"/>
      <c r="X16" s="208" t="inlineStr"/>
    </row>
    <row r="17" ht="58.5" customHeight="1" s="151">
      <c r="A17" s="176" t="n">
        <v>130003087</v>
      </c>
      <c r="B17" s="124">
        <f>CHOOSE(_xlfn.NUMBERVALUE(MID(H17,6,2)),"فروردین","اردیبهشت","خرداد","تیر","مرداد","شهریور","مهر","آبان","آذر","دی","بهمن","اسفند")</f>
        <v/>
      </c>
      <c r="C17" s="176" t="inlineStr">
        <is>
          <t>ماشين ظرفشويي</t>
        </is>
      </c>
      <c r="D17" s="176" t="inlineStr">
        <is>
          <t>CDW-H16T</t>
        </is>
      </c>
      <c r="E17" s="176" t="inlineStr">
        <is>
          <t>52220005N04234</t>
        </is>
      </c>
      <c r="F17" s="173" t="inlineStr">
        <is>
          <t>خطاي F54اياب و ذهاب به عهده شرکت</t>
        </is>
      </c>
      <c r="G17" s="173" t="inlineStr">
        <is>
          <t xml:space="preserve">بدون مورد و اجرت </t>
        </is>
      </c>
      <c r="H17" s="176" t="inlineStr">
        <is>
          <t>1405/01/16</t>
        </is>
      </c>
      <c r="I17" s="176" t="inlineStr">
        <is>
          <t>1404/08/08</t>
        </is>
      </c>
      <c r="J17" s="176" t="inlineStr">
        <is>
          <t>1404/10/10</t>
        </is>
      </c>
      <c r="K17" s="177">
        <f>IFERROR(VLOOKUP(LEFT(H17,7),'تبدیل تاریخ'!$A$2:$B$73,2,FALSE())+VALUE(RIGHT(H17,2))-1,"")</f>
        <v/>
      </c>
      <c r="L17" s="177">
        <f>IFERROR(VLOOKUP(LEFT(I17,7),'تبدیل تاریخ'!$A$2:$B$73,2,FALSE())+VALUE(RIGHT(I17,2))-1,"")</f>
        <v/>
      </c>
      <c r="M17" s="177">
        <f>IF(J17="","",IFERROR(VLOOKUP(LEFT(J17,7),'تبدیل تاریخ'!$A$2:$B$73,2,FALSE())+VALUE(RIGHT(J17,2))-1,""))</f>
        <v/>
      </c>
      <c r="N17" s="124">
        <f>IF(OR(K17="",M17=""),"",CEILING((K17-M17)/30,1))</f>
        <v/>
      </c>
      <c r="O17" s="124">
        <f>IF(OR(ISNUMBER(SEARCH("بدون مورد",G17)),ISNUMBER(SEARCH("غير گارانتي",G17)),ISNUMBER(SEARCH("غیر گارانتی",G17)),ISNUMBER(SEARCH("بدون اجرت",G17)),ISNUMBER(SEARCH("فيلتر",G17)),ISNUMBER(SEARCH("فیلتر",G17))),"غیرگارانتی/بدون قطعه",IF(OR(ISNUMBER(SEARCH("ريست",G17)),ISNUMBER(SEARCH("ریست",G17))),"ریست نرم‌افزاری (بدون قطعه)",IF(OR(ISNUMBER(SEARCH("تعویض محصول",G17)),ISNUMBER(SEARCH("تعویض دستگاه",G17))),"تعویض کامل دستگاه (Replacement)",IF(ISNUMBER(SEARCH("پمپ",G17)),IF(ISNUMBER(SEARCH("نشت",G17)),"نشتی - پمپ تخلیه (تعمیر/آب‌بندی)","خرابی - پمپ تخلیه (تعویض)"),IF(ISNUMBER(SEARCH("کمپرسور",G17)),"خرابی - کمپرسور (تعویض)",IF(ISNUMBER(SEARCH("کمک فنر",G17)),"خرابی - کمک فنر (تعویض)",IF(ISNUMBER(SEARCH("لولا",G17)),"مکانیزم درب - لولا (تعویض)",IF(OR(ISNUMBER(SEARCH("قلاب",G17)),ISNUMBER(SEARCH("ميکروسوئيچ",G17)),ISNUMBER(SEARCH("میکروسوئیچ",G17))),"مکانیزم درب - میکروسوئیچ/قلاب (تعویض/تنظیم)",IF(ISNUMBER(SEARCH("زبانه",G17)),"مکانیزم درب - زبانه (تعویض)",IF(OR(ISNUMBER(SEARCH("شيلنگ",G17)),ISNUMBER(SEARCH("شیلنگ",G17))),IF(OR(ISNUMBER(SEARCH("نشتی",G17)),ISNUMBER(SEARCH("نشتي",G17))),"نشتی - شیلنگ (تعمیر/آب‌بندی)",IF(OR(ISNUMBER(SEARCH("يخ",G17)),ISNUMBER(SEARCH("یخ",G17))),"شیلنگ یخساز - یخ‌زدگی (بازبینی)","شیلنگ - برخورد/لهیدگی (بازبینی)")),IF(OR(ISNUMBER(SEARCH("تنظيم ديسپل",G17)),ISNUMBER(SEARCH("تنظیم دیسپل",G17)),ISNUMBER(SEARCH("تنظيم صفحه نمايش",G17)),ISNUMBER(SEARCH("تنظیم صفحه نمایش",G17))),"تنظیم - تنظیمات دستگاه/دیسپلی (تعمیر)",IF(OR(ISNUMBER(SEARCH("برد",G17)),ISNUMBER(SEARCH("سوکت",G17)),ISNUMBER(SEARCH("ديسپل",G17)),ISNUMBER(SEARCH("دیسپل",G17))),"خرابی - برد الکترونیک (تعویض)",IF(OR(ISNUMBER(SEARCH("يخساز",G17)),ISNUMBER(SEARCH("یخساز",G17)),ISNUMBER(SEARCH("دمپر",G17))),IF(OR(ISNUMBER(SEARCH("خرابی",G17)),ISNUMBER(SEARCH("خراب",G17)),ISNUMBER(SEARCH("عدم کارکرد",G17)),ISNUMBER(SEARCH("عدم عملکرد",G17))),"یخساز - خرابی موتور/سنسور/برد (تعویض)","یخساز - تنظیم/عایق (تعمیر)"),IF(OR(ISNUMBER(SEARCH("لاستيک",G17)),ISNUMBER(SEARCH("لاستیک",G17))),"لاستیک درزگیر - دفرمگی/پارگی (تعویض)",IF(OR(ISNUMBER(SEARCH("گسکت",G17)),ISNUMBER(SEARCH("گسگت",G17))),"لاستیک درزگیر - دفرمگی/پارگی (تعویض)",IF(ISNUMBER(SEARCH("مخزن نمک",G17)),"نشتی - درب مخزن نمک (تعمیر/آب‌بندی)",IF(ISNUMBER(SEARCH("براکت",G17)),"نشتی - براکت ریل (تعمیر/آب‌بندی)",IF(ISNUMBER(SEARCH("جاپودر",G17)),"نشتی - جاپودری (تعمیر/آب‌بندی)",IF(ISNUMBER(SEARCH("مقسم",G17)),"نشتی - مقسم آب (تعمیر/آب‌بندی)",IF(OR(ISNUMBER(SEARCH("سنسور دما",G17)),ISNUMBER(SEARCH("ترموستات",G17))),"خرابی - ترموستات (تعویض)",IF(OR(ISNUMBER(SEARCH("هيدروستات",G17)),ISNUMBER(SEARCH("هیدروستات",G17))),"خرابی - هیدروستات (تعویض)",IF(OR(ISNUMBER(SEARCH("بلبرينگ",G17)),ISNUMBER(SEARCH("بلبرینگ",G17))),"خرابی - بلبرینگ (تعویض)",IF(OR(ISNUMBER(SEARCH("شيربرق",G17)),ISNUMBER(SEARCH("شیربرق",G17))),"خرابی - شیربرقی (تعویض)",IF(OR(ISNUMBER(SEARCH("واتر جت",G17)),ISNUMBER(SEARCH("واترجت",G17))),"خرابی - واترجت (تعویض)",IF(OR(ISNUMBER(SEARCH("سيم",G17)),ISNUMBER(SEARCH("سیم",G17)),ISNUMBER(SEARCH("اتصال",G17))),"سیم‌کشی/اتصالات (تعویض/بازبینی)",IF(OR(ISNUMBER(SEARCH("تصوير",G17)),ISNUMBER(SEARCH("تصویر",G17))),"برد نمایش تلویزیون (تعویض)",IF(OR(ISNUMBER(SEARCH("ريموت",G17)),ISNUMBER(SEARCH("ریموت",G17))),"ریموت کنترل (تعویض/تعمیر)",IF(OR(ISNUMBER(SEARCH("ال اي دي",G17)),ISNUMBER(SEARCH("ال ای دی",G17)),ISNUMBER(SEARCH("LED",G17))),"خرابی - لامپ/LED داخلی (تعویض)",IF(ISNUMBER(SEARCH("زنگ زدگ",G17)),"زنگ‌زدگی بدنه/قطعه (تعویض)",IF(OR(ISNUMBER(SEARCH("قطعات تزئين",G17)),ISNUMBER(SEARCH("قطعات تزئین",G17))),"قطعات تزئینی - شکستگی/کسری (تعویض)",IF(ISNUMBER(SEARCH("سبد",G17)),"سبد ظرفشویی - شکستگی (تعویض)",IF(ISNUMBER(SEARCH("تاب درام",G17)),"خرابی - تاب برداشتن درام (تعویض)",IF(ISNUMBER(SEARCH("درام",G17)),"خرابی - سایر ایراد درام (تعویض)",IF(ISNUMBER(SEARCH("موتور",G17)),"خرابی - موتور (تعویض)",IF(ISNUMBER(SEARCH("تسمه",G17)),"خرابی - تسمه (تعویض)",IF(OR(ISNUMBER(SEARCH("پيچ ولوم",G17)),ISNUMBER(SEARCH("پیچ ولوم",G17))),"تنظیم - پیچ ولوم/دکمه (تعمیر)",IF(OR(ISNUMBER(SEARCH("کسري قطعات",G17)),ISNUMBER(SEARCH("کسری قطعات",G17))),"کسری قطعات تزئینی (تعویض)",IF(ISNUMBER(SEARCH("پرچ",G17)),"پرچ/بدنه کابین(تعمیر)",IF(OR(ISNUMBER(SEARCH("نشت",G17)),ISNUMBER(SEARCH("آبريزش",G17)),ISNUMBER(SEARCH("آبریزش",G17))),"نشتی آب - محل نامشخص (نیازمند بازدید)",IF(ISNUMBER(SEARCH("درب",G17)),"سایر اجزای درب (بازبینی)",IF(ISNUMBER(SEARCH("ضربه",G17)),"بدنه/کابین - ضربه (بازبینی/تعویض پنل)",IF(ISNUMBER(SEARCH("تراز",G17)),"تراز/لرزش - نصب (رگلاژ پایه)",IF(OR(ISNUMBER(SEARCH("تعویض",G17)),ISNUMBER(SEARCH("تعويض",G17))),"تعویض کامل دستگاه (Replacement)","سایر (نیازمند بررسی دستی)")))))))))))))))))))))))))))))))))))))))))))</f>
        <v/>
      </c>
      <c r="P17" s="124" t="inlineStr">
        <is>
          <t>*</t>
        </is>
      </c>
      <c r="Q17" s="124">
        <f>IF(ISNUMBER(SEARCH("عهده شرکت",F17)),"شرکت",IF(ISNUMBER(SEARCH("عهده مشتري",F17)),"مشتری",IF(ISNUMBER(SEARCH("عهده مشتری",F17)),"مشتری","نامشخص")))</f>
        <v/>
      </c>
      <c r="R17" s="178">
        <f>IF(O17="تعویض کامل دستگاه (Replacement)",IF(SUMIF('قیمت‌ها و مفروضات'!$A$9:$A$13,C17,'قیمت‌ها و مفروضات'!$C$9:$C$13)&lt;&gt;0,SUMIF('قیمت‌ها و مفروضات'!$A$9:$A$13,C17,'قیمت‌ها و مفروضات'!$C$9:$C$13),SUMIF('قیمت‌ها و مفروضات'!$A$9:$A$13,C17,'قیمت‌ها و مفروضات'!$B$9:$B$13)),IF(SUMIF('قیمت‌ها و مفروضات'!$A$18:$A$63,O17,'قیمت‌ها و مفروضات'!$C$18:$C$63)&lt;&gt;0,SUMIF('قیمت‌ها و مفروضات'!$A$18:$A$63,O17,'قیمت‌ها و مفروضات'!$C$18:$C$63),SUMIF('قیمت‌ها و مفروضات'!$A$18:$A$63,O17,'قیمت‌ها و مفروضات'!$B$18:$B$63)))</f>
        <v/>
      </c>
      <c r="S17" s="178">
        <f>'قیمت‌ها و مفروضات'!$B$3+'قیمت‌ها و مفروضات'!$B$4</f>
        <v/>
      </c>
      <c r="T17" s="178">
        <f>R17+S17</f>
        <v/>
      </c>
      <c r="U17" s="178">
        <f>IF(COUNTIF($E$2:E17,E17)&gt;1,"بله (تکراری)","خیر")</f>
        <v/>
      </c>
      <c r="V17" s="178">
        <f>IF(U17="بله (تکراری)",S17,0)</f>
        <v/>
      </c>
      <c r="W17" s="208" t="inlineStr"/>
      <c r="X17" s="208" t="inlineStr"/>
    </row>
    <row r="18" ht="58.5" customHeight="1" s="151">
      <c r="A18" s="176" t="n">
        <v>763731</v>
      </c>
      <c r="B18" s="124">
        <f>CHOOSE(_xlfn.NUMBERVALUE(MID(H18,6,2)),"فروردین","اردیبهشت","خرداد","تیر","مرداد","شهریور","مهر","آبان","آذر","دی","بهمن","اسفند")</f>
        <v/>
      </c>
      <c r="C18" s="176" t="inlineStr">
        <is>
          <t>ماشين ظرفشويي</t>
        </is>
      </c>
      <c r="D18" s="176" t="inlineStr">
        <is>
          <t>CDW-H16T</t>
        </is>
      </c>
      <c r="E18" s="176" t="inlineStr">
        <is>
          <t>52220005N04863</t>
        </is>
      </c>
      <c r="F18" s="173" t="inlineStr">
        <is>
          <t>اياب و ذهاب به عهده شرکت ** بسته نشدن درب</t>
        </is>
      </c>
      <c r="G18" s="173" t="inlineStr">
        <is>
          <t xml:space="preserve">بدون مورد و اجرت </t>
        </is>
      </c>
      <c r="H18" s="176" t="inlineStr">
        <is>
          <t>1405/01/19</t>
        </is>
      </c>
      <c r="I18" s="176" t="inlineStr">
        <is>
          <t>1404/08/22</t>
        </is>
      </c>
      <c r="J18" s="176" t="inlineStr">
        <is>
          <t>1404/10/24</t>
        </is>
      </c>
      <c r="K18" s="177">
        <f>IFERROR(VLOOKUP(LEFT(H18,7),'تبدیل تاریخ'!$A$2:$B$73,2,FALSE())+VALUE(RIGHT(H18,2))-1,"")</f>
        <v/>
      </c>
      <c r="L18" s="177">
        <f>IFERROR(VLOOKUP(LEFT(I18,7),'تبدیل تاریخ'!$A$2:$B$73,2,FALSE())+VALUE(RIGHT(I18,2))-1,"")</f>
        <v/>
      </c>
      <c r="M18" s="177">
        <f>IF(J18="","",IFERROR(VLOOKUP(LEFT(J18,7),'تبدیل تاریخ'!$A$2:$B$73,2,FALSE())+VALUE(RIGHT(J18,2))-1,""))</f>
        <v/>
      </c>
      <c r="N18" s="124">
        <f>IF(OR(K18="",M18=""),"",CEILING((K18-M18)/30,1))</f>
        <v/>
      </c>
      <c r="O18" s="124">
        <f>IF(OR(ISNUMBER(SEARCH("بدون مورد",G18)),ISNUMBER(SEARCH("غير گارانتي",G18)),ISNUMBER(SEARCH("غیر گارانتی",G18)),ISNUMBER(SEARCH("بدون اجرت",G18)),ISNUMBER(SEARCH("فيلتر",G18)),ISNUMBER(SEARCH("فیلتر",G18))),"غیرگارانتی/بدون قطعه",IF(OR(ISNUMBER(SEARCH("ريست",G18)),ISNUMBER(SEARCH("ریست",G18))),"ریست نرم‌افزاری (بدون قطعه)",IF(OR(ISNUMBER(SEARCH("تعویض محصول",G18)),ISNUMBER(SEARCH("تعویض دستگاه",G18))),"تعویض کامل دستگاه (Replacement)",IF(ISNUMBER(SEARCH("پمپ",G18)),IF(ISNUMBER(SEARCH("نشت",G18)),"نشتی - پمپ تخلیه (تعمیر/آب‌بندی)","خرابی - پمپ تخلیه (تعویض)"),IF(ISNUMBER(SEARCH("کمپرسور",G18)),"خرابی - کمپرسور (تعویض)",IF(ISNUMBER(SEARCH("کمک فنر",G18)),"خرابی - کمک فنر (تعویض)",IF(ISNUMBER(SEARCH("لولا",G18)),"مکانیزم درب - لولا (تعویض)",IF(OR(ISNUMBER(SEARCH("قلاب",G18)),ISNUMBER(SEARCH("ميکروسوئيچ",G18)),ISNUMBER(SEARCH("میکروسوئیچ",G18))),"مکانیزم درب - میکروسوئیچ/قلاب (تعویض/تنظیم)",IF(ISNUMBER(SEARCH("زبانه",G18)),"مکانیزم درب - زبانه (تعویض)",IF(OR(ISNUMBER(SEARCH("شيلنگ",G18)),ISNUMBER(SEARCH("شیلنگ",G18))),IF(OR(ISNUMBER(SEARCH("نشتی",G18)),ISNUMBER(SEARCH("نشتي",G18))),"نشتی - شیلنگ (تعمیر/آب‌بندی)",IF(OR(ISNUMBER(SEARCH("يخ",G18)),ISNUMBER(SEARCH("یخ",G18))),"شیلنگ یخساز - یخ‌زدگی (بازبینی)","شیلنگ - برخورد/لهیدگی (بازبینی)")),IF(OR(ISNUMBER(SEARCH("تنظيم ديسپل",G18)),ISNUMBER(SEARCH("تنظیم دیسپل",G18)),ISNUMBER(SEARCH("تنظيم صفحه نمايش",G18)),ISNUMBER(SEARCH("تنظیم صفحه نمایش",G18))),"تنظیم - تنظیمات دستگاه/دیسپلی (تعمیر)",IF(OR(ISNUMBER(SEARCH("برد",G18)),ISNUMBER(SEARCH("سوکت",G18)),ISNUMBER(SEARCH("ديسپل",G18)),ISNUMBER(SEARCH("دیسپل",G18))),"خرابی - برد الکترونیک (تعویض)",IF(OR(ISNUMBER(SEARCH("يخساز",G18)),ISNUMBER(SEARCH("یخساز",G18)),ISNUMBER(SEARCH("دمپر",G18))),IF(OR(ISNUMBER(SEARCH("خرابی",G18)),ISNUMBER(SEARCH("خراب",G18)),ISNUMBER(SEARCH("عدم کارکرد",G18)),ISNUMBER(SEARCH("عدم عملکرد",G18))),"یخساز - خرابی موتور/سنسور/برد (تعویض)","یخساز - تنظیم/عایق (تعمیر)"),IF(OR(ISNUMBER(SEARCH("لاستيک",G18)),ISNUMBER(SEARCH("لاستیک",G18))),"لاستیک درزگیر - دفرمگی/پارگی (تعویض)",IF(OR(ISNUMBER(SEARCH("گسکت",G18)),ISNUMBER(SEARCH("گسگت",G18))),"لاستیک درزگیر - دفرمگی/پارگی (تعویض)",IF(ISNUMBER(SEARCH("مخزن نمک",G18)),"نشتی - درب مخزن نمک (تعمیر/آب‌بندی)",IF(ISNUMBER(SEARCH("براکت",G18)),"نشتی - براکت ریل (تعمیر/آب‌بندی)",IF(ISNUMBER(SEARCH("جاپودر",G18)),"نشتی - جاپودری (تعمیر/آب‌بندی)",IF(ISNUMBER(SEARCH("مقسم",G18)),"نشتی - مقسم آب (تعمیر/آب‌بندی)",IF(OR(ISNUMBER(SEARCH("سنسور دما",G18)),ISNUMBER(SEARCH("ترموستات",G18))),"خرابی - ترموستات (تعویض)",IF(OR(ISNUMBER(SEARCH("هيدروستات",G18)),ISNUMBER(SEARCH("هیدروستات",G18))),"خرابی - هیدروستات (تعویض)",IF(OR(ISNUMBER(SEARCH("بلبرينگ",G18)),ISNUMBER(SEARCH("بلبرینگ",G18))),"خرابی - بلبرینگ (تعویض)",IF(OR(ISNUMBER(SEARCH("شيربرق",G18)),ISNUMBER(SEARCH("شیربرق",G18))),"خرابی - شیربرقی (تعویض)",IF(OR(ISNUMBER(SEARCH("واتر جت",G18)),ISNUMBER(SEARCH("واترجت",G18))),"خرابی - واترجت (تعویض)",IF(OR(ISNUMBER(SEARCH("سيم",G18)),ISNUMBER(SEARCH("سیم",G18)),ISNUMBER(SEARCH("اتصال",G18))),"سیم‌کشی/اتصالات (تعویض/بازبینی)",IF(OR(ISNUMBER(SEARCH("تصوير",G18)),ISNUMBER(SEARCH("تصویر",G18))),"برد نمایش تلویزیون (تعویض)",IF(OR(ISNUMBER(SEARCH("ريموت",G18)),ISNUMBER(SEARCH("ریموت",G18))),"ریموت کنترل (تعویض/تعمیر)",IF(OR(ISNUMBER(SEARCH("ال اي دي",G18)),ISNUMBER(SEARCH("ال ای دی",G18)),ISNUMBER(SEARCH("LED",G18))),"خرابی - لامپ/LED داخلی (تعویض)",IF(ISNUMBER(SEARCH("زنگ زدگ",G18)),"زنگ‌زدگی بدنه/قطعه (تعویض)",IF(OR(ISNUMBER(SEARCH("قطعات تزئين",G18)),ISNUMBER(SEARCH("قطعات تزئین",G18))),"قطعات تزئینی - شکستگی/کسری (تعویض)",IF(ISNUMBER(SEARCH("سبد",G18)),"سبد ظرفشویی - شکستگی (تعویض)",IF(ISNUMBER(SEARCH("تاب درام",G18)),"خرابی - تاب برداشتن درام (تعویض)",IF(ISNUMBER(SEARCH("درام",G18)),"خرابی - سایر ایراد درام (تعویض)",IF(ISNUMBER(SEARCH("موتور",G18)),"خرابی - موتور (تعویض)",IF(ISNUMBER(SEARCH("تسمه",G18)),"خرابی - تسمه (تعویض)",IF(OR(ISNUMBER(SEARCH("پيچ ولوم",G18)),ISNUMBER(SEARCH("پیچ ولوم",G18))),"تنظیم - پیچ ولوم/دکمه (تعمیر)",IF(OR(ISNUMBER(SEARCH("کسري قطعات",G18)),ISNUMBER(SEARCH("کسری قطعات",G18))),"کسری قطعات تزئینی (تعویض)",IF(ISNUMBER(SEARCH("پرچ",G18)),"پرچ/بدنه کابین(تعمیر)",IF(OR(ISNUMBER(SEARCH("نشت",G18)),ISNUMBER(SEARCH("آبريزش",G18)),ISNUMBER(SEARCH("آبریزش",G18))),"نشتی آب - محل نامشخص (نیازمند بازدید)",IF(ISNUMBER(SEARCH("درب",G18)),"سایر اجزای درب (بازبینی)",IF(ISNUMBER(SEARCH("ضربه",G18)),"بدنه/کابین - ضربه (بازبینی/تعویض پنل)",IF(ISNUMBER(SEARCH("تراز",G18)),"تراز/لرزش - نصب (رگلاژ پایه)",IF(OR(ISNUMBER(SEARCH("تعویض",G18)),ISNUMBER(SEARCH("تعويض",G18))),"تعویض کامل دستگاه (Replacement)","سایر (نیازمند بررسی دستی)")))))))))))))))))))))))))))))))))))))))))))</f>
        <v/>
      </c>
      <c r="P18" s="124" t="inlineStr">
        <is>
          <t>*</t>
        </is>
      </c>
      <c r="Q18" s="124">
        <f>IF(ISNUMBER(SEARCH("عهده شرکت",F18)),"شرکت",IF(ISNUMBER(SEARCH("عهده مشتري",F18)),"مشتری",IF(ISNUMBER(SEARCH("عهده مشتری",F18)),"مشتری","نامشخص")))</f>
        <v/>
      </c>
      <c r="R18" s="178">
        <f>IF(O18="تعویض کامل دستگاه (Replacement)",IF(SUMIF('قیمت‌ها و مفروضات'!$A$9:$A$13,C18,'قیمت‌ها و مفروضات'!$C$9:$C$13)&lt;&gt;0,SUMIF('قیمت‌ها و مفروضات'!$A$9:$A$13,C18,'قیمت‌ها و مفروضات'!$C$9:$C$13),SUMIF('قیمت‌ها و مفروضات'!$A$9:$A$13,C18,'قیمت‌ها و مفروضات'!$B$9:$B$13)),IF(SUMIF('قیمت‌ها و مفروضات'!$A$18:$A$63,O18,'قیمت‌ها و مفروضات'!$C$18:$C$63)&lt;&gt;0,SUMIF('قیمت‌ها و مفروضات'!$A$18:$A$63,O18,'قیمت‌ها و مفروضات'!$C$18:$C$63),SUMIF('قیمت‌ها و مفروضات'!$A$18:$A$63,O18,'قیمت‌ها و مفروضات'!$B$18:$B$63)))</f>
        <v/>
      </c>
      <c r="S18" s="178">
        <f>'قیمت‌ها و مفروضات'!$B$3+'قیمت‌ها و مفروضات'!$B$4</f>
        <v/>
      </c>
      <c r="T18" s="178">
        <f>R18+S18</f>
        <v/>
      </c>
      <c r="U18" s="178">
        <f>IF(COUNTIF($E$2:E18,E18)&gt;1,"بله (تکراری)","خیر")</f>
        <v/>
      </c>
      <c r="V18" s="178">
        <f>IF(U18="بله (تکراری)",S18,0)</f>
        <v/>
      </c>
      <c r="W18" s="208" t="inlineStr"/>
      <c r="X18" s="208" t="inlineStr"/>
    </row>
    <row r="19" ht="58.5" customHeight="1" s="151">
      <c r="A19" s="176" t="n">
        <v>764016</v>
      </c>
      <c r="B19" s="124">
        <f>CHOOSE(_xlfn.NUMBERVALUE(MID(H19,6,2)),"فروردین","اردیبهشت","خرداد","تیر","مرداد","شهریور","مهر","آبان","آذر","دی","بهمن","اسفند")</f>
        <v/>
      </c>
      <c r="C19" s="176" t="inlineStr">
        <is>
          <t>ماشين ظرفشويي</t>
        </is>
      </c>
      <c r="D19" s="176" t="inlineStr">
        <is>
          <t>CDW-H16T</t>
        </is>
      </c>
      <c r="E19" s="176" t="inlineStr">
        <is>
          <t>52220005N04894</t>
        </is>
      </c>
      <c r="F19" s="173" t="inlineStr">
        <is>
          <t>عدم تخليه آب تميز داخل درام**اياب و ذهاب به عهده شرکت</t>
        </is>
      </c>
      <c r="G19" s="173" t="inlineStr">
        <is>
          <t>نشتی شیلنگ ورودی</t>
        </is>
      </c>
      <c r="H19" s="176" t="inlineStr">
        <is>
          <t>1405/01/20</t>
        </is>
      </c>
      <c r="I19" s="176" t="inlineStr">
        <is>
          <t>1404/08/24</t>
        </is>
      </c>
      <c r="J19" s="176" t="inlineStr">
        <is>
          <t>1405/01/19</t>
        </is>
      </c>
      <c r="K19" s="177">
        <f>IFERROR(VLOOKUP(LEFT(H19,7),'تبدیل تاریخ'!$A$2:$B$73,2,FALSE())+VALUE(RIGHT(H19,2))-1,"")</f>
        <v/>
      </c>
      <c r="L19" s="177">
        <f>IFERROR(VLOOKUP(LEFT(I19,7),'تبدیل تاریخ'!$A$2:$B$73,2,FALSE())+VALUE(RIGHT(I19,2))-1,"")</f>
        <v/>
      </c>
      <c r="M19" s="177">
        <f>IF(J19="","",IFERROR(VLOOKUP(LEFT(J19,7),'تبدیل تاریخ'!$A$2:$B$73,2,FALSE())+VALUE(RIGHT(J19,2))-1,""))</f>
        <v/>
      </c>
      <c r="N19" s="124">
        <f>IF(OR(K19="",M19=""),"",CEILING((K19-M19)/30,1))</f>
        <v/>
      </c>
      <c r="O19" s="124">
        <f>IF(OR(ISNUMBER(SEARCH("بدون مورد",G19)),ISNUMBER(SEARCH("غير گارانتي",G19)),ISNUMBER(SEARCH("غیر گارانتی",G19)),ISNUMBER(SEARCH("بدون اجرت",G19)),ISNUMBER(SEARCH("فيلتر",G19)),ISNUMBER(SEARCH("فیلتر",G19))),"غیرگارانتی/بدون قطعه",IF(OR(ISNUMBER(SEARCH("ريست",G19)),ISNUMBER(SEARCH("ریست",G19))),"ریست نرم‌افزاری (بدون قطعه)",IF(OR(ISNUMBER(SEARCH("تعویض محصول",G19)),ISNUMBER(SEARCH("تعویض دستگاه",G19))),"تعویض کامل دستگاه (Replacement)",IF(ISNUMBER(SEARCH("پمپ",G19)),IF(ISNUMBER(SEARCH("نشت",G19)),"نشتی - پمپ تخلیه (تعمیر/آب‌بندی)","خرابی - پمپ تخلیه (تعویض)"),IF(ISNUMBER(SEARCH("کمپرسور",G19)),"خرابی - کمپرسور (تعویض)",IF(ISNUMBER(SEARCH("کمک فنر",G19)),"خرابی - کمک فنر (تعویض)",IF(ISNUMBER(SEARCH("لولا",G19)),"مکانیزم درب - لولا (تعویض)",IF(OR(ISNUMBER(SEARCH("قلاب",G19)),ISNUMBER(SEARCH("ميکروسوئيچ",G19)),ISNUMBER(SEARCH("میکروسوئیچ",G19))),"مکانیزم درب - میکروسوئیچ/قلاب (تعویض/تنظیم)",IF(ISNUMBER(SEARCH("زبانه",G19)),"مکانیزم درب - زبانه (تعویض)",IF(OR(ISNUMBER(SEARCH("شيلنگ",G19)),ISNUMBER(SEARCH("شیلنگ",G19))),IF(OR(ISNUMBER(SEARCH("نشتی",G19)),ISNUMBER(SEARCH("نشتي",G19))),"نشتی - شیلنگ (تعمیر/آب‌بندی)",IF(OR(ISNUMBER(SEARCH("يخ",G19)),ISNUMBER(SEARCH("یخ",G19))),"شیلنگ یخساز - یخ‌زدگی (بازبینی)","شیلنگ - برخورد/لهیدگی (بازبینی)")),IF(OR(ISNUMBER(SEARCH("تنظيم ديسپل",G19)),ISNUMBER(SEARCH("تنظیم دیسپل",G19)),ISNUMBER(SEARCH("تنظيم صفحه نمايش",G19)),ISNUMBER(SEARCH("تنظیم صفحه نمایش",G19))),"تنظیم - تنظیمات دستگاه/دیسپلی (تعمیر)",IF(OR(ISNUMBER(SEARCH("برد",G19)),ISNUMBER(SEARCH("سوکت",G19)),ISNUMBER(SEARCH("ديسپل",G19)),ISNUMBER(SEARCH("دیسپل",G19))),"خرابی - برد الکترونیک (تعویض)",IF(OR(ISNUMBER(SEARCH("يخساز",G19)),ISNUMBER(SEARCH("یخساز",G19)),ISNUMBER(SEARCH("دمپر",G19))),IF(OR(ISNUMBER(SEARCH("خرابی",G19)),ISNUMBER(SEARCH("خراب",G19)),ISNUMBER(SEARCH("عدم کارکرد",G19)),ISNUMBER(SEARCH("عدم عملکرد",G19))),"یخساز - خرابی موتور/سنسور/برد (تعویض)","یخساز - تنظیم/عایق (تعمیر)"),IF(OR(ISNUMBER(SEARCH("لاستيک",G19)),ISNUMBER(SEARCH("لاستیک",G19))),"لاستیک درزگیر - دفرمگی/پارگی (تعویض)",IF(OR(ISNUMBER(SEARCH("گسکت",G19)),ISNUMBER(SEARCH("گسگت",G19))),"لاستیک درزگیر - دفرمگی/پارگی (تعویض)",IF(ISNUMBER(SEARCH("مخزن نمک",G19)),"نشتی - درب مخزن نمک (تعمیر/آب‌بندی)",IF(ISNUMBER(SEARCH("براکت",G19)),"نشتی - براکت ریل (تعمیر/آب‌بندی)",IF(ISNUMBER(SEARCH("جاپودر",G19)),"نشتی - جاپودری (تعمیر/آب‌بندی)",IF(ISNUMBER(SEARCH("مقسم",G19)),"نشتی - مقسم آب (تعمیر/آب‌بندی)",IF(OR(ISNUMBER(SEARCH("سنسور دما",G19)),ISNUMBER(SEARCH("ترموستات",G19))),"خرابی - ترموستات (تعویض)",IF(OR(ISNUMBER(SEARCH("هيدروستات",G19)),ISNUMBER(SEARCH("هیدروستات",G19))),"خرابی - هیدروستات (تعویض)",IF(OR(ISNUMBER(SEARCH("بلبرينگ",G19)),ISNUMBER(SEARCH("بلبرینگ",G19))),"خرابی - بلبرینگ (تعویض)",IF(OR(ISNUMBER(SEARCH("شيربرق",G19)),ISNUMBER(SEARCH("شیربرق",G19))),"خرابی - شیربرقی (تعویض)",IF(OR(ISNUMBER(SEARCH("واتر جت",G19)),ISNUMBER(SEARCH("واترجت",G19))),"خرابی - واترجت (تعویض)",IF(OR(ISNUMBER(SEARCH("سيم",G19)),ISNUMBER(SEARCH("سیم",G19)),ISNUMBER(SEARCH("اتصال",G19))),"سیم‌کشی/اتصالات (تعویض/بازبینی)",IF(OR(ISNUMBER(SEARCH("تصوير",G19)),ISNUMBER(SEARCH("تصویر",G19))),"برد نمایش تلویزیون (تعویض)",IF(OR(ISNUMBER(SEARCH("ريموت",G19)),ISNUMBER(SEARCH("ریموت",G19))),"ریموت کنترل (تعویض/تعمیر)",IF(OR(ISNUMBER(SEARCH("ال اي دي",G19)),ISNUMBER(SEARCH("ال ای دی",G19)),ISNUMBER(SEARCH("LED",G19))),"خرابی - لامپ/LED داخلی (تعویض)",IF(ISNUMBER(SEARCH("زنگ زدگ",G19)),"زنگ‌زدگی بدنه/قطعه (تعویض)",IF(OR(ISNUMBER(SEARCH("قطعات تزئين",G19)),ISNUMBER(SEARCH("قطعات تزئین",G19))),"قطعات تزئینی - شکستگی/کسری (تعویض)",IF(ISNUMBER(SEARCH("سبد",G19)),"سبد ظرفشویی - شکستگی (تعویض)",IF(ISNUMBER(SEARCH("تاب درام",G19)),"خرابی - تاب برداشتن درام (تعویض)",IF(ISNUMBER(SEARCH("درام",G19)),"خرابی - سایر ایراد درام (تعویض)",IF(ISNUMBER(SEARCH("موتور",G19)),"خرابی - موتور (تعویض)",IF(ISNUMBER(SEARCH("تسمه",G19)),"خرابی - تسمه (تعویض)",IF(OR(ISNUMBER(SEARCH("پيچ ولوم",G19)),ISNUMBER(SEARCH("پیچ ولوم",G19))),"تنظیم - پیچ ولوم/دکمه (تعمیر)",IF(OR(ISNUMBER(SEARCH("کسري قطعات",G19)),ISNUMBER(SEARCH("کسری قطعات",G19))),"کسری قطعات تزئینی (تعویض)",IF(ISNUMBER(SEARCH("پرچ",G19)),"پرچ/بدنه کابین(تعمیر)",IF(OR(ISNUMBER(SEARCH("نشت",G19)),ISNUMBER(SEARCH("آبريزش",G19)),ISNUMBER(SEARCH("آبریزش",G19))),"نشتی آب - محل نامشخص (نیازمند بازدید)",IF(ISNUMBER(SEARCH("درب",G19)),"سایر اجزای درب (بازبینی)",IF(ISNUMBER(SEARCH("ضربه",G19)),"بدنه/کابین - ضربه (بازبینی/تعویض پنل)",IF(ISNUMBER(SEARCH("تراز",G19)),"تراز/لرزش - نصب (رگلاژ پایه)",IF(OR(ISNUMBER(SEARCH("تعویض",G19)),ISNUMBER(SEARCH("تعويض",G19))),"تعویض کامل دستگاه (Replacement)","سایر (نیازمند بررسی دستی)")))))))))))))))))))))))))))))))))))))))))))</f>
        <v/>
      </c>
      <c r="P19" s="124" t="inlineStr">
        <is>
          <t>*</t>
        </is>
      </c>
      <c r="Q19" s="124">
        <f>IF(ISNUMBER(SEARCH("عهده شرکت",F19)),"شرکت",IF(ISNUMBER(SEARCH("عهده مشتري",F19)),"مشتری",IF(ISNUMBER(SEARCH("عهده مشتری",F19)),"مشتری","نامشخص")))</f>
        <v/>
      </c>
      <c r="R19" s="178">
        <f>IF(O19="تعویض کامل دستگاه (Replacement)",IF(SUMIF('قیمت‌ها و مفروضات'!$A$9:$A$13,C19,'قیمت‌ها و مفروضات'!$C$9:$C$13)&lt;&gt;0,SUMIF('قیمت‌ها و مفروضات'!$A$9:$A$13,C19,'قیمت‌ها و مفروضات'!$C$9:$C$13),SUMIF('قیمت‌ها و مفروضات'!$A$9:$A$13,C19,'قیمت‌ها و مفروضات'!$B$9:$B$13)),IF(SUMIF('قیمت‌ها و مفروضات'!$A$18:$A$63,O19,'قیمت‌ها و مفروضات'!$C$18:$C$63)&lt;&gt;0,SUMIF('قیمت‌ها و مفروضات'!$A$18:$A$63,O19,'قیمت‌ها و مفروضات'!$C$18:$C$63),SUMIF('قیمت‌ها و مفروضات'!$A$18:$A$63,O19,'قیمت‌ها و مفروضات'!$B$18:$B$63)))</f>
        <v/>
      </c>
      <c r="S19" s="178">
        <f>'قیمت‌ها و مفروضات'!$B$3+'قیمت‌ها و مفروضات'!$B$4</f>
        <v/>
      </c>
      <c r="T19" s="178">
        <f>R19+S19</f>
        <v/>
      </c>
      <c r="U19" s="178">
        <f>IF(COUNTIF($E$2:E19,E19)&gt;1,"بله (تکراری)","خیر")</f>
        <v/>
      </c>
      <c r="V19" s="178">
        <f>IF(U19="بله (تکراری)",S19,0)</f>
        <v/>
      </c>
      <c r="W19" s="208" t="inlineStr"/>
      <c r="X19" s="208" t="inlineStr"/>
    </row>
    <row r="20" ht="58.5" customHeight="1" s="151">
      <c r="A20" s="176" t="n">
        <v>765427</v>
      </c>
      <c r="B20" s="124">
        <f>CHOOSE(_xlfn.NUMBERVALUE(MID(H20,6,2)),"فروردین","اردیبهشت","خرداد","تیر","مرداد","شهریور","مهر","آبان","آذر","دی","بهمن","اسفند")</f>
        <v/>
      </c>
      <c r="C20" s="176" t="inlineStr">
        <is>
          <t>ماشين ظرفشويي</t>
        </is>
      </c>
      <c r="D20" s="176" t="inlineStr">
        <is>
          <t>CDW-H16T</t>
        </is>
      </c>
      <c r="E20" s="176" t="inlineStr">
        <is>
          <t>52220004N05131</t>
        </is>
      </c>
      <c r="F20" s="173" t="inlineStr">
        <is>
          <t>خطاي F11**اياب و ذهاب به عهده شرکت</t>
        </is>
      </c>
      <c r="G20" s="124" t="inlineStr">
        <is>
          <t>نشتي پمپ تخليه</t>
        </is>
      </c>
      <c r="H20" s="176" t="inlineStr">
        <is>
          <t>1405/01/24</t>
        </is>
      </c>
      <c r="I20" s="176" t="inlineStr">
        <is>
          <t>1404/08/29</t>
        </is>
      </c>
      <c r="J20" s="176" t="inlineStr">
        <is>
          <t>1404/09/09</t>
        </is>
      </c>
      <c r="K20" s="177">
        <f>IFERROR(VLOOKUP(LEFT(H20,7),'تبدیل تاریخ'!$A$2:$B$73,2,FALSE())+VALUE(RIGHT(H20,2))-1,"")</f>
        <v/>
      </c>
      <c r="L20" s="177">
        <f>IFERROR(VLOOKUP(LEFT(I20,7),'تبدیل تاریخ'!$A$2:$B$73,2,FALSE())+VALUE(RIGHT(I20,2))-1,"")</f>
        <v/>
      </c>
      <c r="M20" s="177">
        <f>IF(J20="","",IFERROR(VLOOKUP(LEFT(J20,7),'تبدیل تاریخ'!$A$2:$B$73,2,FALSE())+VALUE(RIGHT(J20,2))-1,""))</f>
        <v/>
      </c>
      <c r="N20" s="124">
        <f>IF(OR(K20="",M20=""),"",CEILING((K20-M20)/30,1))</f>
        <v/>
      </c>
      <c r="O20" s="124">
        <f>IF(OR(ISNUMBER(SEARCH("بدون مورد",G20)),ISNUMBER(SEARCH("غير گارانتي",G20)),ISNUMBER(SEARCH("غیر گارانتی",G20)),ISNUMBER(SEARCH("بدون اجرت",G20)),ISNUMBER(SEARCH("فيلتر",G20)),ISNUMBER(SEARCH("فیلتر",G20))),"غیرگارانتی/بدون قطعه",IF(OR(ISNUMBER(SEARCH("ريست",G20)),ISNUMBER(SEARCH("ریست",G20))),"ریست نرم‌افزاری (بدون قطعه)",IF(OR(ISNUMBER(SEARCH("تعویض محصول",G20)),ISNUMBER(SEARCH("تعویض دستگاه",G20))),"تعویض کامل دستگاه (Replacement)",IF(ISNUMBER(SEARCH("پمپ",G20)),IF(ISNUMBER(SEARCH("نشت",G20)),"نشتی - پمپ تخلیه (تعمیر/آب‌بندی)","خرابی - پمپ تخلیه (تعویض)"),IF(ISNUMBER(SEARCH("کمپرسور",G20)),"خرابی - کمپرسور (تعویض)",IF(ISNUMBER(SEARCH("کمک فنر",G20)),"خرابی - کمک فنر (تعویض)",IF(ISNUMBER(SEARCH("لولا",G20)),"مکانیزم درب - لولا (تعویض)",IF(OR(ISNUMBER(SEARCH("قلاب",G20)),ISNUMBER(SEARCH("ميکروسوئيچ",G20)),ISNUMBER(SEARCH("میکروسوئیچ",G20))),"مکانیزم درب - میکروسوئیچ/قلاب (تعویض/تنظیم)",IF(ISNUMBER(SEARCH("زبانه",G20)),"مکانیزم درب - زبانه (تعویض)",IF(OR(ISNUMBER(SEARCH("شيلنگ",G20)),ISNUMBER(SEARCH("شیلنگ",G20))),IF(OR(ISNUMBER(SEARCH("نشتی",G20)),ISNUMBER(SEARCH("نشتي",G20))),"نشتی - شیلنگ (تعمیر/آب‌بندی)",IF(OR(ISNUMBER(SEARCH("يخ",G20)),ISNUMBER(SEARCH("یخ",G20))),"شیلنگ یخساز - یخ‌زدگی (بازبینی)","شیلنگ - برخورد/لهیدگی (بازبینی)")),IF(OR(ISNUMBER(SEARCH("تنظيم ديسپل",G20)),ISNUMBER(SEARCH("تنظیم دیسپل",G20)),ISNUMBER(SEARCH("تنظيم صفحه نمايش",G20)),ISNUMBER(SEARCH("تنظیم صفحه نمایش",G20))),"تنظیم - تنظیمات دستگاه/دیسپلی (تعمیر)",IF(OR(ISNUMBER(SEARCH("برد",G20)),ISNUMBER(SEARCH("سوکت",G20)),ISNUMBER(SEARCH("ديسپل",G20)),ISNUMBER(SEARCH("دیسپل",G20))),"خرابی - برد الکترونیک (تعویض)",IF(OR(ISNUMBER(SEARCH("يخساز",G20)),ISNUMBER(SEARCH("یخساز",G20)),ISNUMBER(SEARCH("دمپر",G20))),IF(OR(ISNUMBER(SEARCH("خرابی",G20)),ISNUMBER(SEARCH("خراب",G20)),ISNUMBER(SEARCH("عدم کارکرد",G20)),ISNUMBER(SEARCH("عدم عملکرد",G20))),"یخساز - خرابی موتور/سنسور/برد (تعویض)","یخساز - تنظیم/عایق (تعمیر)"),IF(OR(ISNUMBER(SEARCH("لاستيک",G20)),ISNUMBER(SEARCH("لاستیک",G20))),"لاستیک درزگیر - دفرمگی/پارگی (تعویض)",IF(OR(ISNUMBER(SEARCH("گسکت",G20)),ISNUMBER(SEARCH("گسگت",G20))),"لاستیک درزگیر - دفرمگی/پارگی (تعویض)",IF(ISNUMBER(SEARCH("مخزن نمک",G20)),"نشتی - درب مخزن نمک (تعمیر/آب‌بندی)",IF(ISNUMBER(SEARCH("براکت",G20)),"نشتی - براکت ریل (تعمیر/آب‌بندی)",IF(ISNUMBER(SEARCH("جاپودر",G20)),"نشتی - جاپودری (تعمیر/آب‌بندی)",IF(ISNUMBER(SEARCH("مقسم",G20)),"نشتی - مقسم آب (تعمیر/آب‌بندی)",IF(OR(ISNUMBER(SEARCH("سنسور دما",G20)),ISNUMBER(SEARCH("ترموستات",G20))),"خرابی - ترموستات (تعویض)",IF(OR(ISNUMBER(SEARCH("هيدروستات",G20)),ISNUMBER(SEARCH("هیدروستات",G20))),"خرابی - هیدروستات (تعویض)",IF(OR(ISNUMBER(SEARCH("بلبرينگ",G20)),ISNUMBER(SEARCH("بلبرینگ",G20))),"خرابی - بلبرینگ (تعویض)",IF(OR(ISNUMBER(SEARCH("شيربرق",G20)),ISNUMBER(SEARCH("شیربرق",G20))),"خرابی - شیربرقی (تعویض)",IF(OR(ISNUMBER(SEARCH("واتر جت",G20)),ISNUMBER(SEARCH("واترجت",G20))),"خرابی - واترجت (تعویض)",IF(OR(ISNUMBER(SEARCH("سيم",G20)),ISNUMBER(SEARCH("سیم",G20)),ISNUMBER(SEARCH("اتصال",G20))),"سیم‌کشی/اتصالات (تعویض/بازبینی)",IF(OR(ISNUMBER(SEARCH("تصوير",G20)),ISNUMBER(SEARCH("تصویر",G20))),"برد نمایش تلویزیون (تعویض)",IF(OR(ISNUMBER(SEARCH("ريموت",G20)),ISNUMBER(SEARCH("ریموت",G20))),"ریموت کنترل (تعویض/تعمیر)",IF(OR(ISNUMBER(SEARCH("ال اي دي",G20)),ISNUMBER(SEARCH("ال ای دی",G20)),ISNUMBER(SEARCH("LED",G20))),"خرابی - لامپ/LED داخلی (تعویض)",IF(ISNUMBER(SEARCH("زنگ زدگ",G20)),"زنگ‌زدگی بدنه/قطعه (تعویض)",IF(OR(ISNUMBER(SEARCH("قطعات تزئين",G20)),ISNUMBER(SEARCH("قطعات تزئین",G20))),"قطعات تزئینی - شکستگی/کسری (تعویض)",IF(ISNUMBER(SEARCH("سبد",G20)),"سبد ظرفشویی - شکستگی (تعویض)",IF(ISNUMBER(SEARCH("تاب درام",G20)),"خرابی - تاب برداشتن درام (تعویض)",IF(ISNUMBER(SEARCH("درام",G20)),"خرابی - سایر ایراد درام (تعویض)",IF(ISNUMBER(SEARCH("موتور",G20)),"خرابی - موتور (تعویض)",IF(ISNUMBER(SEARCH("تسمه",G20)),"خرابی - تسمه (تعویض)",IF(OR(ISNUMBER(SEARCH("پيچ ولوم",G20)),ISNUMBER(SEARCH("پیچ ولوم",G20))),"تنظیم - پیچ ولوم/دکمه (تعمیر)",IF(OR(ISNUMBER(SEARCH("کسري قطعات",G20)),ISNUMBER(SEARCH("کسری قطعات",G20))),"کسری قطعات تزئینی (تعویض)",IF(ISNUMBER(SEARCH("پرچ",G20)),"پرچ/بدنه کابین(تعمیر)",IF(OR(ISNUMBER(SEARCH("نشت",G20)),ISNUMBER(SEARCH("آبريزش",G20)),ISNUMBER(SEARCH("آبریزش",G20))),"نشتی آب - محل نامشخص (نیازمند بازدید)",IF(ISNUMBER(SEARCH("درب",G20)),"سایر اجزای درب (بازبینی)",IF(ISNUMBER(SEARCH("ضربه",G20)),"بدنه/کابین - ضربه (بازبینی/تعویض پنل)",IF(ISNUMBER(SEARCH("تراز",G20)),"تراز/لرزش - نصب (رگلاژ پایه)",IF(OR(ISNUMBER(SEARCH("تعویض",G20)),ISNUMBER(SEARCH("تعويض",G20))),"تعویض کامل دستگاه (Replacement)","سایر (نیازمند بررسی دستی)")))))))))))))))))))))))))))))))))))))))))))</f>
        <v/>
      </c>
      <c r="P20" s="124" t="inlineStr">
        <is>
          <t>نشتی پمپ ظرفشویی</t>
        </is>
      </c>
      <c r="Q20" s="124">
        <f>IF(ISNUMBER(SEARCH("عهده شرکت",F20)),"شرکت",IF(ISNUMBER(SEARCH("عهده مشتري",F20)),"مشتری",IF(ISNUMBER(SEARCH("عهده مشتری",F20)),"مشتری","نامشخص")))</f>
        <v/>
      </c>
      <c r="R20" s="178">
        <f>IF(O20="تعویض کامل دستگاه (Replacement)",IF(SUMIF('قیمت‌ها و مفروضات'!$A$9:$A$13,C20,'قیمت‌ها و مفروضات'!$C$9:$C$13)&lt;&gt;0,SUMIF('قیمت‌ها و مفروضات'!$A$9:$A$13,C20,'قیمت‌ها و مفروضات'!$C$9:$C$13),SUMIF('قیمت‌ها و مفروضات'!$A$9:$A$13,C20,'قیمت‌ها و مفروضات'!$B$9:$B$13)),IF(SUMIF('قیمت‌ها و مفروضات'!$A$18:$A$63,O20,'قیمت‌ها و مفروضات'!$C$18:$C$63)&lt;&gt;0,SUMIF('قیمت‌ها و مفروضات'!$A$18:$A$63,O20,'قیمت‌ها و مفروضات'!$C$18:$C$63),SUMIF('قیمت‌ها و مفروضات'!$A$18:$A$63,O20,'قیمت‌ها و مفروضات'!$B$18:$B$63)))</f>
        <v/>
      </c>
      <c r="S20" s="178">
        <f>'قیمت‌ها و مفروضات'!$B$3+'قیمت‌ها و مفروضات'!$B$4</f>
        <v/>
      </c>
      <c r="T20" s="178">
        <f>R20+S20</f>
        <v/>
      </c>
      <c r="U20" s="178">
        <f>IF(COUNTIF($E$2:E20,E20)&gt;1,"بله (تکراری)","خیر")</f>
        <v/>
      </c>
      <c r="V20" s="178">
        <f>IF(U20="بله (تکراری)",S20,0)</f>
        <v/>
      </c>
      <c r="W20" s="208" t="inlineStr"/>
      <c r="X20" s="208" t="inlineStr"/>
    </row>
    <row r="21" ht="58.5" customHeight="1" s="151">
      <c r="A21" s="176" t="n">
        <v>810003206</v>
      </c>
      <c r="B21" s="124">
        <f>CHOOSE(_xlfn.NUMBERVALUE(MID(H21,6,2)),"فروردین","اردیبهشت","خرداد","تیر","مرداد","شهریور","مهر","آبان","آذر","دی","بهمن","اسفند")</f>
        <v/>
      </c>
      <c r="C21" s="176" t="inlineStr">
        <is>
          <t>ماشين لباسشويي</t>
        </is>
      </c>
      <c r="D21" s="176" t="inlineStr">
        <is>
          <t>CWM-BMW9T1</t>
        </is>
      </c>
      <c r="E21" s="176" t="inlineStr">
        <is>
          <t>52210007N00625</t>
        </is>
      </c>
      <c r="F21" s="173" t="inlineStr">
        <is>
          <t>صداي غيرعادي هنگام خشک کن**اياب و ذهاب به عهده شرکت</t>
        </is>
      </c>
      <c r="G21" s="173" t="inlineStr">
        <is>
          <t>تراز پايه تنظيم</t>
        </is>
      </c>
      <c r="H21" s="176" t="inlineStr">
        <is>
          <t>1405/01/16</t>
        </is>
      </c>
      <c r="I21" s="176" t="inlineStr">
        <is>
          <t>1404/02/11</t>
        </is>
      </c>
      <c r="J21" s="176" t="inlineStr">
        <is>
          <t>1404/04/25</t>
        </is>
      </c>
      <c r="K21" s="177">
        <f>IFERROR(VLOOKUP(LEFT(H21,7),'تبدیل تاریخ'!$A$2:$B$73,2,FALSE())+VALUE(RIGHT(H21,2))-1,"")</f>
        <v/>
      </c>
      <c r="L21" s="177">
        <f>IFERROR(VLOOKUP(LEFT(I21,7),'تبدیل تاریخ'!$A$2:$B$73,2,FALSE())+VALUE(RIGHT(I21,2))-1,"")</f>
        <v/>
      </c>
      <c r="M21" s="177">
        <f>IF(J21="","",IFERROR(VLOOKUP(LEFT(J21,7),'تبدیل تاریخ'!$A$2:$B$73,2,FALSE())+VALUE(RIGHT(J21,2))-1,""))</f>
        <v/>
      </c>
      <c r="N21" s="124">
        <f>IF(OR(K21="",M21=""),"",CEILING((K21-M21)/30,1))</f>
        <v/>
      </c>
      <c r="O21" s="124">
        <f>IF(OR(ISNUMBER(SEARCH("بدون مورد",G21)),ISNUMBER(SEARCH("غير گارانتي",G21)),ISNUMBER(SEARCH("غیر گارانتی",G21)),ISNUMBER(SEARCH("بدون اجرت",G21)),ISNUMBER(SEARCH("فيلتر",G21)),ISNUMBER(SEARCH("فیلتر",G21))),"غیرگارانتی/بدون قطعه",IF(OR(ISNUMBER(SEARCH("ريست",G21)),ISNUMBER(SEARCH("ریست",G21))),"ریست نرم‌افزاری (بدون قطعه)",IF(OR(ISNUMBER(SEARCH("تعویض محصول",G21)),ISNUMBER(SEARCH("تعویض دستگاه",G21))),"تعویض کامل دستگاه (Replacement)",IF(ISNUMBER(SEARCH("پمپ",G21)),IF(ISNUMBER(SEARCH("نشت",G21)),"نشتی - پمپ تخلیه (تعمیر/آب‌بندی)","خرابی - پمپ تخلیه (تعویض)"),IF(ISNUMBER(SEARCH("کمپرسور",G21)),"خرابی - کمپرسور (تعویض)",IF(ISNUMBER(SEARCH("کمک فنر",G21)),"خرابی - کمک فنر (تعویض)",IF(ISNUMBER(SEARCH("لولا",G21)),"مکانیزم درب - لولا (تعویض)",IF(OR(ISNUMBER(SEARCH("قلاب",G21)),ISNUMBER(SEARCH("ميکروسوئيچ",G21)),ISNUMBER(SEARCH("میکروسوئیچ",G21))),"مکانیزم درب - میکروسوئیچ/قلاب (تعویض/تنظیم)",IF(ISNUMBER(SEARCH("زبانه",G21)),"مکانیزم درب - زبانه (تعویض)",IF(OR(ISNUMBER(SEARCH("شيلنگ",G21)),ISNUMBER(SEARCH("شیلنگ",G21))),IF(OR(ISNUMBER(SEARCH("نشتی",G21)),ISNUMBER(SEARCH("نشتي",G21))),"نشتی - شیلنگ (تعمیر/آب‌بندی)",IF(OR(ISNUMBER(SEARCH("يخ",G21)),ISNUMBER(SEARCH("یخ",G21))),"شیلنگ یخساز - یخ‌زدگی (بازبینی)","شیلنگ - برخورد/لهیدگی (بازبینی)")),IF(OR(ISNUMBER(SEARCH("تنظيم ديسپل",G21)),ISNUMBER(SEARCH("تنظیم دیسپل",G21)),ISNUMBER(SEARCH("تنظيم صفحه نمايش",G21)),ISNUMBER(SEARCH("تنظیم صفحه نمایش",G21))),"تنظیم - تنظیمات دستگاه/دیسپلی (تعمیر)",IF(OR(ISNUMBER(SEARCH("برد",G21)),ISNUMBER(SEARCH("سوکت",G21)),ISNUMBER(SEARCH("ديسپل",G21)),ISNUMBER(SEARCH("دیسپل",G21))),"خرابی - برد الکترونیک (تعویض)",IF(OR(ISNUMBER(SEARCH("يخساز",G21)),ISNUMBER(SEARCH("یخساز",G21)),ISNUMBER(SEARCH("دمپر",G21))),IF(OR(ISNUMBER(SEARCH("خرابی",G21)),ISNUMBER(SEARCH("خراب",G21)),ISNUMBER(SEARCH("عدم کارکرد",G21)),ISNUMBER(SEARCH("عدم عملکرد",G21))),"یخساز - خرابی موتور/سنسور/برد (تعویض)","یخساز - تنظیم/عایق (تعمیر)"),IF(OR(ISNUMBER(SEARCH("لاستيک",G21)),ISNUMBER(SEARCH("لاستیک",G21))),"لاستیک درزگیر - دفرمگی/پارگی (تعویض)",IF(OR(ISNUMBER(SEARCH("گسکت",G21)),ISNUMBER(SEARCH("گسگت",G21))),"لاستیک درزگیر - دفرمگی/پارگی (تعویض)",IF(ISNUMBER(SEARCH("مخزن نمک",G21)),"نشتی - درب مخزن نمک (تعمیر/آب‌بندی)",IF(ISNUMBER(SEARCH("براکت",G21)),"نشتی - براکت ریل (تعمیر/آب‌بندی)",IF(ISNUMBER(SEARCH("جاپودر",G21)),"نشتی - جاپودری (تعمیر/آب‌بندی)",IF(ISNUMBER(SEARCH("مقسم",G21)),"نشتی - مقسم آب (تعمیر/آب‌بندی)",IF(OR(ISNUMBER(SEARCH("سنسور دما",G21)),ISNUMBER(SEARCH("ترموستات",G21))),"خرابی - ترموستات (تعویض)",IF(OR(ISNUMBER(SEARCH("هيدروستات",G21)),ISNUMBER(SEARCH("هیدروستات",G21))),"خرابی - هیدروستات (تعویض)",IF(OR(ISNUMBER(SEARCH("بلبرينگ",G21)),ISNUMBER(SEARCH("بلبرینگ",G21))),"خرابی - بلبرینگ (تعویض)",IF(OR(ISNUMBER(SEARCH("شيربرق",G21)),ISNUMBER(SEARCH("شیربرق",G21))),"خرابی - شیربرقی (تعویض)",IF(OR(ISNUMBER(SEARCH("واتر جت",G21)),ISNUMBER(SEARCH("واترجت",G21))),"خرابی - واترجت (تعویض)",IF(OR(ISNUMBER(SEARCH("سيم",G21)),ISNUMBER(SEARCH("سیم",G21)),ISNUMBER(SEARCH("اتصال",G21))),"سیم‌کشی/اتصالات (تعویض/بازبینی)",IF(OR(ISNUMBER(SEARCH("تصوير",G21)),ISNUMBER(SEARCH("تصویر",G21))),"برد نمایش تلویزیون (تعویض)",IF(OR(ISNUMBER(SEARCH("ريموت",G21)),ISNUMBER(SEARCH("ریموت",G21))),"ریموت کنترل (تعویض/تعمیر)",IF(OR(ISNUMBER(SEARCH("ال اي دي",G21)),ISNUMBER(SEARCH("ال ای دی",G21)),ISNUMBER(SEARCH("LED",G21))),"خرابی - لامپ/LED داخلی (تعویض)",IF(ISNUMBER(SEARCH("زنگ زدگ",G21)),"زنگ‌زدگی بدنه/قطعه (تعویض)",IF(OR(ISNUMBER(SEARCH("قطعات تزئين",G21)),ISNUMBER(SEARCH("قطعات تزئین",G21))),"قطعات تزئینی - شکستگی/کسری (تعویض)",IF(ISNUMBER(SEARCH("سبد",G21)),"سبد ظرفشویی - شکستگی (تعویض)",IF(ISNUMBER(SEARCH("تاب درام",G21)),"خرابی - تاب برداشتن درام (تعویض)",IF(ISNUMBER(SEARCH("درام",G21)),"خرابی - سایر ایراد درام (تعویض)",IF(ISNUMBER(SEARCH("موتور",G21)),"خرابی - موتور (تعویض)",IF(ISNUMBER(SEARCH("تسمه",G21)),"خرابی - تسمه (تعویض)",IF(OR(ISNUMBER(SEARCH("پيچ ولوم",G21)),ISNUMBER(SEARCH("پیچ ولوم",G21))),"تنظیم - پیچ ولوم/دکمه (تعمیر)",IF(OR(ISNUMBER(SEARCH("کسري قطعات",G21)),ISNUMBER(SEARCH("کسری قطعات",G21))),"کسری قطعات تزئینی (تعویض)",IF(ISNUMBER(SEARCH("پرچ",G21)),"پرچ/بدنه کابین(تعمیر)",IF(OR(ISNUMBER(SEARCH("نشت",G21)),ISNUMBER(SEARCH("آبريزش",G21)),ISNUMBER(SEARCH("آبریزش",G21))),"نشتی آب - محل نامشخص (نیازمند بازدید)",IF(ISNUMBER(SEARCH("درب",G21)),"سایر اجزای درب (بازبینی)",IF(ISNUMBER(SEARCH("ضربه",G21)),"بدنه/کابین - ضربه (بازبینی/تعویض پنل)",IF(ISNUMBER(SEARCH("تراز",G21)),"تراز/لرزش - نصب (رگلاژ پایه)",IF(OR(ISNUMBER(SEARCH("تعویض",G21)),ISNUMBER(SEARCH("تعويض",G21))),"تعویض کامل دستگاه (Replacement)","سایر (نیازمند بررسی دستی)")))))))))))))))))))))))))))))))))))))))))))</f>
        <v/>
      </c>
      <c r="P21" s="124" t="inlineStr">
        <is>
          <t>رگلاژ پایه تنظیم لباسشویی</t>
        </is>
      </c>
      <c r="Q21" s="124">
        <f>IF(ISNUMBER(SEARCH("عهده شرکت",F21)),"شرکت",IF(ISNUMBER(SEARCH("عهده مشتري",F21)),"مشتری",IF(ISNUMBER(SEARCH("عهده مشتری",F21)),"مشتری","نامشخص")))</f>
        <v/>
      </c>
      <c r="R21" s="178">
        <f>IF(O21="تعویض کامل دستگاه (Replacement)",IF(SUMIF('قیمت‌ها و مفروضات'!$A$9:$A$13,C21,'قیمت‌ها و مفروضات'!$C$9:$C$13)&lt;&gt;0,SUMIF('قیمت‌ها و مفروضات'!$A$9:$A$13,C21,'قیمت‌ها و مفروضات'!$C$9:$C$13),SUMIF('قیمت‌ها و مفروضات'!$A$9:$A$13,C21,'قیمت‌ها و مفروضات'!$B$9:$B$13)),IF(SUMIF('قیمت‌ها و مفروضات'!$A$18:$A$63,O21,'قیمت‌ها و مفروضات'!$C$18:$C$63)&lt;&gt;0,SUMIF('قیمت‌ها و مفروضات'!$A$18:$A$63,O21,'قیمت‌ها و مفروضات'!$C$18:$C$63),SUMIF('قیمت‌ها و مفروضات'!$A$18:$A$63,O21,'قیمت‌ها و مفروضات'!$B$18:$B$63)))</f>
        <v/>
      </c>
      <c r="S21" s="178">
        <f>'قیمت‌ها و مفروضات'!$B$3+'قیمت‌ها و مفروضات'!$B$4</f>
        <v/>
      </c>
      <c r="T21" s="178">
        <f>R21+S21</f>
        <v/>
      </c>
      <c r="U21" s="178">
        <f>IF(COUNTIF($E$2:E21,E21)&gt;1,"بله (تکراری)","خیر")</f>
        <v/>
      </c>
      <c r="V21" s="178">
        <f>IF(U21="بله (تکراری)",S21,0)</f>
        <v/>
      </c>
      <c r="W21" s="208" t="inlineStr"/>
      <c r="X21" s="208" t="inlineStr"/>
    </row>
    <row r="22" ht="58.5" customHeight="1" s="151">
      <c r="A22" s="176" t="n">
        <v>210004815</v>
      </c>
      <c r="B22" s="124">
        <f>CHOOSE(_xlfn.NUMBERVALUE(MID(H22,6,2)),"فروردین","اردیبهشت","خرداد","تیر","مرداد","شهریور","مهر","آبان","آذر","دی","بهمن","اسفند")</f>
        <v/>
      </c>
      <c r="C22" s="176" t="inlineStr">
        <is>
          <t>ماشين لباسشويي</t>
        </is>
      </c>
      <c r="D22" s="176" t="inlineStr">
        <is>
          <t>CWM-BMW8V1</t>
        </is>
      </c>
      <c r="E22" s="176" t="inlineStr">
        <is>
          <t>52210003N01998</t>
        </is>
      </c>
      <c r="F22" s="173" t="inlineStr">
        <is>
          <t>جمع شدن آب داخل محصول**اياب و ذهاب به عهده شرکت</t>
        </is>
      </c>
      <c r="G22" s="173" t="inlineStr">
        <is>
          <t>خرابي شيربرقي</t>
        </is>
      </c>
      <c r="H22" s="176" t="inlineStr">
        <is>
          <t>1405/01/24</t>
        </is>
      </c>
      <c r="I22" s="176" t="inlineStr">
        <is>
          <t>1404/04/28</t>
        </is>
      </c>
      <c r="J22" s="176" t="inlineStr">
        <is>
          <t>1404/07/07</t>
        </is>
      </c>
      <c r="K22" s="177">
        <f>IFERROR(VLOOKUP(LEFT(H22,7),'تبدیل تاریخ'!$A$2:$B$73,2,FALSE())+VALUE(RIGHT(H22,2))-1,"")</f>
        <v/>
      </c>
      <c r="L22" s="177">
        <f>IFERROR(VLOOKUP(LEFT(I22,7),'تبدیل تاریخ'!$A$2:$B$73,2,FALSE())+VALUE(RIGHT(I22,2))-1,"")</f>
        <v/>
      </c>
      <c r="M22" s="177">
        <f>IF(J22="","",IFERROR(VLOOKUP(LEFT(J22,7),'تبدیل تاریخ'!$A$2:$B$73,2,FALSE())+VALUE(RIGHT(J22,2))-1,""))</f>
        <v/>
      </c>
      <c r="N22" s="124">
        <f>IF(OR(K22="",M22=""),"",CEILING((K22-M22)/30,1))</f>
        <v/>
      </c>
      <c r="O22" s="124">
        <f>IF(OR(ISNUMBER(SEARCH("بدون مورد",G22)),ISNUMBER(SEARCH("غير گارانتي",G22)),ISNUMBER(SEARCH("غیر گارانتی",G22)),ISNUMBER(SEARCH("بدون اجرت",G22)),ISNUMBER(SEARCH("فيلتر",G22)),ISNUMBER(SEARCH("فیلتر",G22))),"غیرگارانتی/بدون قطعه",IF(OR(ISNUMBER(SEARCH("ريست",G22)),ISNUMBER(SEARCH("ریست",G22))),"ریست نرم‌افزاری (بدون قطعه)",IF(OR(ISNUMBER(SEARCH("تعویض محصول",G22)),ISNUMBER(SEARCH("تعویض دستگاه",G22))),"تعویض کامل دستگاه (Replacement)",IF(ISNUMBER(SEARCH("پمپ",G22)),IF(ISNUMBER(SEARCH("نشت",G22)),"نشتی - پمپ تخلیه (تعمیر/آب‌بندی)","خرابی - پمپ تخلیه (تعویض)"),IF(ISNUMBER(SEARCH("کمپرسور",G22)),"خرابی - کمپرسور (تعویض)",IF(ISNUMBER(SEARCH("کمک فنر",G22)),"خرابی - کمک فنر (تعویض)",IF(ISNUMBER(SEARCH("لولا",G22)),"مکانیزم درب - لولا (تعویض)",IF(OR(ISNUMBER(SEARCH("قلاب",G22)),ISNUMBER(SEARCH("ميکروسوئيچ",G22)),ISNUMBER(SEARCH("میکروسوئیچ",G22))),"مکانیزم درب - میکروسوئیچ/قلاب (تعویض/تنظیم)",IF(ISNUMBER(SEARCH("زبانه",G22)),"مکانیزم درب - زبانه (تعویض)",IF(OR(ISNUMBER(SEARCH("شيلنگ",G22)),ISNUMBER(SEARCH("شیلنگ",G22))),IF(OR(ISNUMBER(SEARCH("نشتی",G22)),ISNUMBER(SEARCH("نشتي",G22))),"نشتی - شیلنگ (تعمیر/آب‌بندی)",IF(OR(ISNUMBER(SEARCH("يخ",G22)),ISNUMBER(SEARCH("یخ",G22))),"شیلنگ یخساز - یخ‌زدگی (بازبینی)","شیلنگ - برخورد/لهیدگی (بازبینی)")),IF(OR(ISNUMBER(SEARCH("تنظيم ديسپل",G22)),ISNUMBER(SEARCH("تنظیم دیسپل",G22)),ISNUMBER(SEARCH("تنظيم صفحه نمايش",G22)),ISNUMBER(SEARCH("تنظیم صفحه نمایش",G22))),"تنظیم - تنظیمات دستگاه/دیسپلی (تعمیر)",IF(OR(ISNUMBER(SEARCH("برد",G22)),ISNUMBER(SEARCH("سوکت",G22)),ISNUMBER(SEARCH("ديسپل",G22)),ISNUMBER(SEARCH("دیسپل",G22))),"خرابی - برد الکترونیک (تعویض)",IF(OR(ISNUMBER(SEARCH("يخساز",G22)),ISNUMBER(SEARCH("یخساز",G22)),ISNUMBER(SEARCH("دمپر",G22))),IF(OR(ISNUMBER(SEARCH("خرابی",G22)),ISNUMBER(SEARCH("خراب",G22)),ISNUMBER(SEARCH("عدم کارکرد",G22)),ISNUMBER(SEARCH("عدم عملکرد",G22))),"یخساز - خرابی موتور/سنسور/برد (تعویض)","یخساز - تنظیم/عایق (تعمیر)"),IF(OR(ISNUMBER(SEARCH("لاستيک",G22)),ISNUMBER(SEARCH("لاستیک",G22))),"لاستیک درزگیر - دفرمگی/پارگی (تعویض)",IF(OR(ISNUMBER(SEARCH("گسکت",G22)),ISNUMBER(SEARCH("گسگت",G22))),"لاستیک درزگیر - دفرمگی/پارگی (تعویض)",IF(ISNUMBER(SEARCH("مخزن نمک",G22)),"نشتی - درب مخزن نمک (تعمیر/آب‌بندی)",IF(ISNUMBER(SEARCH("براکت",G22)),"نشتی - براکت ریل (تعمیر/آب‌بندی)",IF(ISNUMBER(SEARCH("جاپودر",G22)),"نشتی - جاپودری (تعمیر/آب‌بندی)",IF(ISNUMBER(SEARCH("مقسم",G22)),"نشتی - مقسم آب (تعمیر/آب‌بندی)",IF(OR(ISNUMBER(SEARCH("سنسور دما",G22)),ISNUMBER(SEARCH("ترموستات",G22))),"خرابی - ترموستات (تعویض)",IF(OR(ISNUMBER(SEARCH("هيدروستات",G22)),ISNUMBER(SEARCH("هیدروستات",G22))),"خرابی - هیدروستات (تعویض)",IF(OR(ISNUMBER(SEARCH("بلبرينگ",G22)),ISNUMBER(SEARCH("بلبرینگ",G22))),"خرابی - بلبرینگ (تعویض)",IF(OR(ISNUMBER(SEARCH("شيربرق",G22)),ISNUMBER(SEARCH("شیربرق",G22))),"خرابی - شیربرقی (تعویض)",IF(OR(ISNUMBER(SEARCH("واتر جت",G22)),ISNUMBER(SEARCH("واترجت",G22))),"خرابی - واترجت (تعویض)",IF(OR(ISNUMBER(SEARCH("سيم",G22)),ISNUMBER(SEARCH("سیم",G22)),ISNUMBER(SEARCH("اتصال",G22))),"سیم‌کشی/اتصالات (تعویض/بازبینی)",IF(OR(ISNUMBER(SEARCH("تصوير",G22)),ISNUMBER(SEARCH("تصویر",G22))),"برد نمایش تلویزیون (تعویض)",IF(OR(ISNUMBER(SEARCH("ريموت",G22)),ISNUMBER(SEARCH("ریموت",G22))),"ریموت کنترل (تعویض/تعمیر)",IF(OR(ISNUMBER(SEARCH("ال اي دي",G22)),ISNUMBER(SEARCH("ال ای دی",G22)),ISNUMBER(SEARCH("LED",G22))),"خرابی - لامپ/LED داخلی (تعویض)",IF(ISNUMBER(SEARCH("زنگ زدگ",G22)),"زنگ‌زدگی بدنه/قطعه (تعویض)",IF(OR(ISNUMBER(SEARCH("قطعات تزئين",G22)),ISNUMBER(SEARCH("قطعات تزئین",G22))),"قطعات تزئینی - شکستگی/کسری (تعویض)",IF(ISNUMBER(SEARCH("سبد",G22)),"سبد ظرفشویی - شکستگی (تعویض)",IF(ISNUMBER(SEARCH("تاب درام",G22)),"خرابی - تاب برداشتن درام (تعویض)",IF(ISNUMBER(SEARCH("درام",G22)),"خرابی - سایر ایراد درام (تعویض)",IF(ISNUMBER(SEARCH("موتور",G22)),"خرابی - موتور (تعویض)",IF(ISNUMBER(SEARCH("تسمه",G22)),"خرابی - تسمه (تعویض)",IF(OR(ISNUMBER(SEARCH("پيچ ولوم",G22)),ISNUMBER(SEARCH("پیچ ولوم",G22))),"تنظیم - پیچ ولوم/دکمه (تعمیر)",IF(OR(ISNUMBER(SEARCH("کسري قطعات",G22)),ISNUMBER(SEARCH("کسری قطعات",G22))),"کسری قطعات تزئینی (تعویض)",IF(ISNUMBER(SEARCH("پرچ",G22)),"پرچ/بدنه کابین(تعمیر)",IF(OR(ISNUMBER(SEARCH("نشت",G22)),ISNUMBER(SEARCH("آبريزش",G22)),ISNUMBER(SEARCH("آبریزش",G22))),"نشتی آب - محل نامشخص (نیازمند بازدید)",IF(ISNUMBER(SEARCH("درب",G22)),"سایر اجزای درب (بازبینی)",IF(ISNUMBER(SEARCH("ضربه",G22)),"بدنه/کابین - ضربه (بازبینی/تعویض پنل)",IF(ISNUMBER(SEARCH("تراز",G22)),"تراز/لرزش - نصب (رگلاژ پایه)",IF(OR(ISNUMBER(SEARCH("تعویض",G22)),ISNUMBER(SEARCH("تعويض",G22))),"تعویض کامل دستگاه (Replacement)","سایر (نیازمند بررسی دستی)")))))))))))))))))))))))))))))))))))))))))))</f>
        <v/>
      </c>
      <c r="P22" s="124" t="inlineStr">
        <is>
          <t>شیر برقی لباسشویی</t>
        </is>
      </c>
      <c r="Q22" s="124">
        <f>IF(ISNUMBER(SEARCH("عهده شرکت",F22)),"شرکت",IF(ISNUMBER(SEARCH("عهده مشتري",F22)),"مشتری",IF(ISNUMBER(SEARCH("عهده مشتری",F22)),"مشتری","نامشخص")))</f>
        <v/>
      </c>
      <c r="R22" s="178">
        <f>IF(O22="تعویض کامل دستگاه (Replacement)",IF(SUMIF('قیمت‌ها و مفروضات'!$A$9:$A$13,C22,'قیمت‌ها و مفروضات'!$C$9:$C$13)&lt;&gt;0,SUMIF('قیمت‌ها و مفروضات'!$A$9:$A$13,C22,'قیمت‌ها و مفروضات'!$C$9:$C$13),SUMIF('قیمت‌ها و مفروضات'!$A$9:$A$13,C22,'قیمت‌ها و مفروضات'!$B$9:$B$13)),IF(SUMIF('قیمت‌ها و مفروضات'!$A$18:$A$63,O22,'قیمت‌ها و مفروضات'!$C$18:$C$63)&lt;&gt;0,SUMIF('قیمت‌ها و مفروضات'!$A$18:$A$63,O22,'قیمت‌ها و مفروضات'!$C$18:$C$63),SUMIF('قیمت‌ها و مفروضات'!$A$18:$A$63,O22,'قیمت‌ها و مفروضات'!$B$18:$B$63)))</f>
        <v/>
      </c>
      <c r="S22" s="178">
        <f>'قیمت‌ها و مفروضات'!$B$3+'قیمت‌ها و مفروضات'!$B$4</f>
        <v/>
      </c>
      <c r="T22" s="178">
        <f>R22+S22</f>
        <v/>
      </c>
      <c r="U22" s="178">
        <f>IF(COUNTIF($E$2:E22,E22)&gt;1,"بله (تکراری)","خیر")</f>
        <v/>
      </c>
      <c r="V22" s="178">
        <f>IF(U22="بله (تکراری)",S22,0)</f>
        <v/>
      </c>
      <c r="W22" s="208" t="inlineStr"/>
      <c r="X22" s="208" t="inlineStr"/>
    </row>
    <row r="23" ht="58.5" customHeight="1" s="151">
      <c r="A23" s="176" t="n">
        <v>210004823</v>
      </c>
      <c r="B23" s="124">
        <f>CHOOSE(_xlfn.NUMBERVALUE(MID(H23,6,2)),"فروردین","اردیبهشت","خرداد","تیر","مرداد","شهریور","مهر","آبان","آذر","دی","بهمن","اسفند")</f>
        <v/>
      </c>
      <c r="C23" s="176" t="inlineStr">
        <is>
          <t>ماشين ظرفشويي</t>
        </is>
      </c>
      <c r="D23" s="176" t="inlineStr">
        <is>
          <t>CDW-H16T</t>
        </is>
      </c>
      <c r="E23" s="176" t="inlineStr">
        <is>
          <t>52220004N02355</t>
        </is>
      </c>
      <c r="F23" s="173" t="inlineStr">
        <is>
          <t>اياب و ذهاب به عهده شرکت ** بسته نشدن درب</t>
        </is>
      </c>
      <c r="G23" s="173" t="inlineStr">
        <is>
          <t>خرابي قلاب ميکروسوئيچ</t>
        </is>
      </c>
      <c r="H23" s="176" t="inlineStr">
        <is>
          <t>1405/01/31</t>
        </is>
      </c>
      <c r="I23" s="176" t="inlineStr">
        <is>
          <t>1404/01/26</t>
        </is>
      </c>
      <c r="J23" s="176" t="inlineStr">
        <is>
          <t>1404/05/14</t>
        </is>
      </c>
      <c r="K23" s="177">
        <f>IFERROR(VLOOKUP(LEFT(H23,7),'تبدیل تاریخ'!$A$2:$B$73,2,FALSE())+VALUE(RIGHT(H23,2))-1,"")</f>
        <v/>
      </c>
      <c r="L23" s="177">
        <f>IFERROR(VLOOKUP(LEFT(I23,7),'تبدیل تاریخ'!$A$2:$B$73,2,FALSE())+VALUE(RIGHT(I23,2))-1,"")</f>
        <v/>
      </c>
      <c r="M23" s="177">
        <f>IF(J23="","",IFERROR(VLOOKUP(LEFT(J23,7),'تبدیل تاریخ'!$A$2:$B$73,2,FALSE())+VALUE(RIGHT(J23,2))-1,""))</f>
        <v/>
      </c>
      <c r="N23" s="124">
        <f>IF(OR(K23="",M23=""),"",CEILING((K23-M23)/30,1))</f>
        <v/>
      </c>
      <c r="O23" s="124">
        <f>IF(OR(ISNUMBER(SEARCH("بدون مورد",G23)),ISNUMBER(SEARCH("غير گارانتي",G23)),ISNUMBER(SEARCH("غیر گارانتی",G23)),ISNUMBER(SEARCH("بدون اجرت",G23)),ISNUMBER(SEARCH("فيلتر",G23)),ISNUMBER(SEARCH("فیلتر",G23))),"غیرگارانتی/بدون قطعه",IF(OR(ISNUMBER(SEARCH("ريست",G23)),ISNUMBER(SEARCH("ریست",G23))),"ریست نرم‌افزاری (بدون قطعه)",IF(OR(ISNUMBER(SEARCH("تعویض محصول",G23)),ISNUMBER(SEARCH("تعویض دستگاه",G23))),"تعویض کامل دستگاه (Replacement)",IF(ISNUMBER(SEARCH("پمپ",G23)),IF(ISNUMBER(SEARCH("نشت",G23)),"نشتی - پمپ تخلیه (تعمیر/آب‌بندی)","خرابی - پمپ تخلیه (تعویض)"),IF(ISNUMBER(SEARCH("کمپرسور",G23)),"خرابی - کمپرسور (تعویض)",IF(ISNUMBER(SEARCH("کمک فنر",G23)),"خرابی - کمک فنر (تعویض)",IF(ISNUMBER(SEARCH("لولا",G23)),"مکانیزم درب - لولا (تعویض)",IF(OR(ISNUMBER(SEARCH("قلاب",G23)),ISNUMBER(SEARCH("ميکروسوئيچ",G23)),ISNUMBER(SEARCH("میکروسوئیچ",G23))),"مکانیزم درب - میکروسوئیچ/قلاب (تعویض/تنظیم)",IF(ISNUMBER(SEARCH("زبانه",G23)),"مکانیزم درب - زبانه (تعویض)",IF(OR(ISNUMBER(SEARCH("شيلنگ",G23)),ISNUMBER(SEARCH("شیلنگ",G23))),IF(OR(ISNUMBER(SEARCH("نشتی",G23)),ISNUMBER(SEARCH("نشتي",G23))),"نشتی - شیلنگ (تعمیر/آب‌بندی)",IF(OR(ISNUMBER(SEARCH("يخ",G23)),ISNUMBER(SEARCH("یخ",G23))),"شیلنگ یخساز - یخ‌زدگی (بازبینی)","شیلنگ - برخورد/لهیدگی (بازبینی)")),IF(OR(ISNUMBER(SEARCH("تنظيم ديسپل",G23)),ISNUMBER(SEARCH("تنظیم دیسپل",G23)),ISNUMBER(SEARCH("تنظيم صفحه نمايش",G23)),ISNUMBER(SEARCH("تنظیم صفحه نمایش",G23))),"تنظیم - تنظیمات دستگاه/دیسپلی (تعمیر)",IF(OR(ISNUMBER(SEARCH("برد",G23)),ISNUMBER(SEARCH("سوکت",G23)),ISNUMBER(SEARCH("ديسپل",G23)),ISNUMBER(SEARCH("دیسپل",G23))),"خرابی - برد الکترونیک (تعویض)",IF(OR(ISNUMBER(SEARCH("يخساز",G23)),ISNUMBER(SEARCH("یخساز",G23)),ISNUMBER(SEARCH("دمپر",G23))),IF(OR(ISNUMBER(SEARCH("خرابی",G23)),ISNUMBER(SEARCH("خراب",G23)),ISNUMBER(SEARCH("عدم کارکرد",G23)),ISNUMBER(SEARCH("عدم عملکرد",G23))),"یخساز - خرابی موتور/سنسور/برد (تعویض)","یخساز - تنظیم/عایق (تعمیر)"),IF(OR(ISNUMBER(SEARCH("لاستيک",G23)),ISNUMBER(SEARCH("لاستیک",G23))),"لاستیک درزگیر - دفرمگی/پارگی (تعویض)",IF(OR(ISNUMBER(SEARCH("گسکت",G23)),ISNUMBER(SEARCH("گسگت",G23))),"لاستیک درزگیر - دفرمگی/پارگی (تعویض)",IF(ISNUMBER(SEARCH("مخزن نمک",G23)),"نشتی - درب مخزن نمک (تعمیر/آب‌بندی)",IF(ISNUMBER(SEARCH("براکت",G23)),"نشتی - براکت ریل (تعمیر/آب‌بندی)",IF(ISNUMBER(SEARCH("جاپودر",G23)),"نشتی - جاپودری (تعمیر/آب‌بندی)",IF(ISNUMBER(SEARCH("مقسم",G23)),"نشتی - مقسم آب (تعمیر/آب‌بندی)",IF(OR(ISNUMBER(SEARCH("سنسور دما",G23)),ISNUMBER(SEARCH("ترموستات",G23))),"خرابی - ترموستات (تعویض)",IF(OR(ISNUMBER(SEARCH("هيدروستات",G23)),ISNUMBER(SEARCH("هیدروستات",G23))),"خرابی - هیدروستات (تعویض)",IF(OR(ISNUMBER(SEARCH("بلبرينگ",G23)),ISNUMBER(SEARCH("بلبرینگ",G23))),"خرابی - بلبرینگ (تعویض)",IF(OR(ISNUMBER(SEARCH("شيربرق",G23)),ISNUMBER(SEARCH("شیربرق",G23))),"خرابی - شیربرقی (تعویض)",IF(OR(ISNUMBER(SEARCH("واتر جت",G23)),ISNUMBER(SEARCH("واترجت",G23))),"خرابی - واترجت (تعویض)",IF(OR(ISNUMBER(SEARCH("سيم",G23)),ISNUMBER(SEARCH("سیم",G23)),ISNUMBER(SEARCH("اتصال",G23))),"سیم‌کشی/اتصالات (تعویض/بازبینی)",IF(OR(ISNUMBER(SEARCH("تصوير",G23)),ISNUMBER(SEARCH("تصویر",G23))),"برد نمایش تلویزیون (تعویض)",IF(OR(ISNUMBER(SEARCH("ريموت",G23)),ISNUMBER(SEARCH("ریموت",G23))),"ریموت کنترل (تعویض/تعمیر)",IF(OR(ISNUMBER(SEARCH("ال اي دي",G23)),ISNUMBER(SEARCH("ال ای دی",G23)),ISNUMBER(SEARCH("LED",G23))),"خرابی - لامپ/LED داخلی (تعویض)",IF(ISNUMBER(SEARCH("زنگ زدگ",G23)),"زنگ‌زدگی بدنه/قطعه (تعویض)",IF(OR(ISNUMBER(SEARCH("قطعات تزئين",G23)),ISNUMBER(SEARCH("قطعات تزئین",G23))),"قطعات تزئینی - شکستگی/کسری (تعویض)",IF(ISNUMBER(SEARCH("سبد",G23)),"سبد ظرفشویی - شکستگی (تعویض)",IF(ISNUMBER(SEARCH("تاب درام",G23)),"خرابی - تاب برداشتن درام (تعویض)",IF(ISNUMBER(SEARCH("درام",G23)),"خرابی - سایر ایراد درام (تعویض)",IF(ISNUMBER(SEARCH("موتور",G23)),"خرابی - موتور (تعویض)",IF(ISNUMBER(SEARCH("تسمه",G23)),"خرابی - تسمه (تعویض)",IF(OR(ISNUMBER(SEARCH("پيچ ولوم",G23)),ISNUMBER(SEARCH("پیچ ولوم",G23))),"تنظیم - پیچ ولوم/دکمه (تعمیر)",IF(OR(ISNUMBER(SEARCH("کسري قطعات",G23)),ISNUMBER(SEARCH("کسری قطعات",G23))),"کسری قطعات تزئینی (تعویض)",IF(ISNUMBER(SEARCH("پرچ",G23)),"پرچ/بدنه کابین(تعمیر)",IF(OR(ISNUMBER(SEARCH("نشت",G23)),ISNUMBER(SEARCH("آبريزش",G23)),ISNUMBER(SEARCH("آبریزش",G23))),"نشتی آب - محل نامشخص (نیازمند بازدید)",IF(ISNUMBER(SEARCH("درب",G23)),"سایر اجزای درب (بازبینی)",IF(ISNUMBER(SEARCH("ضربه",G23)),"بدنه/کابین - ضربه (بازبینی/تعویض پنل)",IF(ISNUMBER(SEARCH("تراز",G23)),"تراز/لرزش - نصب (رگلاژ پایه)",IF(OR(ISNUMBER(SEARCH("تعویض",G23)),ISNUMBER(SEARCH("تعويض",G23))),"تعویض کامل دستگاه (Replacement)","سایر (نیازمند بررسی دستی)")))))))))))))))))))))))))))))))))))))))))))</f>
        <v/>
      </c>
      <c r="P23" s="124" t="inlineStr">
        <is>
          <t>میکروسوئیچ 16 نفره</t>
        </is>
      </c>
      <c r="Q23" s="124">
        <f>IF(ISNUMBER(SEARCH("عهده شرکت",F23)),"شرکت",IF(ISNUMBER(SEARCH("عهده مشتري",F23)),"مشتری",IF(ISNUMBER(SEARCH("عهده مشتری",F23)),"مشتری","نامشخص")))</f>
        <v/>
      </c>
      <c r="R23" s="178">
        <f>IF(O23="تعویض کامل دستگاه (Replacement)",IF(SUMIF('قیمت‌ها و مفروضات'!$A$9:$A$13,C23,'قیمت‌ها و مفروضات'!$C$9:$C$13)&lt;&gt;0,SUMIF('قیمت‌ها و مفروضات'!$A$9:$A$13,C23,'قیمت‌ها و مفروضات'!$C$9:$C$13),SUMIF('قیمت‌ها و مفروضات'!$A$9:$A$13,C23,'قیمت‌ها و مفروضات'!$B$9:$B$13)),IF(SUMIF('قیمت‌ها و مفروضات'!$A$18:$A$63,O23,'قیمت‌ها و مفروضات'!$C$18:$C$63)&lt;&gt;0,SUMIF('قیمت‌ها و مفروضات'!$A$18:$A$63,O23,'قیمت‌ها و مفروضات'!$C$18:$C$63),SUMIF('قیمت‌ها و مفروضات'!$A$18:$A$63,O23,'قیمت‌ها و مفروضات'!$B$18:$B$63)))</f>
        <v/>
      </c>
      <c r="S23" s="178">
        <f>'قیمت‌ها و مفروضات'!$B$3+'قیمت‌ها و مفروضات'!$B$4</f>
        <v/>
      </c>
      <c r="T23" s="178">
        <f>R23+S23</f>
        <v/>
      </c>
      <c r="U23" s="178">
        <f>IF(COUNTIF($E$2:E23,E23)&gt;1,"بله (تکراری)","خیر")</f>
        <v/>
      </c>
      <c r="V23" s="178">
        <f>IF(U23="بله (تکراری)",S23,0)</f>
        <v/>
      </c>
      <c r="W23" s="208" t="inlineStr"/>
      <c r="X23" s="208" t="inlineStr"/>
    </row>
    <row r="24" ht="58.5" customHeight="1" s="151">
      <c r="A24" s="176" t="n">
        <v>510018164</v>
      </c>
      <c r="B24" s="124">
        <f>CHOOSE(_xlfn.NUMBERVALUE(MID(H24,6,2)),"فروردین","اردیبهشت","خرداد","تیر","مرداد","شهریور","مهر","آبان","آذر","دی","بهمن","اسفند")</f>
        <v/>
      </c>
      <c r="C24" s="176" t="inlineStr">
        <is>
          <t>ماشين لباسشويي</t>
        </is>
      </c>
      <c r="D24" s="176" t="inlineStr">
        <is>
          <t>CWM-BMW9T1</t>
        </is>
      </c>
      <c r="E24" s="176" t="inlineStr">
        <is>
          <t>52210007N00839</t>
        </is>
      </c>
      <c r="F24" s="173" t="inlineStr">
        <is>
          <t>پارگي نوار دور درب**اياب و ذهاب به عهده شرکت</t>
        </is>
      </c>
      <c r="G24" s="173" t="inlineStr">
        <is>
          <t>پارگي لاستيک</t>
        </is>
      </c>
      <c r="H24" s="176" t="inlineStr">
        <is>
          <t>1405/01/29</t>
        </is>
      </c>
      <c r="I24" s="176" t="inlineStr">
        <is>
          <t>1404/03/04</t>
        </is>
      </c>
      <c r="J24" s="176" t="inlineStr">
        <is>
          <t>1404/04/02</t>
        </is>
      </c>
      <c r="K24" s="177">
        <f>IFERROR(VLOOKUP(LEFT(H24,7),'تبدیل تاریخ'!$A$2:$B$73,2,FALSE())+VALUE(RIGHT(H24,2))-1,"")</f>
        <v/>
      </c>
      <c r="L24" s="177">
        <f>IFERROR(VLOOKUP(LEFT(I24,7),'تبدیل تاریخ'!$A$2:$B$73,2,FALSE())+VALUE(RIGHT(I24,2))-1,"")</f>
        <v/>
      </c>
      <c r="M24" s="177">
        <f>IF(J24="","",IFERROR(VLOOKUP(LEFT(J24,7),'تبدیل تاریخ'!$A$2:$B$73,2,FALSE())+VALUE(RIGHT(J24,2))-1,""))</f>
        <v/>
      </c>
      <c r="N24" s="124">
        <f>IF(OR(K24="",M24=""),"",CEILING((K24-M24)/30,1))</f>
        <v/>
      </c>
      <c r="O24" s="124">
        <f>IF(OR(ISNUMBER(SEARCH("بدون مورد",G24)),ISNUMBER(SEARCH("غير گارانتي",G24)),ISNUMBER(SEARCH("غیر گارانتی",G24)),ISNUMBER(SEARCH("بدون اجرت",G24)),ISNUMBER(SEARCH("فيلتر",G24)),ISNUMBER(SEARCH("فیلتر",G24))),"غیرگارانتی/بدون قطعه",IF(OR(ISNUMBER(SEARCH("ريست",G24)),ISNUMBER(SEARCH("ریست",G24))),"ریست نرم‌افزاری (بدون قطعه)",IF(OR(ISNUMBER(SEARCH("تعویض محصول",G24)),ISNUMBER(SEARCH("تعویض دستگاه",G24))),"تعویض کامل دستگاه (Replacement)",IF(ISNUMBER(SEARCH("پمپ",G24)),IF(ISNUMBER(SEARCH("نشت",G24)),"نشتی - پمپ تخلیه (تعمیر/آب‌بندی)","خرابی - پمپ تخلیه (تعویض)"),IF(ISNUMBER(SEARCH("کمپرسور",G24)),"خرابی - کمپرسور (تعویض)",IF(ISNUMBER(SEARCH("کمک فنر",G24)),"خرابی - کمک فنر (تعویض)",IF(ISNUMBER(SEARCH("لولا",G24)),"مکانیزم درب - لولا (تعویض)",IF(OR(ISNUMBER(SEARCH("قلاب",G24)),ISNUMBER(SEARCH("ميکروسوئيچ",G24)),ISNUMBER(SEARCH("میکروسوئیچ",G24))),"مکانیزم درب - میکروسوئیچ/قلاب (تعویض/تنظیم)",IF(ISNUMBER(SEARCH("زبانه",G24)),"مکانیزم درب - زبانه (تعویض)",IF(OR(ISNUMBER(SEARCH("شيلنگ",G24)),ISNUMBER(SEARCH("شیلنگ",G24))),IF(OR(ISNUMBER(SEARCH("نشتی",G24)),ISNUMBER(SEARCH("نشتي",G24))),"نشتی - شیلنگ (تعمیر/آب‌بندی)",IF(OR(ISNUMBER(SEARCH("يخ",G24)),ISNUMBER(SEARCH("یخ",G24))),"شیلنگ یخساز - یخ‌زدگی (بازبینی)","شیلنگ - برخورد/لهیدگی (بازبینی)")),IF(OR(ISNUMBER(SEARCH("تنظيم ديسپل",G24)),ISNUMBER(SEARCH("تنظیم دیسپل",G24)),ISNUMBER(SEARCH("تنظيم صفحه نمايش",G24)),ISNUMBER(SEARCH("تنظیم صفحه نمایش",G24))),"تنظیم - تنظیمات دستگاه/دیسپلی (تعمیر)",IF(OR(ISNUMBER(SEARCH("برد",G24)),ISNUMBER(SEARCH("سوکت",G24)),ISNUMBER(SEARCH("ديسپل",G24)),ISNUMBER(SEARCH("دیسپل",G24))),"خرابی - برد الکترونیک (تعویض)",IF(OR(ISNUMBER(SEARCH("يخساز",G24)),ISNUMBER(SEARCH("یخساز",G24)),ISNUMBER(SEARCH("دمپر",G24))),IF(OR(ISNUMBER(SEARCH("خرابی",G24)),ISNUMBER(SEARCH("خراب",G24)),ISNUMBER(SEARCH("عدم کارکرد",G24)),ISNUMBER(SEARCH("عدم عملکرد",G24))),"یخساز - خرابی موتور/سنسور/برد (تعویض)","یخساز - تنظیم/عایق (تعمیر)"),IF(OR(ISNUMBER(SEARCH("لاستيک",G24)),ISNUMBER(SEARCH("لاستیک",G24))),"لاستیک درزگیر - دفرمگی/پارگی (تعویض)",IF(OR(ISNUMBER(SEARCH("گسکت",G24)),ISNUMBER(SEARCH("گسگت",G24))),"لاستیک درزگیر - دفرمگی/پارگی (تعویض)",IF(ISNUMBER(SEARCH("مخزن نمک",G24)),"نشتی - درب مخزن نمک (تعمیر/آب‌بندی)",IF(ISNUMBER(SEARCH("براکت",G24)),"نشتی - براکت ریل (تعمیر/آب‌بندی)",IF(ISNUMBER(SEARCH("جاپودر",G24)),"نشتی - جاپودری (تعمیر/آب‌بندی)",IF(ISNUMBER(SEARCH("مقسم",G24)),"نشتی - مقسم آب (تعمیر/آب‌بندی)",IF(OR(ISNUMBER(SEARCH("سنسور دما",G24)),ISNUMBER(SEARCH("ترموستات",G24))),"خرابی - ترموستات (تعویض)",IF(OR(ISNUMBER(SEARCH("هيدروستات",G24)),ISNUMBER(SEARCH("هیدروستات",G24))),"خرابی - هیدروستات (تعویض)",IF(OR(ISNUMBER(SEARCH("بلبرينگ",G24)),ISNUMBER(SEARCH("بلبرینگ",G24))),"خرابی - بلبرینگ (تعویض)",IF(OR(ISNUMBER(SEARCH("شيربرق",G24)),ISNUMBER(SEARCH("شیربرق",G24))),"خرابی - شیربرقی (تعویض)",IF(OR(ISNUMBER(SEARCH("واتر جت",G24)),ISNUMBER(SEARCH("واترجت",G24))),"خرابی - واترجت (تعویض)",IF(OR(ISNUMBER(SEARCH("سيم",G24)),ISNUMBER(SEARCH("سیم",G24)),ISNUMBER(SEARCH("اتصال",G24))),"سیم‌کشی/اتصالات (تعویض/بازبینی)",IF(OR(ISNUMBER(SEARCH("تصوير",G24)),ISNUMBER(SEARCH("تصویر",G24))),"برد نمایش تلویزیون (تعویض)",IF(OR(ISNUMBER(SEARCH("ريموت",G24)),ISNUMBER(SEARCH("ریموت",G24))),"ریموت کنترل (تعویض/تعمیر)",IF(OR(ISNUMBER(SEARCH("ال اي دي",G24)),ISNUMBER(SEARCH("ال ای دی",G24)),ISNUMBER(SEARCH("LED",G24))),"خرابی - لامپ/LED داخلی (تعویض)",IF(ISNUMBER(SEARCH("زنگ زدگ",G24)),"زنگ‌زدگی بدنه/قطعه (تعویض)",IF(OR(ISNUMBER(SEARCH("قطعات تزئين",G24)),ISNUMBER(SEARCH("قطعات تزئین",G24))),"قطعات تزئینی - شکستگی/کسری (تعویض)",IF(ISNUMBER(SEARCH("سبد",G24)),"سبد ظرفشویی - شکستگی (تعویض)",IF(ISNUMBER(SEARCH("تاب درام",G24)),"خرابی - تاب برداشتن درام (تعویض)",IF(ISNUMBER(SEARCH("درام",G24)),"خرابی - سایر ایراد درام (تعویض)",IF(ISNUMBER(SEARCH("موتور",G24)),"خرابی - موتور (تعویض)",IF(ISNUMBER(SEARCH("تسمه",G24)),"خرابی - تسمه (تعویض)",IF(OR(ISNUMBER(SEARCH("پيچ ولوم",G24)),ISNUMBER(SEARCH("پیچ ولوم",G24))),"تنظیم - پیچ ولوم/دکمه (تعمیر)",IF(OR(ISNUMBER(SEARCH("کسري قطعات",G24)),ISNUMBER(SEARCH("کسری قطعات",G24))),"کسری قطعات تزئینی (تعویض)",IF(ISNUMBER(SEARCH("پرچ",G24)),"پرچ/بدنه کابین(تعمیر)",IF(OR(ISNUMBER(SEARCH("نشت",G24)),ISNUMBER(SEARCH("آبريزش",G24)),ISNUMBER(SEARCH("آبریزش",G24))),"نشتی آب - محل نامشخص (نیازمند بازدید)",IF(ISNUMBER(SEARCH("درب",G24)),"سایر اجزای درب (بازبینی)",IF(ISNUMBER(SEARCH("ضربه",G24)),"بدنه/کابین - ضربه (بازبینی/تعویض پنل)",IF(ISNUMBER(SEARCH("تراز",G24)),"تراز/لرزش - نصب (رگلاژ پایه)",IF(OR(ISNUMBER(SEARCH("تعویض",G24)),ISNUMBER(SEARCH("تعويض",G24))),"تعویض کامل دستگاه (Replacement)","سایر (نیازمند بررسی دستی)")))))))))))))))))))))))))))))))))))))))))))</f>
        <v/>
      </c>
      <c r="P24" s="124" t="inlineStr">
        <is>
          <t>*</t>
        </is>
      </c>
      <c r="Q24" s="124">
        <f>IF(ISNUMBER(SEARCH("عهده شرکت",F24)),"شرکت",IF(ISNUMBER(SEARCH("عهده مشتري",F24)),"مشتری",IF(ISNUMBER(SEARCH("عهده مشتری",F24)),"مشتری","نامشخص")))</f>
        <v/>
      </c>
      <c r="R24" s="178">
        <f>IF(O24="تعویض کامل دستگاه (Replacement)",IF(SUMIF('قیمت‌ها و مفروضات'!$A$9:$A$13,C24,'قیمت‌ها و مفروضات'!$C$9:$C$13)&lt;&gt;0,SUMIF('قیمت‌ها و مفروضات'!$A$9:$A$13,C24,'قیمت‌ها و مفروضات'!$C$9:$C$13),SUMIF('قیمت‌ها و مفروضات'!$A$9:$A$13,C24,'قیمت‌ها و مفروضات'!$B$9:$B$13)),IF(SUMIF('قیمت‌ها و مفروضات'!$A$18:$A$63,O24,'قیمت‌ها و مفروضات'!$C$18:$C$63)&lt;&gt;0,SUMIF('قیمت‌ها و مفروضات'!$A$18:$A$63,O24,'قیمت‌ها و مفروضات'!$C$18:$C$63),SUMIF('قیمت‌ها و مفروضات'!$A$18:$A$63,O24,'قیمت‌ها و مفروضات'!$B$18:$B$63)))</f>
        <v/>
      </c>
      <c r="S24" s="178">
        <f>'قیمت‌ها و مفروضات'!$B$3+'قیمت‌ها و مفروضات'!$B$4</f>
        <v/>
      </c>
      <c r="T24" s="178">
        <f>R24+S24</f>
        <v/>
      </c>
      <c r="U24" s="178">
        <f>IF(COUNTIF($E$2:E24,E24)&gt;1,"بله (تکراری)","خیر")</f>
        <v/>
      </c>
      <c r="V24" s="178">
        <f>IF(U24="بله (تکراری)",S24,0)</f>
        <v/>
      </c>
      <c r="W24" s="208" t="inlineStr"/>
      <c r="X24" s="208" t="inlineStr"/>
    </row>
    <row r="25" ht="58.5" customHeight="1" s="151">
      <c r="A25" s="176" t="n">
        <v>210005374</v>
      </c>
      <c r="B25" s="124">
        <f>CHOOSE(_xlfn.NUMBERVALUE(MID(H25,6,2)),"فروردین","اردیبهشت","خرداد","تیر","مرداد","شهریور","مهر","آبان","آذر","دی","بهمن","اسفند")</f>
        <v/>
      </c>
      <c r="C25" s="176" t="inlineStr">
        <is>
          <t>یخچال ساید‌بای‌ساید</t>
        </is>
      </c>
      <c r="D25" s="176" t="inlineStr">
        <is>
          <t>C2S-29HS1</t>
        </is>
      </c>
      <c r="E25" s="176" t="inlineStr">
        <is>
          <t>52240001N00523</t>
        </is>
      </c>
      <c r="F25" s="173" t="inlineStr">
        <is>
          <t>عدم کارکرد يخساز**مجدد**اياب و ذهاب به عهده شرکت</t>
        </is>
      </c>
      <c r="G25" s="173" t="inlineStr">
        <is>
          <t>خرابي برد - عدم کارکرد يخساز - سايد باي سايد</t>
        </is>
      </c>
      <c r="H25" s="176" t="inlineStr">
        <is>
          <t>1405/01/29</t>
        </is>
      </c>
      <c r="I25" s="176" t="inlineStr">
        <is>
          <t>1403/03/27</t>
        </is>
      </c>
      <c r="J25" s="176" t="inlineStr">
        <is>
          <t>1403/09/03</t>
        </is>
      </c>
      <c r="K25" s="177">
        <f>IFERROR(VLOOKUP(LEFT(H25,7),'تبدیل تاریخ'!$A$2:$B$73,2,FALSE())+VALUE(RIGHT(H25,2))-1,"")</f>
        <v/>
      </c>
      <c r="L25" s="177">
        <f>IFERROR(VLOOKUP(LEFT(I25,7),'تبدیل تاریخ'!$A$2:$B$73,2,FALSE())+VALUE(RIGHT(I25,2))-1,"")</f>
        <v/>
      </c>
      <c r="M25" s="177">
        <f>IF(J25="","",IFERROR(VLOOKUP(LEFT(J25,7),'تبدیل تاریخ'!$A$2:$B$73,2,FALSE())+VALUE(RIGHT(J25,2))-1,""))</f>
        <v/>
      </c>
      <c r="N25" s="124">
        <f>IF(OR(K25="",M25=""),"",CEILING((K25-M25)/30,1))</f>
        <v/>
      </c>
      <c r="O25" s="124">
        <f>IF(OR(ISNUMBER(SEARCH("بدون مورد",G25)),ISNUMBER(SEARCH("غير گارانتي",G25)),ISNUMBER(SEARCH("غیر گارانتی",G25)),ISNUMBER(SEARCH("بدون اجرت",G25)),ISNUMBER(SEARCH("فيلتر",G25)),ISNUMBER(SEARCH("فیلتر",G25))),"غیرگارانتی/بدون قطعه",IF(OR(ISNUMBER(SEARCH("ريست",G25)),ISNUMBER(SEARCH("ریست",G25))),"ریست نرم‌افزاری (بدون قطعه)",IF(OR(ISNUMBER(SEARCH("تعویض محصول",G25)),ISNUMBER(SEARCH("تعویض دستگاه",G25))),"تعویض کامل دستگاه (Replacement)",IF(ISNUMBER(SEARCH("پمپ",G25)),IF(ISNUMBER(SEARCH("نشت",G25)),"نشتی - پمپ تخلیه (تعمیر/آب‌بندی)","خرابی - پمپ تخلیه (تعویض)"),IF(ISNUMBER(SEARCH("کمپرسور",G25)),"خرابی - کمپرسور (تعویض)",IF(ISNUMBER(SEARCH("کمک فنر",G25)),"خرابی - کمک فنر (تعویض)",IF(ISNUMBER(SEARCH("لولا",G25)),"مکانیزم درب - لولا (تعویض)",IF(OR(ISNUMBER(SEARCH("قلاب",G25)),ISNUMBER(SEARCH("ميکروسوئيچ",G25)),ISNUMBER(SEARCH("میکروسوئیچ",G25))),"مکانیزم درب - میکروسوئیچ/قلاب (تعویض/تنظیم)",IF(ISNUMBER(SEARCH("زبانه",G25)),"مکانیزم درب - زبانه (تعویض)",IF(OR(ISNUMBER(SEARCH("شيلنگ",G25)),ISNUMBER(SEARCH("شیلنگ",G25))),IF(OR(ISNUMBER(SEARCH("نشتی",G25)),ISNUMBER(SEARCH("نشتي",G25))),"نشتی - شیلنگ (تعمیر/آب‌بندی)",IF(OR(ISNUMBER(SEARCH("يخ",G25)),ISNUMBER(SEARCH("یخ",G25))),"شیلنگ یخساز - یخ‌زدگی (بازبینی)","شیلنگ - برخورد/لهیدگی (بازبینی)")),IF(OR(ISNUMBER(SEARCH("تنظيم ديسپل",G25)),ISNUMBER(SEARCH("تنظیم دیسپل",G25)),ISNUMBER(SEARCH("تنظيم صفحه نمايش",G25)),ISNUMBER(SEARCH("تنظیم صفحه نمایش",G25))),"تنظیم - تنظیمات دستگاه/دیسپلی (تعمیر)",IF(OR(ISNUMBER(SEARCH("برد",G25)),ISNUMBER(SEARCH("سوکت",G25)),ISNUMBER(SEARCH("ديسپل",G25)),ISNUMBER(SEARCH("دیسپل",G25))),"خرابی - برد الکترونیک (تعویض)",IF(OR(ISNUMBER(SEARCH("يخساز",G25)),ISNUMBER(SEARCH("یخساز",G25)),ISNUMBER(SEARCH("دمپر",G25))),IF(OR(ISNUMBER(SEARCH("خرابی",G25)),ISNUMBER(SEARCH("خراب",G25)),ISNUMBER(SEARCH("عدم کارکرد",G25)),ISNUMBER(SEARCH("عدم عملکرد",G25))),"یخساز - خرابی موتور/سنسور/برد (تعویض)","یخساز - تنظیم/عایق (تعمیر)"),IF(OR(ISNUMBER(SEARCH("لاستيک",G25)),ISNUMBER(SEARCH("لاستیک",G25))),"لاستیک درزگیر - دفرمگی/پارگی (تعویض)",IF(OR(ISNUMBER(SEARCH("گسکت",G25)),ISNUMBER(SEARCH("گسگت",G25))),"لاستیک درزگیر - دفرمگی/پارگی (تعویض)",IF(ISNUMBER(SEARCH("مخزن نمک",G25)),"نشتی - درب مخزن نمک (تعمیر/آب‌بندی)",IF(ISNUMBER(SEARCH("براکت",G25)),"نشتی - براکت ریل (تعمیر/آب‌بندی)",IF(ISNUMBER(SEARCH("جاپودر",G25)),"نشتی - جاپودری (تعمیر/آب‌بندی)",IF(ISNUMBER(SEARCH("مقسم",G25)),"نشتی - مقسم آب (تعمیر/آب‌بندی)",IF(OR(ISNUMBER(SEARCH("سنسور دما",G25)),ISNUMBER(SEARCH("ترموستات",G25))),"خرابی - ترموستات (تعویض)",IF(OR(ISNUMBER(SEARCH("هيدروستات",G25)),ISNUMBER(SEARCH("هیدروستات",G25))),"خرابی - هیدروستات (تعویض)",IF(OR(ISNUMBER(SEARCH("بلبرينگ",G25)),ISNUMBER(SEARCH("بلبرینگ",G25))),"خرابی - بلبرینگ (تعویض)",IF(OR(ISNUMBER(SEARCH("شيربرق",G25)),ISNUMBER(SEARCH("شیربرق",G25))),"خرابی - شیربرقی (تعویض)",IF(OR(ISNUMBER(SEARCH("واتر جت",G25)),ISNUMBER(SEARCH("واترجت",G25))),"خرابی - واترجت (تعویض)",IF(OR(ISNUMBER(SEARCH("سيم",G25)),ISNUMBER(SEARCH("سیم",G25)),ISNUMBER(SEARCH("اتصال",G25))),"سیم‌کشی/اتصالات (تعویض/بازبینی)",IF(OR(ISNUMBER(SEARCH("تصوير",G25)),ISNUMBER(SEARCH("تصویر",G25))),"برد نمایش تلویزیون (تعویض)",IF(OR(ISNUMBER(SEARCH("ريموت",G25)),ISNUMBER(SEARCH("ریموت",G25))),"ریموت کنترل (تعویض/تعمیر)",IF(OR(ISNUMBER(SEARCH("ال اي دي",G25)),ISNUMBER(SEARCH("ال ای دی",G25)),ISNUMBER(SEARCH("LED",G25))),"خرابی - لامپ/LED داخلی (تعویض)",IF(ISNUMBER(SEARCH("زنگ زدگ",G25)),"زنگ‌زدگی بدنه/قطعه (تعویض)",IF(OR(ISNUMBER(SEARCH("قطعات تزئين",G25)),ISNUMBER(SEARCH("قطعات تزئین",G25))),"قطعات تزئینی - شکستگی/کسری (تعویض)",IF(ISNUMBER(SEARCH("سبد",G25)),"سبد ظرفشویی - شکستگی (تعویض)",IF(ISNUMBER(SEARCH("تاب درام",G25)),"خرابی - تاب برداشتن درام (تعویض)",IF(ISNUMBER(SEARCH("درام",G25)),"خرابی - سایر ایراد درام (تعویض)",IF(ISNUMBER(SEARCH("موتور",G25)),"خرابی - موتور (تعویض)",IF(ISNUMBER(SEARCH("تسمه",G25)),"خرابی - تسمه (تعویض)",IF(OR(ISNUMBER(SEARCH("پيچ ولوم",G25)),ISNUMBER(SEARCH("پیچ ولوم",G25))),"تنظیم - پیچ ولوم/دکمه (تعمیر)",IF(OR(ISNUMBER(SEARCH("کسري قطعات",G25)),ISNUMBER(SEARCH("کسری قطعات",G25))),"کسری قطعات تزئینی (تعویض)",IF(ISNUMBER(SEARCH("پرچ",G25)),"پرچ/بدنه کابین(تعمیر)",IF(OR(ISNUMBER(SEARCH("نشت",G25)),ISNUMBER(SEARCH("آبريزش",G25)),ISNUMBER(SEARCH("آبریزش",G25))),"نشتی آب - محل نامشخص (نیازمند بازدید)",IF(ISNUMBER(SEARCH("درب",G25)),"سایر اجزای درب (بازبینی)",IF(ISNUMBER(SEARCH("ضربه",G25)),"بدنه/کابین - ضربه (بازبینی/تعویض پنل)",IF(ISNUMBER(SEARCH("تراز",G25)),"تراز/لرزش - نصب (رگلاژ پایه)",IF(OR(ISNUMBER(SEARCH("تعویض",G25)),ISNUMBER(SEARCH("تعويض",G25))),"تعویض کامل دستگاه (Replacement)","سایر (نیازمند بررسی دستی)")))))))))))))))))))))))))))))))))))))))))))</f>
        <v/>
      </c>
      <c r="P25" s="124" t="inlineStr">
        <is>
          <t>برد ساید بای ساید</t>
        </is>
      </c>
      <c r="Q25" s="124">
        <f>IF(ISNUMBER(SEARCH("عهده شرکت",F25)),"شرکت",IF(ISNUMBER(SEARCH("عهده مشتري",F25)),"مشتری",IF(ISNUMBER(SEARCH("عهده مشتری",F25)),"مشتری","نامشخص")))</f>
        <v/>
      </c>
      <c r="R25" s="178">
        <f>IF(O25="تعویض کامل دستگاه (Replacement)",IF(SUMIF('قیمت‌ها و مفروضات'!$A$9:$A$13,C25,'قیمت‌ها و مفروضات'!$C$9:$C$13)&lt;&gt;0,SUMIF('قیمت‌ها و مفروضات'!$A$9:$A$13,C25,'قیمت‌ها و مفروضات'!$C$9:$C$13),SUMIF('قیمت‌ها و مفروضات'!$A$9:$A$13,C25,'قیمت‌ها و مفروضات'!$B$9:$B$13)),IF(SUMIF('قیمت‌ها و مفروضات'!$A$18:$A$63,O25,'قیمت‌ها و مفروضات'!$C$18:$C$63)&lt;&gt;0,SUMIF('قیمت‌ها و مفروضات'!$A$18:$A$63,O25,'قیمت‌ها و مفروضات'!$C$18:$C$63),SUMIF('قیمت‌ها و مفروضات'!$A$18:$A$63,O25,'قیمت‌ها و مفروضات'!$B$18:$B$63)))</f>
        <v/>
      </c>
      <c r="S25" s="178">
        <f>'قیمت‌ها و مفروضات'!$B$3+'قیمت‌ها و مفروضات'!$B$4</f>
        <v/>
      </c>
      <c r="T25" s="178">
        <f>R25+S25</f>
        <v/>
      </c>
      <c r="U25" s="178">
        <f>IF(COUNTIF($E$2:E25,E25)&gt;1,"بله (تکراری)","خیر")</f>
        <v/>
      </c>
      <c r="V25" s="178">
        <f>IF(U25="بله (تکراری)",S25,0)</f>
        <v/>
      </c>
      <c r="W25" s="208" t="inlineStr"/>
      <c r="X25" s="208" t="inlineStr"/>
    </row>
    <row r="26" ht="58.5" customHeight="1" s="151">
      <c r="A26" s="176" t="n">
        <v>130004231</v>
      </c>
      <c r="B26" s="124">
        <f>CHOOSE(_xlfn.NUMBERVALUE(MID(H26,6,2)),"فروردین","اردیبهشت","خرداد","تیر","مرداد","شهریور","مهر","آبان","آذر","دی","بهمن","اسفند")</f>
        <v/>
      </c>
      <c r="C26" s="176" t="inlineStr">
        <is>
          <t>ماشين لباسشويي</t>
        </is>
      </c>
      <c r="D26" s="176" t="inlineStr">
        <is>
          <t>CWM-BMW8T1</t>
        </is>
      </c>
      <c r="E26" s="176" t="inlineStr">
        <is>
          <t>52210005N01155</t>
        </is>
      </c>
      <c r="F26" s="173" t="inlineStr">
        <is>
          <t>جمع شدن آب داخل محصول**اياب و ذهاب به عهده مشتري</t>
        </is>
      </c>
      <c r="G26" s="173" t="inlineStr">
        <is>
          <t>خرابي شيربرقي</t>
        </is>
      </c>
      <c r="H26" s="176" t="inlineStr">
        <is>
          <t>1405/01/29</t>
        </is>
      </c>
      <c r="I26" s="176" t="inlineStr">
        <is>
          <t>1403/02/17</t>
        </is>
      </c>
      <c r="J26" s="176" t="inlineStr">
        <is>
          <t>1403/08/27</t>
        </is>
      </c>
      <c r="K26" s="177">
        <f>IFERROR(VLOOKUP(LEFT(H26,7),'تبدیل تاریخ'!$A$2:$B$73,2,FALSE())+VALUE(RIGHT(H26,2))-1,"")</f>
        <v/>
      </c>
      <c r="L26" s="177">
        <f>IFERROR(VLOOKUP(LEFT(I26,7),'تبدیل تاریخ'!$A$2:$B$73,2,FALSE())+VALUE(RIGHT(I26,2))-1,"")</f>
        <v/>
      </c>
      <c r="M26" s="177">
        <f>IF(J26="","",IFERROR(VLOOKUP(LEFT(J26,7),'تبدیل تاریخ'!$A$2:$B$73,2,FALSE())+VALUE(RIGHT(J26,2))-1,""))</f>
        <v/>
      </c>
      <c r="N26" s="124">
        <f>IF(OR(K26="",M26=""),"",CEILING((K26-M26)/30,1))</f>
        <v/>
      </c>
      <c r="O26" s="124">
        <f>IF(OR(ISNUMBER(SEARCH("بدون مورد",G26)),ISNUMBER(SEARCH("غير گارانتي",G26)),ISNUMBER(SEARCH("غیر گارانتی",G26)),ISNUMBER(SEARCH("بدون اجرت",G26)),ISNUMBER(SEARCH("فيلتر",G26)),ISNUMBER(SEARCH("فیلتر",G26))),"غیرگارانتی/بدون قطعه",IF(OR(ISNUMBER(SEARCH("ريست",G26)),ISNUMBER(SEARCH("ریست",G26))),"ریست نرم‌افزاری (بدون قطعه)",IF(OR(ISNUMBER(SEARCH("تعویض محصول",G26)),ISNUMBER(SEARCH("تعویض دستگاه",G26))),"تعویض کامل دستگاه (Replacement)",IF(ISNUMBER(SEARCH("پمپ",G26)),IF(ISNUMBER(SEARCH("نشت",G26)),"نشتی - پمپ تخلیه (تعمیر/آب‌بندی)","خرابی - پمپ تخلیه (تعویض)"),IF(ISNUMBER(SEARCH("کمپرسور",G26)),"خرابی - کمپرسور (تعویض)",IF(ISNUMBER(SEARCH("کمک فنر",G26)),"خرابی - کمک فنر (تعویض)",IF(ISNUMBER(SEARCH("لولا",G26)),"مکانیزم درب - لولا (تعویض)",IF(OR(ISNUMBER(SEARCH("قلاب",G26)),ISNUMBER(SEARCH("ميکروسوئيچ",G26)),ISNUMBER(SEARCH("میکروسوئیچ",G26))),"مکانیزم درب - میکروسوئیچ/قلاب (تعویض/تنظیم)",IF(ISNUMBER(SEARCH("زبانه",G26)),"مکانیزم درب - زبانه (تعویض)",IF(OR(ISNUMBER(SEARCH("شيلنگ",G26)),ISNUMBER(SEARCH("شیلنگ",G26))),IF(OR(ISNUMBER(SEARCH("نشتی",G26)),ISNUMBER(SEARCH("نشتي",G26))),"نشتی - شیلنگ (تعمیر/آب‌بندی)",IF(OR(ISNUMBER(SEARCH("يخ",G26)),ISNUMBER(SEARCH("یخ",G26))),"شیلنگ یخساز - یخ‌زدگی (بازبینی)","شیلنگ - برخورد/لهیدگی (بازبینی)")),IF(OR(ISNUMBER(SEARCH("تنظيم ديسپل",G26)),ISNUMBER(SEARCH("تنظیم دیسپل",G26)),ISNUMBER(SEARCH("تنظيم صفحه نمايش",G26)),ISNUMBER(SEARCH("تنظیم صفحه نمایش",G26))),"تنظیم - تنظیمات دستگاه/دیسپلی (تعمیر)",IF(OR(ISNUMBER(SEARCH("برد",G26)),ISNUMBER(SEARCH("سوکت",G26)),ISNUMBER(SEARCH("ديسپل",G26)),ISNUMBER(SEARCH("دیسپل",G26))),"خرابی - برد الکترونیک (تعویض)",IF(OR(ISNUMBER(SEARCH("يخساز",G26)),ISNUMBER(SEARCH("یخساز",G26)),ISNUMBER(SEARCH("دمپر",G26))),IF(OR(ISNUMBER(SEARCH("خرابی",G26)),ISNUMBER(SEARCH("خراب",G26)),ISNUMBER(SEARCH("عدم کارکرد",G26)),ISNUMBER(SEARCH("عدم عملکرد",G26))),"یخساز - خرابی موتور/سنسور/برد (تعویض)","یخساز - تنظیم/عایق (تعمیر)"),IF(OR(ISNUMBER(SEARCH("لاستيک",G26)),ISNUMBER(SEARCH("لاستیک",G26))),"لاستیک درزگیر - دفرمگی/پارگی (تعویض)",IF(OR(ISNUMBER(SEARCH("گسکت",G26)),ISNUMBER(SEARCH("گسگت",G26))),"لاستیک درزگیر - دفرمگی/پارگی (تعویض)",IF(ISNUMBER(SEARCH("مخزن نمک",G26)),"نشتی - درب مخزن نمک (تعمیر/آب‌بندی)",IF(ISNUMBER(SEARCH("براکت",G26)),"نشتی - براکت ریل (تعمیر/آب‌بندی)",IF(ISNUMBER(SEARCH("جاپودر",G26)),"نشتی - جاپودری (تعمیر/آب‌بندی)",IF(ISNUMBER(SEARCH("مقسم",G26)),"نشتی - مقسم آب (تعمیر/آب‌بندی)",IF(OR(ISNUMBER(SEARCH("سنسور دما",G26)),ISNUMBER(SEARCH("ترموستات",G26))),"خرابی - ترموستات (تعویض)",IF(OR(ISNUMBER(SEARCH("هيدروستات",G26)),ISNUMBER(SEARCH("هیدروستات",G26))),"خرابی - هیدروستات (تعویض)",IF(OR(ISNUMBER(SEARCH("بلبرينگ",G26)),ISNUMBER(SEARCH("بلبرینگ",G26))),"خرابی - بلبرینگ (تعویض)",IF(OR(ISNUMBER(SEARCH("شيربرق",G26)),ISNUMBER(SEARCH("شیربرق",G26))),"خرابی - شیربرقی (تعویض)",IF(OR(ISNUMBER(SEARCH("واتر جت",G26)),ISNUMBER(SEARCH("واترجت",G26))),"خرابی - واترجت (تعویض)",IF(OR(ISNUMBER(SEARCH("سيم",G26)),ISNUMBER(SEARCH("سیم",G26)),ISNUMBER(SEARCH("اتصال",G26))),"سیم‌کشی/اتصالات (تعویض/بازبینی)",IF(OR(ISNUMBER(SEARCH("تصوير",G26)),ISNUMBER(SEARCH("تصویر",G26))),"برد نمایش تلویزیون (تعویض)",IF(OR(ISNUMBER(SEARCH("ريموت",G26)),ISNUMBER(SEARCH("ریموت",G26))),"ریموت کنترل (تعویض/تعمیر)",IF(OR(ISNUMBER(SEARCH("ال اي دي",G26)),ISNUMBER(SEARCH("ال ای دی",G26)),ISNUMBER(SEARCH("LED",G26))),"خرابی - لامپ/LED داخلی (تعویض)",IF(ISNUMBER(SEARCH("زنگ زدگ",G26)),"زنگ‌زدگی بدنه/قطعه (تعویض)",IF(OR(ISNUMBER(SEARCH("قطعات تزئين",G26)),ISNUMBER(SEARCH("قطعات تزئین",G26))),"قطعات تزئینی - شکستگی/کسری (تعویض)",IF(ISNUMBER(SEARCH("سبد",G26)),"سبد ظرفشویی - شکستگی (تعویض)",IF(ISNUMBER(SEARCH("تاب درام",G26)),"خرابی - تاب برداشتن درام (تعویض)",IF(ISNUMBER(SEARCH("درام",G26)),"خرابی - سایر ایراد درام (تعویض)",IF(ISNUMBER(SEARCH("موتور",G26)),"خرابی - موتور (تعویض)",IF(ISNUMBER(SEARCH("تسمه",G26)),"خرابی - تسمه (تعویض)",IF(OR(ISNUMBER(SEARCH("پيچ ولوم",G26)),ISNUMBER(SEARCH("پیچ ولوم",G26))),"تنظیم - پیچ ولوم/دکمه (تعمیر)",IF(OR(ISNUMBER(SEARCH("کسري قطعات",G26)),ISNUMBER(SEARCH("کسری قطعات",G26))),"کسری قطعات تزئینی (تعویض)",IF(ISNUMBER(SEARCH("پرچ",G26)),"پرچ/بدنه کابین(تعمیر)",IF(OR(ISNUMBER(SEARCH("نشت",G26)),ISNUMBER(SEARCH("آبريزش",G26)),ISNUMBER(SEARCH("آبریزش",G26))),"نشتی آب - محل نامشخص (نیازمند بازدید)",IF(ISNUMBER(SEARCH("درب",G26)),"سایر اجزای درب (بازبینی)",IF(ISNUMBER(SEARCH("ضربه",G26)),"بدنه/کابین - ضربه (بازبینی/تعویض پنل)",IF(ISNUMBER(SEARCH("تراز",G26)),"تراز/لرزش - نصب (رگلاژ پایه)",IF(OR(ISNUMBER(SEARCH("تعویض",G26)),ISNUMBER(SEARCH("تعويض",G26))),"تعویض کامل دستگاه (Replacement)","سایر (نیازمند بررسی دستی)")))))))))))))))))))))))))))))))))))))))))))</f>
        <v/>
      </c>
      <c r="P26" s="124" t="inlineStr">
        <is>
          <t>شیر برقی لباسشویی</t>
        </is>
      </c>
      <c r="Q26" s="124">
        <f>IF(ISNUMBER(SEARCH("عهده شرکت",F26)),"شرکت",IF(ISNUMBER(SEARCH("عهده مشتري",F26)),"مشتری",IF(ISNUMBER(SEARCH("عهده مشتری",F26)),"مشتری","نامشخص")))</f>
        <v/>
      </c>
      <c r="R26" s="178">
        <f>IF(O26="تعویض کامل دستگاه (Replacement)",IF(SUMIF('قیمت‌ها و مفروضات'!$A$9:$A$13,C26,'قیمت‌ها و مفروضات'!$C$9:$C$13)&lt;&gt;0,SUMIF('قیمت‌ها و مفروضات'!$A$9:$A$13,C26,'قیمت‌ها و مفروضات'!$C$9:$C$13),SUMIF('قیمت‌ها و مفروضات'!$A$9:$A$13,C26,'قیمت‌ها و مفروضات'!$B$9:$B$13)),IF(SUMIF('قیمت‌ها و مفروضات'!$A$18:$A$63,O26,'قیمت‌ها و مفروضات'!$C$18:$C$63)&lt;&gt;0,SUMIF('قیمت‌ها و مفروضات'!$A$18:$A$63,O26,'قیمت‌ها و مفروضات'!$C$18:$C$63),SUMIF('قیمت‌ها و مفروضات'!$A$18:$A$63,O26,'قیمت‌ها و مفروضات'!$B$18:$B$63)))</f>
        <v/>
      </c>
      <c r="S26" s="178">
        <f>'قیمت‌ها و مفروضات'!$B$3+'قیمت‌ها و مفروضات'!$B$4</f>
        <v/>
      </c>
      <c r="T26" s="178">
        <f>R26+S26</f>
        <v/>
      </c>
      <c r="U26" s="178">
        <f>IF(COUNTIF($E$2:E26,E26)&gt;1,"بله (تکراری)","خیر")</f>
        <v/>
      </c>
      <c r="V26" s="178">
        <f>IF(U26="بله (تکراری)",S26,0)</f>
        <v/>
      </c>
      <c r="W26" s="208" t="inlineStr"/>
      <c r="X26" s="208" t="inlineStr"/>
    </row>
    <row r="27" ht="58.5" customHeight="1" s="151">
      <c r="A27" s="176" t="n">
        <v>210005449</v>
      </c>
      <c r="B27" s="124">
        <f>CHOOSE(_xlfn.NUMBERVALUE(MID(H27,6,2)),"فروردین","اردیبهشت","خرداد","تیر","مرداد","شهریور","مهر","آبان","آذر","دی","بهمن","اسفند")</f>
        <v/>
      </c>
      <c r="C27" s="176" t="inlineStr">
        <is>
          <t>يخچال ميني</t>
        </is>
      </c>
      <c r="D27" s="176" t="inlineStr">
        <is>
          <t>CM-RS5BK1</t>
        </is>
      </c>
      <c r="E27" s="176" t="inlineStr">
        <is>
          <t>52240002N01230</t>
        </is>
      </c>
      <c r="F27" s="173" t="inlineStr">
        <is>
          <t>اياب و ذهاب به عهده شرکت خاموش بودن LED کاور / سقفي</t>
        </is>
      </c>
      <c r="G27" s="173" t="inlineStr">
        <is>
          <t>خرابي ال اي دي داخل کابين - يخچال ميني</t>
        </is>
      </c>
      <c r="H27" s="176" t="inlineStr">
        <is>
          <t>1405/01/29</t>
        </is>
      </c>
      <c r="I27" s="176" t="inlineStr">
        <is>
          <t>1404/05/22</t>
        </is>
      </c>
      <c r="J27" s="176" t="inlineStr">
        <is>
          <t>1404/08/10</t>
        </is>
      </c>
      <c r="K27" s="177">
        <f>IFERROR(VLOOKUP(LEFT(H27,7),'تبدیل تاریخ'!$A$2:$B$73,2,FALSE())+VALUE(RIGHT(H27,2))-1,"")</f>
        <v/>
      </c>
      <c r="L27" s="177">
        <f>IFERROR(VLOOKUP(LEFT(I27,7),'تبدیل تاریخ'!$A$2:$B$73,2,FALSE())+VALUE(RIGHT(I27,2))-1,"")</f>
        <v/>
      </c>
      <c r="M27" s="177">
        <f>IF(J27="","",IFERROR(VLOOKUP(LEFT(J27,7),'تبدیل تاریخ'!$A$2:$B$73,2,FALSE())+VALUE(RIGHT(J27,2))-1,""))</f>
        <v/>
      </c>
      <c r="N27" s="124">
        <f>IF(OR(K27="",M27=""),"",CEILING((K27-M27)/30,1))</f>
        <v/>
      </c>
      <c r="O27" s="124">
        <f>IF(OR(ISNUMBER(SEARCH("بدون مورد",G27)),ISNUMBER(SEARCH("غير گارانتي",G27)),ISNUMBER(SEARCH("غیر گارانتی",G27)),ISNUMBER(SEARCH("بدون اجرت",G27)),ISNUMBER(SEARCH("فيلتر",G27)),ISNUMBER(SEARCH("فیلتر",G27))),"غیرگارانتی/بدون قطعه",IF(OR(ISNUMBER(SEARCH("ريست",G27)),ISNUMBER(SEARCH("ریست",G27))),"ریست نرم‌افزاری (بدون قطعه)",IF(OR(ISNUMBER(SEARCH("تعویض محصول",G27)),ISNUMBER(SEARCH("تعویض دستگاه",G27))),"تعویض کامل دستگاه (Replacement)",IF(ISNUMBER(SEARCH("پمپ",G27)),IF(ISNUMBER(SEARCH("نشت",G27)),"نشتی - پمپ تخلیه (تعمیر/آب‌بندی)","خرابی - پمپ تخلیه (تعویض)"),IF(ISNUMBER(SEARCH("کمپرسور",G27)),"خرابی - کمپرسور (تعویض)",IF(ISNUMBER(SEARCH("کمک فنر",G27)),"خرابی - کمک فنر (تعویض)",IF(ISNUMBER(SEARCH("لولا",G27)),"مکانیزم درب - لولا (تعویض)",IF(OR(ISNUMBER(SEARCH("قلاب",G27)),ISNUMBER(SEARCH("ميکروسوئيچ",G27)),ISNUMBER(SEARCH("میکروسوئیچ",G27))),"مکانیزم درب - میکروسوئیچ/قلاب (تعویض/تنظیم)",IF(ISNUMBER(SEARCH("زبانه",G27)),"مکانیزم درب - زبانه (تعویض)",IF(OR(ISNUMBER(SEARCH("شيلنگ",G27)),ISNUMBER(SEARCH("شیلنگ",G27))),IF(OR(ISNUMBER(SEARCH("نشتی",G27)),ISNUMBER(SEARCH("نشتي",G27))),"نشتی - شیلنگ (تعمیر/آب‌بندی)",IF(OR(ISNUMBER(SEARCH("يخ",G27)),ISNUMBER(SEARCH("یخ",G27))),"شیلنگ یخساز - یخ‌زدگی (بازبینی)","شیلنگ - برخورد/لهیدگی (بازبینی)")),IF(OR(ISNUMBER(SEARCH("تنظيم ديسپل",G27)),ISNUMBER(SEARCH("تنظیم دیسپل",G27)),ISNUMBER(SEARCH("تنظيم صفحه نمايش",G27)),ISNUMBER(SEARCH("تنظیم صفحه نمایش",G27))),"تنظیم - تنظیمات دستگاه/دیسپلی (تعمیر)",IF(OR(ISNUMBER(SEARCH("برد",G27)),ISNUMBER(SEARCH("سوکت",G27)),ISNUMBER(SEARCH("ديسپل",G27)),ISNUMBER(SEARCH("دیسپل",G27))),"خرابی - برد الکترونیک (تعویض)",IF(OR(ISNUMBER(SEARCH("يخساز",G27)),ISNUMBER(SEARCH("یخساز",G27)),ISNUMBER(SEARCH("دمپر",G27))),IF(OR(ISNUMBER(SEARCH("خرابی",G27)),ISNUMBER(SEARCH("خراب",G27)),ISNUMBER(SEARCH("عدم کارکرد",G27)),ISNUMBER(SEARCH("عدم عملکرد",G27))),"یخساز - خرابی موتور/سنسور/برد (تعویض)","یخساز - تنظیم/عایق (تعمیر)"),IF(OR(ISNUMBER(SEARCH("لاستيک",G27)),ISNUMBER(SEARCH("لاستیک",G27))),"لاستیک درزگیر - دفرمگی/پارگی (تعویض)",IF(OR(ISNUMBER(SEARCH("گسکت",G27)),ISNUMBER(SEARCH("گسگت",G27))),"لاستیک درزگیر - دفرمگی/پارگی (تعویض)",IF(ISNUMBER(SEARCH("مخزن نمک",G27)),"نشتی - درب مخزن نمک (تعمیر/آب‌بندی)",IF(ISNUMBER(SEARCH("براکت",G27)),"نشتی - براکت ریل (تعمیر/آب‌بندی)",IF(ISNUMBER(SEARCH("جاپودر",G27)),"نشتی - جاپودری (تعمیر/آب‌بندی)",IF(ISNUMBER(SEARCH("مقسم",G27)),"نشتی - مقسم آب (تعمیر/آب‌بندی)",IF(OR(ISNUMBER(SEARCH("سنسور دما",G27)),ISNUMBER(SEARCH("ترموستات",G27))),"خرابی - ترموستات (تعویض)",IF(OR(ISNUMBER(SEARCH("هيدروستات",G27)),ISNUMBER(SEARCH("هیدروستات",G27))),"خرابی - هیدروستات (تعویض)",IF(OR(ISNUMBER(SEARCH("بلبرينگ",G27)),ISNUMBER(SEARCH("بلبرینگ",G27))),"خرابی - بلبرینگ (تعویض)",IF(OR(ISNUMBER(SEARCH("شيربرق",G27)),ISNUMBER(SEARCH("شیربرق",G27))),"خرابی - شیربرقی (تعویض)",IF(OR(ISNUMBER(SEARCH("واتر جت",G27)),ISNUMBER(SEARCH("واترجت",G27))),"خرابی - واترجت (تعویض)",IF(OR(ISNUMBER(SEARCH("سيم",G27)),ISNUMBER(SEARCH("سیم",G27)),ISNUMBER(SEARCH("اتصال",G27))),"سیم‌کشی/اتصالات (تعویض/بازبینی)",IF(OR(ISNUMBER(SEARCH("تصوير",G27)),ISNUMBER(SEARCH("تصویر",G27))),"برد نمایش تلویزیون (تعویض)",IF(OR(ISNUMBER(SEARCH("ريموت",G27)),ISNUMBER(SEARCH("ریموت",G27))),"ریموت کنترل (تعویض/تعمیر)",IF(OR(ISNUMBER(SEARCH("ال اي دي",G27)),ISNUMBER(SEARCH("ال ای دی",G27)),ISNUMBER(SEARCH("LED",G27))),"خرابی - لامپ/LED داخلی (تعویض)",IF(ISNUMBER(SEARCH("زنگ زدگ",G27)),"زنگ‌زدگی بدنه/قطعه (تعویض)",IF(OR(ISNUMBER(SEARCH("قطعات تزئين",G27)),ISNUMBER(SEARCH("قطعات تزئین",G27))),"قطعات تزئینی - شکستگی/کسری (تعویض)",IF(ISNUMBER(SEARCH("سبد",G27)),"سبد ظرفشویی - شکستگی (تعویض)",IF(ISNUMBER(SEARCH("تاب درام",G27)),"خرابی - تاب برداشتن درام (تعویض)",IF(ISNUMBER(SEARCH("درام",G27)),"خرابی - سایر ایراد درام (تعویض)",IF(ISNUMBER(SEARCH("موتور",G27)),"خرابی - موتور (تعویض)",IF(ISNUMBER(SEARCH("تسمه",G27)),"خرابی - تسمه (تعویض)",IF(OR(ISNUMBER(SEARCH("پيچ ولوم",G27)),ISNUMBER(SEARCH("پیچ ولوم",G27))),"تنظیم - پیچ ولوم/دکمه (تعمیر)",IF(OR(ISNUMBER(SEARCH("کسري قطعات",G27)),ISNUMBER(SEARCH("کسری قطعات",G27))),"کسری قطعات تزئینی (تعویض)",IF(ISNUMBER(SEARCH("پرچ",G27)),"پرچ/بدنه کابین(تعمیر)",IF(OR(ISNUMBER(SEARCH("نشت",G27)),ISNUMBER(SEARCH("آبريزش",G27)),ISNUMBER(SEARCH("آبریزش",G27))),"نشتی آب - محل نامشخص (نیازمند بازدید)",IF(ISNUMBER(SEARCH("درب",G27)),"سایر اجزای درب (بازبینی)",IF(ISNUMBER(SEARCH("ضربه",G27)),"بدنه/کابین - ضربه (بازبینی/تعویض پنل)",IF(ISNUMBER(SEARCH("تراز",G27)),"تراز/لرزش - نصب (رگلاژ پایه)",IF(OR(ISNUMBER(SEARCH("تعویض",G27)),ISNUMBER(SEARCH("تعويض",G27))),"تعویض کامل دستگاه (Replacement)","سایر (نیازمند بررسی دستی)")))))))))))))))))))))))))))))))))))))))))))</f>
        <v/>
      </c>
      <c r="P27" s="124" t="inlineStr">
        <is>
          <t>لامپ مینی</t>
        </is>
      </c>
      <c r="Q27" s="124">
        <f>IF(ISNUMBER(SEARCH("عهده شرکت",F27)),"شرکت",IF(ISNUMBER(SEARCH("عهده مشتري",F27)),"مشتری",IF(ISNUMBER(SEARCH("عهده مشتری",F27)),"مشتری","نامشخص")))</f>
        <v/>
      </c>
      <c r="R27" s="178">
        <f>IF(O27="تعویض کامل دستگاه (Replacement)",IF(SUMIF('قیمت‌ها و مفروضات'!$A$9:$A$13,C27,'قیمت‌ها و مفروضات'!$C$9:$C$13)&lt;&gt;0,SUMIF('قیمت‌ها و مفروضات'!$A$9:$A$13,C27,'قیمت‌ها و مفروضات'!$C$9:$C$13),SUMIF('قیمت‌ها و مفروضات'!$A$9:$A$13,C27,'قیمت‌ها و مفروضات'!$B$9:$B$13)),IF(SUMIF('قیمت‌ها و مفروضات'!$A$18:$A$63,O27,'قیمت‌ها و مفروضات'!$C$18:$C$63)&lt;&gt;0,SUMIF('قیمت‌ها و مفروضات'!$A$18:$A$63,O27,'قیمت‌ها و مفروضات'!$C$18:$C$63),SUMIF('قیمت‌ها و مفروضات'!$A$18:$A$63,O27,'قیمت‌ها و مفروضات'!$B$18:$B$63)))</f>
        <v/>
      </c>
      <c r="S27" s="178">
        <f>'قیمت‌ها و مفروضات'!$B$3+'قیمت‌ها و مفروضات'!$B$4</f>
        <v/>
      </c>
      <c r="T27" s="178">
        <f>R27+S27</f>
        <v/>
      </c>
      <c r="U27" s="178">
        <f>IF(COUNTIF($E$2:E27,E27)&gt;1,"بله (تکراری)","خیر")</f>
        <v/>
      </c>
      <c r="V27" s="178">
        <f>IF(U27="بله (تکراری)",S27,0)</f>
        <v/>
      </c>
      <c r="W27" s="208" t="inlineStr"/>
      <c r="X27" s="208" t="inlineStr"/>
    </row>
    <row r="28" ht="58.5" customHeight="1" s="151">
      <c r="A28" s="176" t="n">
        <v>130004712</v>
      </c>
      <c r="B28" s="124">
        <f>CHOOSE(_xlfn.NUMBERVALUE(MID(H28,6,2)),"فروردین","اردیبهشت","خرداد","تیر","مرداد","شهریور","مهر","آبان","آذر","دی","بهمن","اسفند")</f>
        <v/>
      </c>
      <c r="C28" s="176" t="inlineStr">
        <is>
          <t>ماشين لباسشويي</t>
        </is>
      </c>
      <c r="D28" s="176" t="inlineStr">
        <is>
          <t>CWM-BMW9T1</t>
        </is>
      </c>
      <c r="E28" s="176" t="inlineStr">
        <is>
          <t>52210008N00836</t>
        </is>
      </c>
      <c r="F28" s="173" t="inlineStr">
        <is>
          <t>صداي غيرعادي هنگام خشک کن**اياب و ذهاب به عهده شرکت</t>
        </is>
      </c>
      <c r="G28" s="173" t="inlineStr">
        <is>
          <t>خرابي پمپ تخليه</t>
        </is>
      </c>
      <c r="H28" s="176" t="inlineStr">
        <is>
          <t>1405/01/26</t>
        </is>
      </c>
      <c r="I28" s="176" t="inlineStr">
        <is>
          <t>1404/03/04</t>
        </is>
      </c>
      <c r="J28" s="176" t="inlineStr">
        <is>
          <t>1404/05/21</t>
        </is>
      </c>
      <c r="K28" s="177">
        <f>IFERROR(VLOOKUP(LEFT(H28,7),'تبدیل تاریخ'!$A$2:$B$73,2,FALSE())+VALUE(RIGHT(H28,2))-1,"")</f>
        <v/>
      </c>
      <c r="L28" s="177">
        <f>IFERROR(VLOOKUP(LEFT(I28,7),'تبدیل تاریخ'!$A$2:$B$73,2,FALSE())+VALUE(RIGHT(I28,2))-1,"")</f>
        <v/>
      </c>
      <c r="M28" s="177">
        <f>IF(J28="","",IFERROR(VLOOKUP(LEFT(J28,7),'تبدیل تاریخ'!$A$2:$B$73,2,FALSE())+VALUE(RIGHT(J28,2))-1,""))</f>
        <v/>
      </c>
      <c r="N28" s="124">
        <f>IF(OR(K28="",M28=""),"",CEILING((K28-M28)/30,1))</f>
        <v/>
      </c>
      <c r="O28" s="124">
        <f>IF(OR(ISNUMBER(SEARCH("بدون مورد",G28)),ISNUMBER(SEARCH("غير گارانتي",G28)),ISNUMBER(SEARCH("غیر گارانتی",G28)),ISNUMBER(SEARCH("بدون اجرت",G28)),ISNUMBER(SEARCH("فيلتر",G28)),ISNUMBER(SEARCH("فیلتر",G28))),"غیرگارانتی/بدون قطعه",IF(OR(ISNUMBER(SEARCH("ريست",G28)),ISNUMBER(SEARCH("ریست",G28))),"ریست نرم‌افزاری (بدون قطعه)",IF(OR(ISNUMBER(SEARCH("تعویض محصول",G28)),ISNUMBER(SEARCH("تعویض دستگاه",G28))),"تعویض کامل دستگاه (Replacement)",IF(ISNUMBER(SEARCH("پمپ",G28)),IF(ISNUMBER(SEARCH("نشت",G28)),"نشتی - پمپ تخلیه (تعمیر/آب‌بندی)","خرابی - پمپ تخلیه (تعویض)"),IF(ISNUMBER(SEARCH("کمپرسور",G28)),"خرابی - کمپرسور (تعویض)",IF(ISNUMBER(SEARCH("کمک فنر",G28)),"خرابی - کمک فنر (تعویض)",IF(ISNUMBER(SEARCH("لولا",G28)),"مکانیزم درب - لولا (تعویض)",IF(OR(ISNUMBER(SEARCH("قلاب",G28)),ISNUMBER(SEARCH("ميکروسوئيچ",G28)),ISNUMBER(SEARCH("میکروسوئیچ",G28))),"مکانیزم درب - میکروسوئیچ/قلاب (تعویض/تنظیم)",IF(ISNUMBER(SEARCH("زبانه",G28)),"مکانیزم درب - زبانه (تعویض)",IF(OR(ISNUMBER(SEARCH("شيلنگ",G28)),ISNUMBER(SEARCH("شیلنگ",G28))),IF(OR(ISNUMBER(SEARCH("نشتی",G28)),ISNUMBER(SEARCH("نشتي",G28))),"نشتی - شیلنگ (تعمیر/آب‌بندی)",IF(OR(ISNUMBER(SEARCH("يخ",G28)),ISNUMBER(SEARCH("یخ",G28))),"شیلنگ یخساز - یخ‌زدگی (بازبینی)","شیلنگ - برخورد/لهیدگی (بازبینی)")),IF(OR(ISNUMBER(SEARCH("تنظيم ديسپل",G28)),ISNUMBER(SEARCH("تنظیم دیسپل",G28)),ISNUMBER(SEARCH("تنظيم صفحه نمايش",G28)),ISNUMBER(SEARCH("تنظیم صفحه نمایش",G28))),"تنظیم - تنظیمات دستگاه/دیسپلی (تعمیر)",IF(OR(ISNUMBER(SEARCH("برد",G28)),ISNUMBER(SEARCH("سوکت",G28)),ISNUMBER(SEARCH("ديسپل",G28)),ISNUMBER(SEARCH("دیسپل",G28))),"خرابی - برد الکترونیک (تعویض)",IF(OR(ISNUMBER(SEARCH("يخساز",G28)),ISNUMBER(SEARCH("یخساز",G28)),ISNUMBER(SEARCH("دمپر",G28))),IF(OR(ISNUMBER(SEARCH("خرابی",G28)),ISNUMBER(SEARCH("خراب",G28)),ISNUMBER(SEARCH("عدم کارکرد",G28)),ISNUMBER(SEARCH("عدم عملکرد",G28))),"یخساز - خرابی موتور/سنسور/برد (تعویض)","یخساز - تنظیم/عایق (تعمیر)"),IF(OR(ISNUMBER(SEARCH("لاستيک",G28)),ISNUMBER(SEARCH("لاستیک",G28))),"لاستیک درزگیر - دفرمگی/پارگی (تعویض)",IF(OR(ISNUMBER(SEARCH("گسکت",G28)),ISNUMBER(SEARCH("گسگت",G28))),"لاستیک درزگیر - دفرمگی/پارگی (تعویض)",IF(ISNUMBER(SEARCH("مخزن نمک",G28)),"نشتی - درب مخزن نمک (تعمیر/آب‌بندی)",IF(ISNUMBER(SEARCH("براکت",G28)),"نشتی - براکت ریل (تعمیر/آب‌بندی)",IF(ISNUMBER(SEARCH("جاپودر",G28)),"نشتی - جاپودری (تعمیر/آب‌بندی)",IF(ISNUMBER(SEARCH("مقسم",G28)),"نشتی - مقسم آب (تعمیر/آب‌بندی)",IF(OR(ISNUMBER(SEARCH("سنسور دما",G28)),ISNUMBER(SEARCH("ترموستات",G28))),"خرابی - ترموستات (تعویض)",IF(OR(ISNUMBER(SEARCH("هيدروستات",G28)),ISNUMBER(SEARCH("هیدروستات",G28))),"خرابی - هیدروستات (تعویض)",IF(OR(ISNUMBER(SEARCH("بلبرينگ",G28)),ISNUMBER(SEARCH("بلبرینگ",G28))),"خرابی - بلبرینگ (تعویض)",IF(OR(ISNUMBER(SEARCH("شيربرق",G28)),ISNUMBER(SEARCH("شیربرق",G28))),"خرابی - شیربرقی (تعویض)",IF(OR(ISNUMBER(SEARCH("واتر جت",G28)),ISNUMBER(SEARCH("واترجت",G28))),"خرابی - واترجت (تعویض)",IF(OR(ISNUMBER(SEARCH("سيم",G28)),ISNUMBER(SEARCH("سیم",G28)),ISNUMBER(SEARCH("اتصال",G28))),"سیم‌کشی/اتصالات (تعویض/بازبینی)",IF(OR(ISNUMBER(SEARCH("تصوير",G28)),ISNUMBER(SEARCH("تصویر",G28))),"برد نمایش تلویزیون (تعویض)",IF(OR(ISNUMBER(SEARCH("ريموت",G28)),ISNUMBER(SEARCH("ریموت",G28))),"ریموت کنترل (تعویض/تعمیر)",IF(OR(ISNUMBER(SEARCH("ال اي دي",G28)),ISNUMBER(SEARCH("ال ای دی",G28)),ISNUMBER(SEARCH("LED",G28))),"خرابی - لامپ/LED داخلی (تعویض)",IF(ISNUMBER(SEARCH("زنگ زدگ",G28)),"زنگ‌زدگی بدنه/قطعه (تعویض)",IF(OR(ISNUMBER(SEARCH("قطعات تزئين",G28)),ISNUMBER(SEARCH("قطعات تزئین",G28))),"قطعات تزئینی - شکستگی/کسری (تعویض)",IF(ISNUMBER(SEARCH("سبد",G28)),"سبد ظرفشویی - شکستگی (تعویض)",IF(ISNUMBER(SEARCH("تاب درام",G28)),"خرابی - تاب برداشتن درام (تعویض)",IF(ISNUMBER(SEARCH("درام",G28)),"خرابی - سایر ایراد درام (تعویض)",IF(ISNUMBER(SEARCH("موتور",G28)),"خرابی - موتور (تعویض)",IF(ISNUMBER(SEARCH("تسمه",G28)),"خرابی - تسمه (تعویض)",IF(OR(ISNUMBER(SEARCH("پيچ ولوم",G28)),ISNUMBER(SEARCH("پیچ ولوم",G28))),"تنظیم - پیچ ولوم/دکمه (تعمیر)",IF(OR(ISNUMBER(SEARCH("کسري قطعات",G28)),ISNUMBER(SEARCH("کسری قطعات",G28))),"کسری قطعات تزئینی (تعویض)",IF(ISNUMBER(SEARCH("پرچ",G28)),"پرچ/بدنه کابین(تعمیر)",IF(OR(ISNUMBER(SEARCH("نشت",G28)),ISNUMBER(SEARCH("آبريزش",G28)),ISNUMBER(SEARCH("آبریزش",G28))),"نشتی آب - محل نامشخص (نیازمند بازدید)",IF(ISNUMBER(SEARCH("درب",G28)),"سایر اجزای درب (بازبینی)",IF(ISNUMBER(SEARCH("ضربه",G28)),"بدنه/کابین - ضربه (بازبینی/تعویض پنل)",IF(ISNUMBER(SEARCH("تراز",G28)),"تراز/لرزش - نصب (رگلاژ پایه)",IF(OR(ISNUMBER(SEARCH("تعویض",G28)),ISNUMBER(SEARCH("تعويض",G28))),"تعویض کامل دستگاه (Replacement)","سایر (نیازمند بررسی دستی)")))))))))))))))))))))))))))))))))))))))))))</f>
        <v/>
      </c>
      <c r="P28" s="124" t="inlineStr">
        <is>
          <t>پمپ تخلیه لباسشویی</t>
        </is>
      </c>
      <c r="Q28" s="124">
        <f>IF(ISNUMBER(SEARCH("عهده شرکت",F28)),"شرکت",IF(ISNUMBER(SEARCH("عهده مشتري",F28)),"مشتری",IF(ISNUMBER(SEARCH("عهده مشتری",F28)),"مشتری","نامشخص")))</f>
        <v/>
      </c>
      <c r="R28" s="178">
        <f>IF(O28="تعویض کامل دستگاه (Replacement)",IF(SUMIF('قیمت‌ها و مفروضات'!$A$9:$A$13,C28,'قیمت‌ها و مفروضات'!$C$9:$C$13)&lt;&gt;0,SUMIF('قیمت‌ها و مفروضات'!$A$9:$A$13,C28,'قیمت‌ها و مفروضات'!$C$9:$C$13),SUMIF('قیمت‌ها و مفروضات'!$A$9:$A$13,C28,'قیمت‌ها و مفروضات'!$B$9:$B$13)),IF(SUMIF('قیمت‌ها و مفروضات'!$A$18:$A$63,O28,'قیمت‌ها و مفروضات'!$C$18:$C$63)&lt;&gt;0,SUMIF('قیمت‌ها و مفروضات'!$A$18:$A$63,O28,'قیمت‌ها و مفروضات'!$C$18:$C$63),SUMIF('قیمت‌ها و مفروضات'!$A$18:$A$63,O28,'قیمت‌ها و مفروضات'!$B$18:$B$63)))</f>
        <v/>
      </c>
      <c r="S28" s="178">
        <f>'قیمت‌ها و مفروضات'!$B$3+'قیمت‌ها و مفروضات'!$B$4</f>
        <v/>
      </c>
      <c r="T28" s="178">
        <f>R28+S28</f>
        <v/>
      </c>
      <c r="U28" s="178">
        <f>IF(COUNTIF($E$2:E28,E28)&gt;1,"بله (تکراری)","خیر")</f>
        <v/>
      </c>
      <c r="V28" s="178">
        <f>IF(U28="بله (تکراری)",S28,0)</f>
        <v/>
      </c>
      <c r="W28" s="208" t="inlineStr"/>
      <c r="X28" s="208" t="inlineStr"/>
    </row>
    <row r="29" ht="58.5" customHeight="1" s="151">
      <c r="A29" s="176" t="n">
        <v>130004239</v>
      </c>
      <c r="B29" s="124">
        <f>CHOOSE(_xlfn.NUMBERVALUE(MID(H29,6,2)),"فروردین","اردیبهشت","خرداد","تیر","مرداد","شهریور","مهر","آبان","آذر","دی","بهمن","اسفند")</f>
        <v/>
      </c>
      <c r="C29" s="176" t="inlineStr">
        <is>
          <t>یخچال ساید‌بای‌ساید</t>
        </is>
      </c>
      <c r="D29" s="176" t="inlineStr">
        <is>
          <t>C2S-29HS1</t>
        </is>
      </c>
      <c r="E29" s="176" t="inlineStr">
        <is>
          <t>52240001N01972</t>
        </is>
      </c>
      <c r="F29" s="173" t="inlineStr">
        <is>
          <t>عدم کارکرد يخساز**اياب و ذهاب به عهده شرکت</t>
        </is>
      </c>
      <c r="G29" s="173" t="inlineStr">
        <is>
          <t>خرابي برد - عدم کارکرد يخساز - سايد باي سايد</t>
        </is>
      </c>
      <c r="H29" s="176" t="inlineStr">
        <is>
          <t>1405/01/24</t>
        </is>
      </c>
      <c r="I29" s="176" t="inlineStr">
        <is>
          <t>1403/09/08</t>
        </is>
      </c>
      <c r="J29" s="176" t="inlineStr">
        <is>
          <t>1404/12/09</t>
        </is>
      </c>
      <c r="K29" s="177">
        <f>IFERROR(VLOOKUP(LEFT(H29,7),'تبدیل تاریخ'!$A$2:$B$73,2,FALSE())+VALUE(RIGHT(H29,2))-1,"")</f>
        <v/>
      </c>
      <c r="L29" s="177">
        <f>IFERROR(VLOOKUP(LEFT(I29,7),'تبدیل تاریخ'!$A$2:$B$73,2,FALSE())+VALUE(RIGHT(I29,2))-1,"")</f>
        <v/>
      </c>
      <c r="M29" s="177">
        <f>IF(J29="","",IFERROR(VLOOKUP(LEFT(J29,7),'تبدیل تاریخ'!$A$2:$B$73,2,FALSE())+VALUE(RIGHT(J29,2))-1,""))</f>
        <v/>
      </c>
      <c r="N29" s="124">
        <f>IF(OR(K29="",M29=""),"",CEILING((K29-M29)/30,1))</f>
        <v/>
      </c>
      <c r="O29" s="124">
        <f>IF(OR(ISNUMBER(SEARCH("بدون مورد",G29)),ISNUMBER(SEARCH("غير گارانتي",G29)),ISNUMBER(SEARCH("غیر گارانتی",G29)),ISNUMBER(SEARCH("بدون اجرت",G29)),ISNUMBER(SEARCH("فيلتر",G29)),ISNUMBER(SEARCH("فیلتر",G29))),"غیرگارانتی/بدون قطعه",IF(OR(ISNUMBER(SEARCH("ريست",G29)),ISNUMBER(SEARCH("ریست",G29))),"ریست نرم‌افزاری (بدون قطعه)",IF(OR(ISNUMBER(SEARCH("تعویض محصول",G29)),ISNUMBER(SEARCH("تعویض دستگاه",G29))),"تعویض کامل دستگاه (Replacement)",IF(ISNUMBER(SEARCH("پمپ",G29)),IF(ISNUMBER(SEARCH("نشت",G29)),"نشتی - پمپ تخلیه (تعمیر/آب‌بندی)","خرابی - پمپ تخلیه (تعویض)"),IF(ISNUMBER(SEARCH("کمپرسور",G29)),"خرابی - کمپرسور (تعویض)",IF(ISNUMBER(SEARCH("کمک فنر",G29)),"خرابی - کمک فنر (تعویض)",IF(ISNUMBER(SEARCH("لولا",G29)),"مکانیزم درب - لولا (تعویض)",IF(OR(ISNUMBER(SEARCH("قلاب",G29)),ISNUMBER(SEARCH("ميکروسوئيچ",G29)),ISNUMBER(SEARCH("میکروسوئیچ",G29))),"مکانیزم درب - میکروسوئیچ/قلاب (تعویض/تنظیم)",IF(ISNUMBER(SEARCH("زبانه",G29)),"مکانیزم درب - زبانه (تعویض)",IF(OR(ISNUMBER(SEARCH("شيلنگ",G29)),ISNUMBER(SEARCH("شیلنگ",G29))),IF(OR(ISNUMBER(SEARCH("نشتی",G29)),ISNUMBER(SEARCH("نشتي",G29))),"نشتی - شیلنگ (تعمیر/آب‌بندی)",IF(OR(ISNUMBER(SEARCH("يخ",G29)),ISNUMBER(SEARCH("یخ",G29))),"شیلنگ یخساز - یخ‌زدگی (بازبینی)","شیلنگ - برخورد/لهیدگی (بازبینی)")),IF(OR(ISNUMBER(SEARCH("تنظيم ديسپل",G29)),ISNUMBER(SEARCH("تنظیم دیسپل",G29)),ISNUMBER(SEARCH("تنظيم صفحه نمايش",G29)),ISNUMBER(SEARCH("تنظیم صفحه نمایش",G29))),"تنظیم - تنظیمات دستگاه/دیسپلی (تعمیر)",IF(OR(ISNUMBER(SEARCH("برد",G29)),ISNUMBER(SEARCH("سوکت",G29)),ISNUMBER(SEARCH("ديسپل",G29)),ISNUMBER(SEARCH("دیسپل",G29))),"خرابی - برد الکترونیک (تعویض)",IF(OR(ISNUMBER(SEARCH("يخساز",G29)),ISNUMBER(SEARCH("یخساز",G29)),ISNUMBER(SEARCH("دمپر",G29))),IF(OR(ISNUMBER(SEARCH("خرابی",G29)),ISNUMBER(SEARCH("خراب",G29)),ISNUMBER(SEARCH("عدم کارکرد",G29)),ISNUMBER(SEARCH("عدم عملکرد",G29))),"یخساز - خرابی موتور/سنسور/برد (تعویض)","یخساز - تنظیم/عایق (تعمیر)"),IF(OR(ISNUMBER(SEARCH("لاستيک",G29)),ISNUMBER(SEARCH("لاستیک",G29))),"لاستیک درزگیر - دفرمگی/پارگی (تعویض)",IF(OR(ISNUMBER(SEARCH("گسکت",G29)),ISNUMBER(SEARCH("گسگت",G29))),"لاستیک درزگیر - دفرمگی/پارگی (تعویض)",IF(ISNUMBER(SEARCH("مخزن نمک",G29)),"نشتی - درب مخزن نمک (تعمیر/آب‌بندی)",IF(ISNUMBER(SEARCH("براکت",G29)),"نشتی - براکت ریل (تعمیر/آب‌بندی)",IF(ISNUMBER(SEARCH("جاپودر",G29)),"نشتی - جاپودری (تعمیر/آب‌بندی)",IF(ISNUMBER(SEARCH("مقسم",G29)),"نشتی - مقسم آب (تعمیر/آب‌بندی)",IF(OR(ISNUMBER(SEARCH("سنسور دما",G29)),ISNUMBER(SEARCH("ترموستات",G29))),"خرابی - ترموستات (تعویض)",IF(OR(ISNUMBER(SEARCH("هيدروستات",G29)),ISNUMBER(SEARCH("هیدروستات",G29))),"خرابی - هیدروستات (تعویض)",IF(OR(ISNUMBER(SEARCH("بلبرينگ",G29)),ISNUMBER(SEARCH("بلبرینگ",G29))),"خرابی - بلبرینگ (تعویض)",IF(OR(ISNUMBER(SEARCH("شيربرق",G29)),ISNUMBER(SEARCH("شیربرق",G29))),"خرابی - شیربرقی (تعویض)",IF(OR(ISNUMBER(SEARCH("واتر جت",G29)),ISNUMBER(SEARCH("واترجت",G29))),"خرابی - واترجت (تعویض)",IF(OR(ISNUMBER(SEARCH("سيم",G29)),ISNUMBER(SEARCH("سیم",G29)),ISNUMBER(SEARCH("اتصال",G29))),"سیم‌کشی/اتصالات (تعویض/بازبینی)",IF(OR(ISNUMBER(SEARCH("تصوير",G29)),ISNUMBER(SEARCH("تصویر",G29))),"برد نمایش تلویزیون (تعویض)",IF(OR(ISNUMBER(SEARCH("ريموت",G29)),ISNUMBER(SEARCH("ریموت",G29))),"ریموت کنترل (تعویض/تعمیر)",IF(OR(ISNUMBER(SEARCH("ال اي دي",G29)),ISNUMBER(SEARCH("ال ای دی",G29)),ISNUMBER(SEARCH("LED",G29))),"خرابی - لامپ/LED داخلی (تعویض)",IF(ISNUMBER(SEARCH("زنگ زدگ",G29)),"زنگ‌زدگی بدنه/قطعه (تعویض)",IF(OR(ISNUMBER(SEARCH("قطعات تزئين",G29)),ISNUMBER(SEARCH("قطعات تزئین",G29))),"قطعات تزئینی - شکستگی/کسری (تعویض)",IF(ISNUMBER(SEARCH("سبد",G29)),"سبد ظرفشویی - شکستگی (تعویض)",IF(ISNUMBER(SEARCH("تاب درام",G29)),"خرابی - تاب برداشتن درام (تعویض)",IF(ISNUMBER(SEARCH("درام",G29)),"خرابی - سایر ایراد درام (تعویض)",IF(ISNUMBER(SEARCH("موتور",G29)),"خرابی - موتور (تعویض)",IF(ISNUMBER(SEARCH("تسمه",G29)),"خرابی - تسمه (تعویض)",IF(OR(ISNUMBER(SEARCH("پيچ ولوم",G29)),ISNUMBER(SEARCH("پیچ ولوم",G29))),"تنظیم - پیچ ولوم/دکمه (تعمیر)",IF(OR(ISNUMBER(SEARCH("کسري قطعات",G29)),ISNUMBER(SEARCH("کسری قطعات",G29))),"کسری قطعات تزئینی (تعویض)",IF(ISNUMBER(SEARCH("پرچ",G29)),"پرچ/بدنه کابین(تعمیر)",IF(OR(ISNUMBER(SEARCH("نشت",G29)),ISNUMBER(SEARCH("آبريزش",G29)),ISNUMBER(SEARCH("آبریزش",G29))),"نشتی آب - محل نامشخص (نیازمند بازدید)",IF(ISNUMBER(SEARCH("درب",G29)),"سایر اجزای درب (بازبینی)",IF(ISNUMBER(SEARCH("ضربه",G29)),"بدنه/کابین - ضربه (بازبینی/تعویض پنل)",IF(ISNUMBER(SEARCH("تراز",G29)),"تراز/لرزش - نصب (رگلاژ پایه)",IF(OR(ISNUMBER(SEARCH("تعویض",G29)),ISNUMBER(SEARCH("تعويض",G29))),"تعویض کامل دستگاه (Replacement)","سایر (نیازمند بررسی دستی)")))))))))))))))))))))))))))))))))))))))))))</f>
        <v/>
      </c>
      <c r="P29" s="124" t="inlineStr">
        <is>
          <t>برد ساید بای ساید</t>
        </is>
      </c>
      <c r="Q29" s="124">
        <f>IF(ISNUMBER(SEARCH("عهده شرکت",F29)),"شرکت",IF(ISNUMBER(SEARCH("عهده مشتري",F29)),"مشتری",IF(ISNUMBER(SEARCH("عهده مشتری",F29)),"مشتری","نامشخص")))</f>
        <v/>
      </c>
      <c r="R29" s="178">
        <f>IF(O29="تعویض کامل دستگاه (Replacement)",IF(SUMIF('قیمت‌ها و مفروضات'!$A$9:$A$13,C29,'قیمت‌ها و مفروضات'!$C$9:$C$13)&lt;&gt;0,SUMIF('قیمت‌ها و مفروضات'!$A$9:$A$13,C29,'قیمت‌ها و مفروضات'!$C$9:$C$13),SUMIF('قیمت‌ها و مفروضات'!$A$9:$A$13,C29,'قیمت‌ها و مفروضات'!$B$9:$B$13)),IF(SUMIF('قیمت‌ها و مفروضات'!$A$18:$A$63,O29,'قیمت‌ها و مفروضات'!$C$18:$C$63)&lt;&gt;0,SUMIF('قیمت‌ها و مفروضات'!$A$18:$A$63,O29,'قیمت‌ها و مفروضات'!$C$18:$C$63),SUMIF('قیمت‌ها و مفروضات'!$A$18:$A$63,O29,'قیمت‌ها و مفروضات'!$B$18:$B$63)))</f>
        <v/>
      </c>
      <c r="S29" s="178">
        <f>'قیمت‌ها و مفروضات'!$B$3+'قیمت‌ها و مفروضات'!$B$4</f>
        <v/>
      </c>
      <c r="T29" s="178">
        <f>R29+S29</f>
        <v/>
      </c>
      <c r="U29" s="178">
        <f>IF(COUNTIF($E$2:E29,E29)&gt;1,"بله (تکراری)","خیر")</f>
        <v/>
      </c>
      <c r="V29" s="178">
        <f>IF(U29="بله (تکراری)",S29,0)</f>
        <v/>
      </c>
      <c r="W29" s="208" t="inlineStr"/>
      <c r="X29" s="208" t="inlineStr"/>
    </row>
    <row r="30" ht="58.5" customHeight="1" s="151">
      <c r="A30" s="176" t="n">
        <v>210005441</v>
      </c>
      <c r="B30" s="124">
        <f>CHOOSE(_xlfn.NUMBERVALUE(MID(H30,6,2)),"فروردین","اردیبهشت","خرداد","تیر","مرداد","شهریور","مهر","آبان","آذر","دی","بهمن","اسفند")</f>
        <v/>
      </c>
      <c r="C30" s="176" t="inlineStr">
        <is>
          <t>یخچال ساید‌بای‌ساید</t>
        </is>
      </c>
      <c r="D30" s="176" t="inlineStr">
        <is>
          <t>C2S-29HS1</t>
        </is>
      </c>
      <c r="E30" s="176" t="inlineStr">
        <is>
          <t>52240001N01596</t>
        </is>
      </c>
      <c r="F30" s="173" t="inlineStr">
        <is>
          <t>اياب و ذهاب به عهده شرکت**جدا شدن قالب يخساز</t>
        </is>
      </c>
      <c r="G30" s="173" t="inlineStr">
        <is>
          <t>اصلاح دمپر پلاستيکي پشت کابين - سايد باي سايد</t>
        </is>
      </c>
      <c r="H30" s="176" t="inlineStr">
        <is>
          <t>1405/01/29</t>
        </is>
      </c>
      <c r="I30" s="176" t="inlineStr">
        <is>
          <t>1403/07/22</t>
        </is>
      </c>
      <c r="J30" s="176" t="inlineStr">
        <is>
          <t>1404/04/16</t>
        </is>
      </c>
      <c r="K30" s="177">
        <f>IFERROR(VLOOKUP(LEFT(H30,7),'تبدیل تاریخ'!$A$2:$B$73,2,FALSE())+VALUE(RIGHT(H30,2))-1,"")</f>
        <v/>
      </c>
      <c r="L30" s="177">
        <f>IFERROR(VLOOKUP(LEFT(I30,7),'تبدیل تاریخ'!$A$2:$B$73,2,FALSE())+VALUE(RIGHT(I30,2))-1,"")</f>
        <v/>
      </c>
      <c r="M30" s="177">
        <f>IF(J30="","",IFERROR(VLOOKUP(LEFT(J30,7),'تبدیل تاریخ'!$A$2:$B$73,2,FALSE())+VALUE(RIGHT(J30,2))-1,""))</f>
        <v/>
      </c>
      <c r="N30" s="124">
        <f>IF(OR(K30="",M30=""),"",CEILING((K30-M30)/30,1))</f>
        <v/>
      </c>
      <c r="O30" s="124">
        <f>IF(OR(ISNUMBER(SEARCH("بدون مورد",G30)),ISNUMBER(SEARCH("غير گارانتي",G30)),ISNUMBER(SEARCH("غیر گارانتی",G30)),ISNUMBER(SEARCH("بدون اجرت",G30)),ISNUMBER(SEARCH("فيلتر",G30)),ISNUMBER(SEARCH("فیلتر",G30))),"غیرگارانتی/بدون قطعه",IF(OR(ISNUMBER(SEARCH("ريست",G30)),ISNUMBER(SEARCH("ریست",G30))),"ریست نرم‌افزاری (بدون قطعه)",IF(OR(ISNUMBER(SEARCH("تعویض محصول",G30)),ISNUMBER(SEARCH("تعویض دستگاه",G30))),"تعویض کامل دستگاه (Replacement)",IF(ISNUMBER(SEARCH("پمپ",G30)),IF(ISNUMBER(SEARCH("نشت",G30)),"نشتی - پمپ تخلیه (تعمیر/آب‌بندی)","خرابی - پمپ تخلیه (تعویض)"),IF(ISNUMBER(SEARCH("کمپرسور",G30)),"خرابی - کمپرسور (تعویض)",IF(ISNUMBER(SEARCH("کمک فنر",G30)),"خرابی - کمک فنر (تعویض)",IF(ISNUMBER(SEARCH("لولا",G30)),"مکانیزم درب - لولا (تعویض)",IF(OR(ISNUMBER(SEARCH("قلاب",G30)),ISNUMBER(SEARCH("ميکروسوئيچ",G30)),ISNUMBER(SEARCH("میکروسوئیچ",G30))),"مکانیزم درب - میکروسوئیچ/قلاب (تعویض/تنظیم)",IF(ISNUMBER(SEARCH("زبانه",G30)),"مکانیزم درب - زبانه (تعویض)",IF(OR(ISNUMBER(SEARCH("شيلنگ",G30)),ISNUMBER(SEARCH("شیلنگ",G30))),IF(OR(ISNUMBER(SEARCH("نشتی",G30)),ISNUMBER(SEARCH("نشتي",G30))),"نشتی - شیلنگ (تعمیر/آب‌بندی)",IF(OR(ISNUMBER(SEARCH("يخ",G30)),ISNUMBER(SEARCH("یخ",G30))),"شیلنگ یخساز - یخ‌زدگی (بازبینی)","شیلنگ - برخورد/لهیدگی (بازبینی)")),IF(OR(ISNUMBER(SEARCH("تنظيم ديسپل",G30)),ISNUMBER(SEARCH("تنظیم دیسپل",G30)),ISNUMBER(SEARCH("تنظيم صفحه نمايش",G30)),ISNUMBER(SEARCH("تنظیم صفحه نمایش",G30))),"تنظیم - تنظیمات دستگاه/دیسپلی (تعمیر)",IF(OR(ISNUMBER(SEARCH("برد",G30)),ISNUMBER(SEARCH("سوکت",G30)),ISNUMBER(SEARCH("ديسپل",G30)),ISNUMBER(SEARCH("دیسپل",G30))),"خرابی - برد الکترونیک (تعویض)",IF(OR(ISNUMBER(SEARCH("يخساز",G30)),ISNUMBER(SEARCH("یخساز",G30)),ISNUMBER(SEARCH("دمپر",G30))),IF(OR(ISNUMBER(SEARCH("خرابی",G30)),ISNUMBER(SEARCH("خراب",G30)),ISNUMBER(SEARCH("عدم کارکرد",G30)),ISNUMBER(SEARCH("عدم عملکرد",G30))),"یخساز - خرابی موتور/سنسور/برد (تعویض)","یخساز - تنظیم/عایق (تعمیر)"),IF(OR(ISNUMBER(SEARCH("لاستيک",G30)),ISNUMBER(SEARCH("لاستیک",G30))),"لاستیک درزگیر - دفرمگی/پارگی (تعویض)",IF(OR(ISNUMBER(SEARCH("گسکت",G30)),ISNUMBER(SEARCH("گسگت",G30))),"لاستیک درزگیر - دفرمگی/پارگی (تعویض)",IF(ISNUMBER(SEARCH("مخزن نمک",G30)),"نشتی - درب مخزن نمک (تعمیر/آب‌بندی)",IF(ISNUMBER(SEARCH("براکت",G30)),"نشتی - براکت ریل (تعمیر/آب‌بندی)",IF(ISNUMBER(SEARCH("جاپودر",G30)),"نشتی - جاپودری (تعمیر/آب‌بندی)",IF(ISNUMBER(SEARCH("مقسم",G30)),"نشتی - مقسم آب (تعمیر/آب‌بندی)",IF(OR(ISNUMBER(SEARCH("سنسور دما",G30)),ISNUMBER(SEARCH("ترموستات",G30))),"خرابی - ترموستات (تعویض)",IF(OR(ISNUMBER(SEARCH("هيدروستات",G30)),ISNUMBER(SEARCH("هیدروستات",G30))),"خرابی - هیدروستات (تعویض)",IF(OR(ISNUMBER(SEARCH("بلبرينگ",G30)),ISNUMBER(SEARCH("بلبرینگ",G30))),"خرابی - بلبرینگ (تعویض)",IF(OR(ISNUMBER(SEARCH("شيربرق",G30)),ISNUMBER(SEARCH("شیربرق",G30))),"خرابی - شیربرقی (تعویض)",IF(OR(ISNUMBER(SEARCH("واتر جت",G30)),ISNUMBER(SEARCH("واترجت",G30))),"خرابی - واترجت (تعویض)",IF(OR(ISNUMBER(SEARCH("سيم",G30)),ISNUMBER(SEARCH("سیم",G30)),ISNUMBER(SEARCH("اتصال",G30))),"سیم‌کشی/اتصالات (تعویض/بازبینی)",IF(OR(ISNUMBER(SEARCH("تصوير",G30)),ISNUMBER(SEARCH("تصویر",G30))),"برد نمایش تلویزیون (تعویض)",IF(OR(ISNUMBER(SEARCH("ريموت",G30)),ISNUMBER(SEARCH("ریموت",G30))),"ریموت کنترل (تعویض/تعمیر)",IF(OR(ISNUMBER(SEARCH("ال اي دي",G30)),ISNUMBER(SEARCH("ال ای دی",G30)),ISNUMBER(SEARCH("LED",G30))),"خرابی - لامپ/LED داخلی (تعویض)",IF(ISNUMBER(SEARCH("زنگ زدگ",G30)),"زنگ‌زدگی بدنه/قطعه (تعویض)",IF(OR(ISNUMBER(SEARCH("قطعات تزئين",G30)),ISNUMBER(SEARCH("قطعات تزئین",G30))),"قطعات تزئینی - شکستگی/کسری (تعویض)",IF(ISNUMBER(SEARCH("سبد",G30)),"سبد ظرفشویی - شکستگی (تعویض)",IF(ISNUMBER(SEARCH("تاب درام",G30)),"خرابی - تاب برداشتن درام (تعویض)",IF(ISNUMBER(SEARCH("درام",G30)),"خرابی - سایر ایراد درام (تعویض)",IF(ISNUMBER(SEARCH("موتور",G30)),"خرابی - موتور (تعویض)",IF(ISNUMBER(SEARCH("تسمه",G30)),"خرابی - تسمه (تعویض)",IF(OR(ISNUMBER(SEARCH("پيچ ولوم",G30)),ISNUMBER(SEARCH("پیچ ولوم",G30))),"تنظیم - پیچ ولوم/دکمه (تعمیر)",IF(OR(ISNUMBER(SEARCH("کسري قطعات",G30)),ISNUMBER(SEARCH("کسری قطعات",G30))),"کسری قطعات تزئینی (تعویض)",IF(ISNUMBER(SEARCH("پرچ",G30)),"پرچ/بدنه کابین(تعمیر)",IF(OR(ISNUMBER(SEARCH("نشت",G30)),ISNUMBER(SEARCH("آبريزش",G30)),ISNUMBER(SEARCH("آبریزش",G30))),"نشتی آب - محل نامشخص (نیازمند بازدید)",IF(ISNUMBER(SEARCH("درب",G30)),"سایر اجزای درب (بازبینی)",IF(ISNUMBER(SEARCH("ضربه",G30)),"بدنه/کابین - ضربه (بازبینی/تعویض پنل)",IF(ISNUMBER(SEARCH("تراز",G30)),"تراز/لرزش - نصب (رگلاژ پایه)",IF(OR(ISNUMBER(SEARCH("تعویض",G30)),ISNUMBER(SEARCH("تعويض",G30))),"تعویض کامل دستگاه (Replacement)","سایر (نیازمند بررسی دستی)")))))))))))))))))))))))))))))))))))))))))))</f>
        <v/>
      </c>
      <c r="P30" s="124" t="inlineStr">
        <is>
          <t>*</t>
        </is>
      </c>
      <c r="Q30" s="124">
        <f>IF(ISNUMBER(SEARCH("عهده شرکت",F30)),"شرکت",IF(ISNUMBER(SEARCH("عهده مشتري",F30)),"مشتری",IF(ISNUMBER(SEARCH("عهده مشتری",F30)),"مشتری","نامشخص")))</f>
        <v/>
      </c>
      <c r="R30" s="178">
        <f>IF(O30="تعویض کامل دستگاه (Replacement)",IF(SUMIF('قیمت‌ها و مفروضات'!$A$9:$A$13,C30,'قیمت‌ها و مفروضات'!$C$9:$C$13)&lt;&gt;0,SUMIF('قیمت‌ها و مفروضات'!$A$9:$A$13,C30,'قیمت‌ها و مفروضات'!$C$9:$C$13),SUMIF('قیمت‌ها و مفروضات'!$A$9:$A$13,C30,'قیمت‌ها و مفروضات'!$B$9:$B$13)),IF(SUMIF('قیمت‌ها و مفروضات'!$A$18:$A$63,O30,'قیمت‌ها و مفروضات'!$C$18:$C$63)&lt;&gt;0,SUMIF('قیمت‌ها و مفروضات'!$A$18:$A$63,O30,'قیمت‌ها و مفروضات'!$C$18:$C$63),SUMIF('قیمت‌ها و مفروضات'!$A$18:$A$63,O30,'قیمت‌ها و مفروضات'!$B$18:$B$63)))</f>
        <v/>
      </c>
      <c r="S30" s="178">
        <f>'قیمت‌ها و مفروضات'!$B$3+'قیمت‌ها و مفروضات'!$B$4</f>
        <v/>
      </c>
      <c r="T30" s="178">
        <f>R30+S30</f>
        <v/>
      </c>
      <c r="U30" s="178">
        <f>IF(COUNTIF($E$2:E30,E30)&gt;1,"بله (تکراری)","خیر")</f>
        <v/>
      </c>
      <c r="V30" s="178">
        <f>IF(U30="بله (تکراری)",S30,0)</f>
        <v/>
      </c>
      <c r="W30" s="208" t="inlineStr"/>
      <c r="X30" s="208" t="inlineStr"/>
    </row>
    <row r="31" ht="58.5" customHeight="1" s="151">
      <c r="A31" s="176" t="n">
        <v>130004236</v>
      </c>
      <c r="B31" s="124">
        <f>CHOOSE(_xlfn.NUMBERVALUE(MID(H31,6,2)),"فروردین","اردیبهشت","خرداد","تیر","مرداد","شهریور","مهر","آبان","آذر","دی","بهمن","اسفند")</f>
        <v/>
      </c>
      <c r="C31" s="176" t="inlineStr">
        <is>
          <t>ماشين ظرفشويي</t>
        </is>
      </c>
      <c r="D31" s="176" t="inlineStr">
        <is>
          <t>CDW-H16T</t>
        </is>
      </c>
      <c r="E31" s="176" t="inlineStr">
        <is>
          <t>52220005N00628</t>
        </is>
      </c>
      <c r="F31" s="173" t="inlineStr">
        <is>
          <t>عدم شست و شوي کامل ظروف**اياب و ذهاب به عهده شرکت</t>
        </is>
      </c>
      <c r="G31" s="173" t="inlineStr">
        <is>
          <t>تنظیم دیسپلی   ( مايع جلادهنده/ صداي ديسپلي)</t>
        </is>
      </c>
      <c r="H31" s="176" t="inlineStr">
        <is>
          <t>1405/01/23</t>
        </is>
      </c>
      <c r="I31" s="176" t="inlineStr">
        <is>
          <t>1403/08/10</t>
        </is>
      </c>
      <c r="J31" s="176" t="inlineStr">
        <is>
          <t>1404/05/05</t>
        </is>
      </c>
      <c r="K31" s="177">
        <f>IFERROR(VLOOKUP(LEFT(H31,7),'تبدیل تاریخ'!$A$2:$B$73,2,FALSE())+VALUE(RIGHT(H31,2))-1,"")</f>
        <v/>
      </c>
      <c r="L31" s="177">
        <f>IFERROR(VLOOKUP(LEFT(I31,7),'تبدیل تاریخ'!$A$2:$B$73,2,FALSE())+VALUE(RIGHT(I31,2))-1,"")</f>
        <v/>
      </c>
      <c r="M31" s="177">
        <f>IF(J31="","",IFERROR(VLOOKUP(LEFT(J31,7),'تبدیل تاریخ'!$A$2:$B$73,2,FALSE())+VALUE(RIGHT(J31,2))-1,""))</f>
        <v/>
      </c>
      <c r="N31" s="124">
        <f>IF(OR(K31="",M31=""),"",CEILING((K31-M31)/30,1))</f>
        <v/>
      </c>
      <c r="O31" s="124">
        <f>IF(OR(ISNUMBER(SEARCH("بدون مورد",G31)),ISNUMBER(SEARCH("غير گارانتي",G31)),ISNUMBER(SEARCH("غیر گارانتی",G31)),ISNUMBER(SEARCH("بدون اجرت",G31)),ISNUMBER(SEARCH("فيلتر",G31)),ISNUMBER(SEARCH("فیلتر",G31))),"غیرگارانتی/بدون قطعه",IF(OR(ISNUMBER(SEARCH("ريست",G31)),ISNUMBER(SEARCH("ریست",G31))),"ریست نرم‌افزاری (بدون قطعه)",IF(OR(ISNUMBER(SEARCH("تعویض محصول",G31)),ISNUMBER(SEARCH("تعویض دستگاه",G31))),"تعویض کامل دستگاه (Replacement)",IF(ISNUMBER(SEARCH("پمپ",G31)),IF(ISNUMBER(SEARCH("نشت",G31)),"نشتی - پمپ تخلیه (تعمیر/آب‌بندی)","خرابی - پمپ تخلیه (تعویض)"),IF(ISNUMBER(SEARCH("کمپرسور",G31)),"خرابی - کمپرسور (تعویض)",IF(ISNUMBER(SEARCH("کمک فنر",G31)),"خرابی - کمک فنر (تعویض)",IF(ISNUMBER(SEARCH("لولا",G31)),"مکانیزم درب - لولا (تعویض)",IF(OR(ISNUMBER(SEARCH("قلاب",G31)),ISNUMBER(SEARCH("ميکروسوئيچ",G31)),ISNUMBER(SEARCH("میکروسوئیچ",G31))),"مکانیزم درب - میکروسوئیچ/قلاب (تعویض/تنظیم)",IF(ISNUMBER(SEARCH("زبانه",G31)),"مکانیزم درب - زبانه (تعویض)",IF(OR(ISNUMBER(SEARCH("شيلنگ",G31)),ISNUMBER(SEARCH("شیلنگ",G31))),IF(OR(ISNUMBER(SEARCH("نشتی",G31)),ISNUMBER(SEARCH("نشتي",G31))),"نشتی - شیلنگ (تعمیر/آب‌بندی)",IF(OR(ISNUMBER(SEARCH("يخ",G31)),ISNUMBER(SEARCH("یخ",G31))),"شیلنگ یخساز - یخ‌زدگی (بازبینی)","شیلنگ - برخورد/لهیدگی (بازبینی)")),IF(OR(ISNUMBER(SEARCH("تنظيم ديسپل",G31)),ISNUMBER(SEARCH("تنظیم دیسپل",G31)),ISNUMBER(SEARCH("تنظيم صفحه نمايش",G31)),ISNUMBER(SEARCH("تنظیم صفحه نمایش",G31))),"تنظیم - تنظیمات دستگاه/دیسپلی (تعمیر)",IF(OR(ISNUMBER(SEARCH("برد",G31)),ISNUMBER(SEARCH("سوکت",G31)),ISNUMBER(SEARCH("ديسپل",G31)),ISNUMBER(SEARCH("دیسپل",G31))),"خرابی - برد الکترونیک (تعویض)",IF(OR(ISNUMBER(SEARCH("يخساز",G31)),ISNUMBER(SEARCH("یخساز",G31)),ISNUMBER(SEARCH("دمپر",G31))),IF(OR(ISNUMBER(SEARCH("خرابی",G31)),ISNUMBER(SEARCH("خراب",G31)),ISNUMBER(SEARCH("عدم کارکرد",G31)),ISNUMBER(SEARCH("عدم عملکرد",G31))),"یخساز - خرابی موتور/سنسور/برد (تعویض)","یخساز - تنظیم/عایق (تعمیر)"),IF(OR(ISNUMBER(SEARCH("لاستيک",G31)),ISNUMBER(SEARCH("لاستیک",G31))),"لاستیک درزگیر - دفرمگی/پارگی (تعویض)",IF(OR(ISNUMBER(SEARCH("گسکت",G31)),ISNUMBER(SEARCH("گسگت",G31))),"لاستیک درزگیر - دفرمگی/پارگی (تعویض)",IF(ISNUMBER(SEARCH("مخزن نمک",G31)),"نشتی - درب مخزن نمک (تعمیر/آب‌بندی)",IF(ISNUMBER(SEARCH("براکت",G31)),"نشتی - براکت ریل (تعمیر/آب‌بندی)",IF(ISNUMBER(SEARCH("جاپودر",G31)),"نشتی - جاپودری (تعمیر/آب‌بندی)",IF(ISNUMBER(SEARCH("مقسم",G31)),"نشتی - مقسم آب (تعمیر/آب‌بندی)",IF(OR(ISNUMBER(SEARCH("سنسور دما",G31)),ISNUMBER(SEARCH("ترموستات",G31))),"خرابی - ترموستات (تعویض)",IF(OR(ISNUMBER(SEARCH("هيدروستات",G31)),ISNUMBER(SEARCH("هیدروستات",G31))),"خرابی - هیدروستات (تعویض)",IF(OR(ISNUMBER(SEARCH("بلبرينگ",G31)),ISNUMBER(SEARCH("بلبرینگ",G31))),"خرابی - بلبرینگ (تعویض)",IF(OR(ISNUMBER(SEARCH("شيربرق",G31)),ISNUMBER(SEARCH("شیربرق",G31))),"خرابی - شیربرقی (تعویض)",IF(OR(ISNUMBER(SEARCH("واتر جت",G31)),ISNUMBER(SEARCH("واترجت",G31))),"خرابی - واترجت (تعویض)",IF(OR(ISNUMBER(SEARCH("سيم",G31)),ISNUMBER(SEARCH("سیم",G31)),ISNUMBER(SEARCH("اتصال",G31))),"سیم‌کشی/اتصالات (تعویض/بازبینی)",IF(OR(ISNUMBER(SEARCH("تصوير",G31)),ISNUMBER(SEARCH("تصویر",G31))),"برد نمایش تلویزیون (تعویض)",IF(OR(ISNUMBER(SEARCH("ريموت",G31)),ISNUMBER(SEARCH("ریموت",G31))),"ریموت کنترل (تعویض/تعمیر)",IF(OR(ISNUMBER(SEARCH("ال اي دي",G31)),ISNUMBER(SEARCH("ال ای دی",G31)),ISNUMBER(SEARCH("LED",G31))),"خرابی - لامپ/LED داخلی (تعویض)",IF(ISNUMBER(SEARCH("زنگ زدگ",G31)),"زنگ‌زدگی بدنه/قطعه (تعویض)",IF(OR(ISNUMBER(SEARCH("قطعات تزئين",G31)),ISNUMBER(SEARCH("قطعات تزئین",G31))),"قطعات تزئینی - شکستگی/کسری (تعویض)",IF(ISNUMBER(SEARCH("سبد",G31)),"سبد ظرفشویی - شکستگی (تعویض)",IF(ISNUMBER(SEARCH("تاب درام",G31)),"خرابی - تاب برداشتن درام (تعویض)",IF(ISNUMBER(SEARCH("درام",G31)),"خرابی - سایر ایراد درام (تعویض)",IF(ISNUMBER(SEARCH("موتور",G31)),"خرابی - موتور (تعویض)",IF(ISNUMBER(SEARCH("تسمه",G31)),"خرابی - تسمه (تعویض)",IF(OR(ISNUMBER(SEARCH("پيچ ولوم",G31)),ISNUMBER(SEARCH("پیچ ولوم",G31))),"تنظیم - پیچ ولوم/دکمه (تعمیر)",IF(OR(ISNUMBER(SEARCH("کسري قطعات",G31)),ISNUMBER(SEARCH("کسری قطعات",G31))),"کسری قطعات تزئینی (تعویض)",IF(ISNUMBER(SEARCH("پرچ",G31)),"پرچ/بدنه کابین(تعمیر)",IF(OR(ISNUMBER(SEARCH("نشت",G31)),ISNUMBER(SEARCH("آبريزش",G31)),ISNUMBER(SEARCH("آبریزش",G31))),"نشتی آب - محل نامشخص (نیازمند بازدید)",IF(ISNUMBER(SEARCH("درب",G31)),"سایر اجزای درب (بازبینی)",IF(ISNUMBER(SEARCH("ضربه",G31)),"بدنه/کابین - ضربه (بازبینی/تعویض پنل)",IF(ISNUMBER(SEARCH("تراز",G31)),"تراز/لرزش - نصب (رگلاژ پایه)",IF(OR(ISNUMBER(SEARCH("تعویض",G31)),ISNUMBER(SEARCH("تعويض",G31))),"تعویض کامل دستگاه (Replacement)","سایر (نیازمند بررسی دستی)")))))))))))))))))))))))))))))))))))))))))))</f>
        <v/>
      </c>
      <c r="P31" s="124" t="inlineStr">
        <is>
          <t>*</t>
        </is>
      </c>
      <c r="Q31" s="124">
        <f>IF(ISNUMBER(SEARCH("عهده شرکت",F31)),"شرکت",IF(ISNUMBER(SEARCH("عهده مشتري",F31)),"مشتری",IF(ISNUMBER(SEARCH("عهده مشتری",F31)),"مشتری","نامشخص")))</f>
        <v/>
      </c>
      <c r="R31" s="178">
        <f>IF(O31="تعویض کامل دستگاه (Replacement)",IF(SUMIF('قیمت‌ها و مفروضات'!$A$9:$A$13,C31,'قیمت‌ها و مفروضات'!$C$9:$C$13)&lt;&gt;0,SUMIF('قیمت‌ها و مفروضات'!$A$9:$A$13,C31,'قیمت‌ها و مفروضات'!$C$9:$C$13),SUMIF('قیمت‌ها و مفروضات'!$A$9:$A$13,C31,'قیمت‌ها و مفروضات'!$B$9:$B$13)),IF(SUMIF('قیمت‌ها و مفروضات'!$A$18:$A$63,O31,'قیمت‌ها و مفروضات'!$C$18:$C$63)&lt;&gt;0,SUMIF('قیمت‌ها و مفروضات'!$A$18:$A$63,O31,'قیمت‌ها و مفروضات'!$C$18:$C$63),SUMIF('قیمت‌ها و مفروضات'!$A$18:$A$63,O31,'قیمت‌ها و مفروضات'!$B$18:$B$63)))</f>
        <v/>
      </c>
      <c r="S31" s="178">
        <f>'قیمت‌ها و مفروضات'!$B$3+'قیمت‌ها و مفروضات'!$B$4</f>
        <v/>
      </c>
      <c r="T31" s="178">
        <f>R31+S31</f>
        <v/>
      </c>
      <c r="U31" s="178">
        <f>IF(COUNTIF($E$2:E31,E31)&gt;1,"بله (تکراری)","خیر")</f>
        <v/>
      </c>
      <c r="V31" s="178">
        <f>IF(U31="بله (تکراری)",S31,0)</f>
        <v/>
      </c>
      <c r="W31" s="208" t="inlineStr"/>
      <c r="X31" s="208" t="inlineStr"/>
    </row>
    <row r="32" ht="58.5" customHeight="1" s="151">
      <c r="A32" s="176" t="n">
        <v>210004811</v>
      </c>
      <c r="B32" s="124">
        <f>CHOOSE(_xlfn.NUMBERVALUE(MID(H32,6,2)),"فروردین","اردیبهشت","خرداد","تیر","مرداد","شهریور","مهر","آبان","آذر","دی","بهمن","اسفند")</f>
        <v/>
      </c>
      <c r="C32" s="176" t="inlineStr">
        <is>
          <t>ماشين لباسشويي</t>
        </is>
      </c>
      <c r="D32" s="176" t="inlineStr">
        <is>
          <t>CWM-BMW9T1</t>
        </is>
      </c>
      <c r="E32" s="176" t="inlineStr">
        <is>
          <t>210100007N00366</t>
        </is>
      </c>
      <c r="F32" s="173" t="inlineStr">
        <is>
          <t>جمع شدن آب زير محصول**اياب و ذهاب به عهده شرکت</t>
        </is>
      </c>
      <c r="G32" s="173" t="inlineStr">
        <is>
          <t>نشتي از شيلنگ تخليه آب</t>
        </is>
      </c>
      <c r="H32" s="176" t="inlineStr">
        <is>
          <t>1405/01/19</t>
        </is>
      </c>
      <c r="I32" s="176" t="inlineStr">
        <is>
          <t>1403/01/11</t>
        </is>
      </c>
      <c r="J32" s="176" t="inlineStr">
        <is>
          <t>1404/11/02</t>
        </is>
      </c>
      <c r="K32" s="177">
        <f>IFERROR(VLOOKUP(LEFT(H32,7),'تبدیل تاریخ'!$A$2:$B$73,2,FALSE())+VALUE(RIGHT(H32,2))-1,"")</f>
        <v/>
      </c>
      <c r="L32" s="177">
        <f>IFERROR(VLOOKUP(LEFT(I32,7),'تبدیل تاریخ'!$A$2:$B$73,2,FALSE())+VALUE(RIGHT(I32,2))-1,"")</f>
        <v/>
      </c>
      <c r="M32" s="177">
        <f>IF(J32="","",IFERROR(VLOOKUP(LEFT(J32,7),'تبدیل تاریخ'!$A$2:$B$73,2,FALSE())+VALUE(RIGHT(J32,2))-1,""))</f>
        <v/>
      </c>
      <c r="N32" s="124">
        <f>IF(OR(K32="",M32=""),"",CEILING((K32-M32)/30,1))</f>
        <v/>
      </c>
      <c r="O32" s="124">
        <f>IF(OR(ISNUMBER(SEARCH("بدون مورد",G32)),ISNUMBER(SEARCH("غير گارانتي",G32)),ISNUMBER(SEARCH("غیر گارانتی",G32)),ISNUMBER(SEARCH("بدون اجرت",G32)),ISNUMBER(SEARCH("فيلتر",G32)),ISNUMBER(SEARCH("فیلتر",G32))),"غیرگارانتی/بدون قطعه",IF(OR(ISNUMBER(SEARCH("ريست",G32)),ISNUMBER(SEARCH("ریست",G32))),"ریست نرم‌افزاری (بدون قطعه)",IF(OR(ISNUMBER(SEARCH("تعویض محصول",G32)),ISNUMBER(SEARCH("تعویض دستگاه",G32))),"تعویض کامل دستگاه (Replacement)",IF(ISNUMBER(SEARCH("پمپ",G32)),IF(ISNUMBER(SEARCH("نشت",G32)),"نشتی - پمپ تخلیه (تعمیر/آب‌بندی)","خرابی - پمپ تخلیه (تعویض)"),IF(ISNUMBER(SEARCH("کمپرسور",G32)),"خرابی - کمپرسور (تعویض)",IF(ISNUMBER(SEARCH("کمک فنر",G32)),"خرابی - کمک فنر (تعویض)",IF(ISNUMBER(SEARCH("لولا",G32)),"مکانیزم درب - لولا (تعویض)",IF(OR(ISNUMBER(SEARCH("قلاب",G32)),ISNUMBER(SEARCH("ميکروسوئيچ",G32)),ISNUMBER(SEARCH("میکروسوئیچ",G32))),"مکانیزم درب - میکروسوئیچ/قلاب (تعویض/تنظیم)",IF(ISNUMBER(SEARCH("زبانه",G32)),"مکانیزم درب - زبانه (تعویض)",IF(OR(ISNUMBER(SEARCH("شيلنگ",G32)),ISNUMBER(SEARCH("شیلنگ",G32))),IF(OR(ISNUMBER(SEARCH("نشتی",G32)),ISNUMBER(SEARCH("نشتي",G32))),"نشتی - شیلنگ (تعمیر/آب‌بندی)",IF(OR(ISNUMBER(SEARCH("يخ",G32)),ISNUMBER(SEARCH("یخ",G32))),"شیلنگ یخساز - یخ‌زدگی (بازبینی)","شیلنگ - برخورد/لهیدگی (بازبینی)")),IF(OR(ISNUMBER(SEARCH("تنظيم ديسپل",G32)),ISNUMBER(SEARCH("تنظیم دیسپل",G32)),ISNUMBER(SEARCH("تنظيم صفحه نمايش",G32)),ISNUMBER(SEARCH("تنظیم صفحه نمایش",G32))),"تنظیم - تنظیمات دستگاه/دیسپلی (تعمیر)",IF(OR(ISNUMBER(SEARCH("برد",G32)),ISNUMBER(SEARCH("سوکت",G32)),ISNUMBER(SEARCH("ديسپل",G32)),ISNUMBER(SEARCH("دیسپل",G32))),"خرابی - برد الکترونیک (تعویض)",IF(OR(ISNUMBER(SEARCH("يخساز",G32)),ISNUMBER(SEARCH("یخساز",G32)),ISNUMBER(SEARCH("دمپر",G32))),IF(OR(ISNUMBER(SEARCH("خرابی",G32)),ISNUMBER(SEARCH("خراب",G32)),ISNUMBER(SEARCH("عدم کارکرد",G32)),ISNUMBER(SEARCH("عدم عملکرد",G32))),"یخساز - خرابی موتور/سنسور/برد (تعویض)","یخساز - تنظیم/عایق (تعمیر)"),IF(OR(ISNUMBER(SEARCH("لاستيک",G32)),ISNUMBER(SEARCH("لاستیک",G32))),"لاستیک درزگیر - دفرمگی/پارگی (تعویض)",IF(OR(ISNUMBER(SEARCH("گسکت",G32)),ISNUMBER(SEARCH("گسگت",G32))),"لاستیک درزگیر - دفرمگی/پارگی (تعویض)",IF(ISNUMBER(SEARCH("مخزن نمک",G32)),"نشتی - درب مخزن نمک (تعمیر/آب‌بندی)",IF(ISNUMBER(SEARCH("براکت",G32)),"نشتی - براکت ریل (تعمیر/آب‌بندی)",IF(ISNUMBER(SEARCH("جاپودر",G32)),"نشتی - جاپودری (تعمیر/آب‌بندی)",IF(ISNUMBER(SEARCH("مقسم",G32)),"نشتی - مقسم آب (تعمیر/آب‌بندی)",IF(OR(ISNUMBER(SEARCH("سنسور دما",G32)),ISNUMBER(SEARCH("ترموستات",G32))),"خرابی - ترموستات (تعویض)",IF(OR(ISNUMBER(SEARCH("هيدروستات",G32)),ISNUMBER(SEARCH("هیدروستات",G32))),"خرابی - هیدروستات (تعویض)",IF(OR(ISNUMBER(SEARCH("بلبرينگ",G32)),ISNUMBER(SEARCH("بلبرینگ",G32))),"خرابی - بلبرینگ (تعویض)",IF(OR(ISNUMBER(SEARCH("شيربرق",G32)),ISNUMBER(SEARCH("شیربرق",G32))),"خرابی - شیربرقی (تعویض)",IF(OR(ISNUMBER(SEARCH("واتر جت",G32)),ISNUMBER(SEARCH("واترجت",G32))),"خرابی - واترجت (تعویض)",IF(OR(ISNUMBER(SEARCH("سيم",G32)),ISNUMBER(SEARCH("سیم",G32)),ISNUMBER(SEARCH("اتصال",G32))),"سیم‌کشی/اتصالات (تعویض/بازبینی)",IF(OR(ISNUMBER(SEARCH("تصوير",G32)),ISNUMBER(SEARCH("تصویر",G32))),"برد نمایش تلویزیون (تعویض)",IF(OR(ISNUMBER(SEARCH("ريموت",G32)),ISNUMBER(SEARCH("ریموت",G32))),"ریموت کنترل (تعویض/تعمیر)",IF(OR(ISNUMBER(SEARCH("ال اي دي",G32)),ISNUMBER(SEARCH("ال ای دی",G32)),ISNUMBER(SEARCH("LED",G32))),"خرابی - لامپ/LED داخلی (تعویض)",IF(ISNUMBER(SEARCH("زنگ زدگ",G32)),"زنگ‌زدگی بدنه/قطعه (تعویض)",IF(OR(ISNUMBER(SEARCH("قطعات تزئين",G32)),ISNUMBER(SEARCH("قطعات تزئین",G32))),"قطعات تزئینی - شکستگی/کسری (تعویض)",IF(ISNUMBER(SEARCH("سبد",G32)),"سبد ظرفشویی - شکستگی (تعویض)",IF(ISNUMBER(SEARCH("تاب درام",G32)),"خرابی - تاب برداشتن درام (تعویض)",IF(ISNUMBER(SEARCH("درام",G32)),"خرابی - سایر ایراد درام (تعویض)",IF(ISNUMBER(SEARCH("موتور",G32)),"خرابی - موتور (تعویض)",IF(ISNUMBER(SEARCH("تسمه",G32)),"خرابی - تسمه (تعویض)",IF(OR(ISNUMBER(SEARCH("پيچ ولوم",G32)),ISNUMBER(SEARCH("پیچ ولوم",G32))),"تنظیم - پیچ ولوم/دکمه (تعمیر)",IF(OR(ISNUMBER(SEARCH("کسري قطعات",G32)),ISNUMBER(SEARCH("کسری قطعات",G32))),"کسری قطعات تزئینی (تعویض)",IF(ISNUMBER(SEARCH("پرچ",G32)),"پرچ/بدنه کابین(تعمیر)",IF(OR(ISNUMBER(SEARCH("نشت",G32)),ISNUMBER(SEARCH("آبريزش",G32)),ISNUMBER(SEARCH("آبریزش",G32))),"نشتی آب - محل نامشخص (نیازمند بازدید)",IF(ISNUMBER(SEARCH("درب",G32)),"سایر اجزای درب (بازبینی)",IF(ISNUMBER(SEARCH("ضربه",G32)),"بدنه/کابین - ضربه (بازبینی/تعویض پنل)",IF(ISNUMBER(SEARCH("تراز",G32)),"تراز/لرزش - نصب (رگلاژ پایه)",IF(OR(ISNUMBER(SEARCH("تعویض",G32)),ISNUMBER(SEARCH("تعويض",G32))),"تعویض کامل دستگاه (Replacement)","سایر (نیازمند بررسی دستی)")))))))))))))))))))))))))))))))))))))))))))</f>
        <v/>
      </c>
      <c r="P32" s="124" t="inlineStr">
        <is>
          <t>*</t>
        </is>
      </c>
      <c r="Q32" s="124">
        <f>IF(ISNUMBER(SEARCH("عهده شرکت",F32)),"شرکت",IF(ISNUMBER(SEARCH("عهده مشتري",F32)),"مشتری",IF(ISNUMBER(SEARCH("عهده مشتری",F32)),"مشتری","نامشخص")))</f>
        <v/>
      </c>
      <c r="R32" s="178">
        <f>IF(O32="تعویض کامل دستگاه (Replacement)",IF(SUMIF('قیمت‌ها و مفروضات'!$A$9:$A$13,C32,'قیمت‌ها و مفروضات'!$C$9:$C$13)&lt;&gt;0,SUMIF('قیمت‌ها و مفروضات'!$A$9:$A$13,C32,'قیمت‌ها و مفروضات'!$C$9:$C$13),SUMIF('قیمت‌ها و مفروضات'!$A$9:$A$13,C32,'قیمت‌ها و مفروضات'!$B$9:$B$13)),IF(SUMIF('قیمت‌ها و مفروضات'!$A$18:$A$63,O32,'قیمت‌ها و مفروضات'!$C$18:$C$63)&lt;&gt;0,SUMIF('قیمت‌ها و مفروضات'!$A$18:$A$63,O32,'قیمت‌ها و مفروضات'!$C$18:$C$63),SUMIF('قیمت‌ها و مفروضات'!$A$18:$A$63,O32,'قیمت‌ها و مفروضات'!$B$18:$B$63)))</f>
        <v/>
      </c>
      <c r="S32" s="178">
        <f>'قیمت‌ها و مفروضات'!$B$3+'قیمت‌ها و مفروضات'!$B$4</f>
        <v/>
      </c>
      <c r="T32" s="178">
        <f>R32+S32</f>
        <v/>
      </c>
      <c r="U32" s="178">
        <f>IF(COUNTIF($E$2:E32,E32)&gt;1,"بله (تکراری)","خیر")</f>
        <v/>
      </c>
      <c r="V32" s="178">
        <f>IF(U32="بله (تکراری)",S32,0)</f>
        <v/>
      </c>
      <c r="W32" s="208" t="inlineStr"/>
      <c r="X32" s="208" t="inlineStr"/>
    </row>
    <row r="33" ht="58.5" customHeight="1" s="151">
      <c r="A33" s="176" t="n">
        <v>710000446</v>
      </c>
      <c r="B33" s="124">
        <f>CHOOSE(_xlfn.NUMBERVALUE(MID(H33,6,2)),"فروردین","اردیبهشت","خرداد","تیر","مرداد","شهریور","مهر","آبان","آذر","دی","بهمن","اسفند")</f>
        <v/>
      </c>
      <c r="C33" s="176" t="inlineStr">
        <is>
          <t>ماشين ظرفشويي</t>
        </is>
      </c>
      <c r="D33" s="176" t="inlineStr">
        <is>
          <t>CDW-H16T</t>
        </is>
      </c>
      <c r="E33" s="176" t="inlineStr">
        <is>
          <t>52220004N02498</t>
        </is>
      </c>
      <c r="F33" s="173" t="inlineStr">
        <is>
          <t>اياب و ذهاب به عهده شرکت ** بسته نشدن درب</t>
        </is>
      </c>
      <c r="G33" s="173" t="inlineStr">
        <is>
          <t>خرابي قلاب ميکروسوئيچ</t>
        </is>
      </c>
      <c r="H33" s="176" t="inlineStr">
        <is>
          <t>1405/01/16</t>
        </is>
      </c>
      <c r="I33" s="176" t="inlineStr">
        <is>
          <t>1404/02/01</t>
        </is>
      </c>
      <c r="J33" s="176" t="inlineStr">
        <is>
          <t>1404/12/23</t>
        </is>
      </c>
      <c r="K33" s="177">
        <f>IFERROR(VLOOKUP(LEFT(H33,7),'تبدیل تاریخ'!$A$2:$B$73,2,FALSE())+VALUE(RIGHT(H33,2))-1,"")</f>
        <v/>
      </c>
      <c r="L33" s="177">
        <f>IFERROR(VLOOKUP(LEFT(I33,7),'تبدیل تاریخ'!$A$2:$B$73,2,FALSE())+VALUE(RIGHT(I33,2))-1,"")</f>
        <v/>
      </c>
      <c r="M33" s="177">
        <f>IF(J33="","",IFERROR(VLOOKUP(LEFT(J33,7),'تبدیل تاریخ'!$A$2:$B$73,2,FALSE())+VALUE(RIGHT(J33,2))-1,""))</f>
        <v/>
      </c>
      <c r="N33" s="124">
        <f>IF(OR(K33="",M33=""),"",CEILING((K33-M33)/30,1))</f>
        <v/>
      </c>
      <c r="O33" s="124">
        <f>IF(OR(ISNUMBER(SEARCH("بدون مورد",G33)),ISNUMBER(SEARCH("غير گارانتي",G33)),ISNUMBER(SEARCH("غیر گارانتی",G33)),ISNUMBER(SEARCH("بدون اجرت",G33)),ISNUMBER(SEARCH("فيلتر",G33)),ISNUMBER(SEARCH("فیلتر",G33))),"غیرگارانتی/بدون قطعه",IF(OR(ISNUMBER(SEARCH("ريست",G33)),ISNUMBER(SEARCH("ریست",G33))),"ریست نرم‌افزاری (بدون قطعه)",IF(OR(ISNUMBER(SEARCH("تعویض محصول",G33)),ISNUMBER(SEARCH("تعویض دستگاه",G33))),"تعویض کامل دستگاه (Replacement)",IF(ISNUMBER(SEARCH("پمپ",G33)),IF(ISNUMBER(SEARCH("نشت",G33)),"نشتی - پمپ تخلیه (تعمیر/آب‌بندی)","خرابی - پمپ تخلیه (تعویض)"),IF(ISNUMBER(SEARCH("کمپرسور",G33)),"خرابی - کمپرسور (تعویض)",IF(ISNUMBER(SEARCH("کمک فنر",G33)),"خرابی - کمک فنر (تعویض)",IF(ISNUMBER(SEARCH("لولا",G33)),"مکانیزم درب - لولا (تعویض)",IF(OR(ISNUMBER(SEARCH("قلاب",G33)),ISNUMBER(SEARCH("ميکروسوئيچ",G33)),ISNUMBER(SEARCH("میکروسوئیچ",G33))),"مکانیزم درب - میکروسوئیچ/قلاب (تعویض/تنظیم)",IF(ISNUMBER(SEARCH("زبانه",G33)),"مکانیزم درب - زبانه (تعویض)",IF(OR(ISNUMBER(SEARCH("شيلنگ",G33)),ISNUMBER(SEARCH("شیلنگ",G33))),IF(OR(ISNUMBER(SEARCH("نشتی",G33)),ISNUMBER(SEARCH("نشتي",G33))),"نشتی - شیلنگ (تعمیر/آب‌بندی)",IF(OR(ISNUMBER(SEARCH("يخ",G33)),ISNUMBER(SEARCH("یخ",G33))),"شیلنگ یخساز - یخ‌زدگی (بازبینی)","شیلنگ - برخورد/لهیدگی (بازبینی)")),IF(OR(ISNUMBER(SEARCH("تنظيم ديسپل",G33)),ISNUMBER(SEARCH("تنظیم دیسپل",G33)),ISNUMBER(SEARCH("تنظيم صفحه نمايش",G33)),ISNUMBER(SEARCH("تنظیم صفحه نمایش",G33))),"تنظیم - تنظیمات دستگاه/دیسپلی (تعمیر)",IF(OR(ISNUMBER(SEARCH("برد",G33)),ISNUMBER(SEARCH("سوکت",G33)),ISNUMBER(SEARCH("ديسپل",G33)),ISNUMBER(SEARCH("دیسپل",G33))),"خرابی - برد الکترونیک (تعویض)",IF(OR(ISNUMBER(SEARCH("يخساز",G33)),ISNUMBER(SEARCH("یخساز",G33)),ISNUMBER(SEARCH("دمپر",G33))),IF(OR(ISNUMBER(SEARCH("خرابی",G33)),ISNUMBER(SEARCH("خراب",G33)),ISNUMBER(SEARCH("عدم کارکرد",G33)),ISNUMBER(SEARCH("عدم عملکرد",G33))),"یخساز - خرابی موتور/سنسور/برد (تعویض)","یخساز - تنظیم/عایق (تعمیر)"),IF(OR(ISNUMBER(SEARCH("لاستيک",G33)),ISNUMBER(SEARCH("لاستیک",G33))),"لاستیک درزگیر - دفرمگی/پارگی (تعویض)",IF(OR(ISNUMBER(SEARCH("گسکت",G33)),ISNUMBER(SEARCH("گسگت",G33))),"لاستیک درزگیر - دفرمگی/پارگی (تعویض)",IF(ISNUMBER(SEARCH("مخزن نمک",G33)),"نشتی - درب مخزن نمک (تعمیر/آب‌بندی)",IF(ISNUMBER(SEARCH("براکت",G33)),"نشتی - براکت ریل (تعمیر/آب‌بندی)",IF(ISNUMBER(SEARCH("جاپودر",G33)),"نشتی - جاپودری (تعمیر/آب‌بندی)",IF(ISNUMBER(SEARCH("مقسم",G33)),"نشتی - مقسم آب (تعمیر/آب‌بندی)",IF(OR(ISNUMBER(SEARCH("سنسور دما",G33)),ISNUMBER(SEARCH("ترموستات",G33))),"خرابی - ترموستات (تعویض)",IF(OR(ISNUMBER(SEARCH("هيدروستات",G33)),ISNUMBER(SEARCH("هیدروستات",G33))),"خرابی - هیدروستات (تعویض)",IF(OR(ISNUMBER(SEARCH("بلبرينگ",G33)),ISNUMBER(SEARCH("بلبرینگ",G33))),"خرابی - بلبرینگ (تعویض)",IF(OR(ISNUMBER(SEARCH("شيربرق",G33)),ISNUMBER(SEARCH("شیربرق",G33))),"خرابی - شیربرقی (تعویض)",IF(OR(ISNUMBER(SEARCH("واتر جت",G33)),ISNUMBER(SEARCH("واترجت",G33))),"خرابی - واترجت (تعویض)",IF(OR(ISNUMBER(SEARCH("سيم",G33)),ISNUMBER(SEARCH("سیم",G33)),ISNUMBER(SEARCH("اتصال",G33))),"سیم‌کشی/اتصالات (تعویض/بازبینی)",IF(OR(ISNUMBER(SEARCH("تصوير",G33)),ISNUMBER(SEARCH("تصویر",G33))),"برد نمایش تلویزیون (تعویض)",IF(OR(ISNUMBER(SEARCH("ريموت",G33)),ISNUMBER(SEARCH("ریموت",G33))),"ریموت کنترل (تعویض/تعمیر)",IF(OR(ISNUMBER(SEARCH("ال اي دي",G33)),ISNUMBER(SEARCH("ال ای دی",G33)),ISNUMBER(SEARCH("LED",G33))),"خرابی - لامپ/LED داخلی (تعویض)",IF(ISNUMBER(SEARCH("زنگ زدگ",G33)),"زنگ‌زدگی بدنه/قطعه (تعویض)",IF(OR(ISNUMBER(SEARCH("قطعات تزئين",G33)),ISNUMBER(SEARCH("قطعات تزئین",G33))),"قطعات تزئینی - شکستگی/کسری (تعویض)",IF(ISNUMBER(SEARCH("سبد",G33)),"سبد ظرفشویی - شکستگی (تعویض)",IF(ISNUMBER(SEARCH("تاب درام",G33)),"خرابی - تاب برداشتن درام (تعویض)",IF(ISNUMBER(SEARCH("درام",G33)),"خرابی - سایر ایراد درام (تعویض)",IF(ISNUMBER(SEARCH("موتور",G33)),"خرابی - موتور (تعویض)",IF(ISNUMBER(SEARCH("تسمه",G33)),"خرابی - تسمه (تعویض)",IF(OR(ISNUMBER(SEARCH("پيچ ولوم",G33)),ISNUMBER(SEARCH("پیچ ولوم",G33))),"تنظیم - پیچ ولوم/دکمه (تعمیر)",IF(OR(ISNUMBER(SEARCH("کسري قطعات",G33)),ISNUMBER(SEARCH("کسری قطعات",G33))),"کسری قطعات تزئینی (تعویض)",IF(ISNUMBER(SEARCH("پرچ",G33)),"پرچ/بدنه کابین(تعمیر)",IF(OR(ISNUMBER(SEARCH("نشت",G33)),ISNUMBER(SEARCH("آبريزش",G33)),ISNUMBER(SEARCH("آبریزش",G33))),"نشتی آب - محل نامشخص (نیازمند بازدید)",IF(ISNUMBER(SEARCH("درب",G33)),"سایر اجزای درب (بازبینی)",IF(ISNUMBER(SEARCH("ضربه",G33)),"بدنه/کابین - ضربه (بازبینی/تعویض پنل)",IF(ISNUMBER(SEARCH("تراز",G33)),"تراز/لرزش - نصب (رگلاژ پایه)",IF(OR(ISNUMBER(SEARCH("تعویض",G33)),ISNUMBER(SEARCH("تعويض",G33))),"تعویض کامل دستگاه (Replacement)","سایر (نیازمند بررسی دستی)")))))))))))))))))))))))))))))))))))))))))))</f>
        <v/>
      </c>
      <c r="P33" s="124" t="inlineStr">
        <is>
          <t>میکروسوئیچ 16 نفره</t>
        </is>
      </c>
      <c r="Q33" s="124">
        <f>IF(ISNUMBER(SEARCH("عهده شرکت",F33)),"شرکت",IF(ISNUMBER(SEARCH("عهده مشتري",F33)),"مشتری",IF(ISNUMBER(SEARCH("عهده مشتری",F33)),"مشتری","نامشخص")))</f>
        <v/>
      </c>
      <c r="R33" s="178">
        <f>IF(O33="تعویض کامل دستگاه (Replacement)",IF(SUMIF('قیمت‌ها و مفروضات'!$A$9:$A$13,C33,'قیمت‌ها و مفروضات'!$C$9:$C$13)&lt;&gt;0,SUMIF('قیمت‌ها و مفروضات'!$A$9:$A$13,C33,'قیمت‌ها و مفروضات'!$C$9:$C$13),SUMIF('قیمت‌ها و مفروضات'!$A$9:$A$13,C33,'قیمت‌ها و مفروضات'!$B$9:$B$13)),IF(SUMIF('قیمت‌ها و مفروضات'!$A$18:$A$63,O33,'قیمت‌ها و مفروضات'!$C$18:$C$63)&lt;&gt;0,SUMIF('قیمت‌ها و مفروضات'!$A$18:$A$63,O33,'قیمت‌ها و مفروضات'!$C$18:$C$63),SUMIF('قیمت‌ها و مفروضات'!$A$18:$A$63,O33,'قیمت‌ها و مفروضات'!$B$18:$B$63)))</f>
        <v/>
      </c>
      <c r="S33" s="178">
        <f>'قیمت‌ها و مفروضات'!$B$3+'قیمت‌ها و مفروضات'!$B$4</f>
        <v/>
      </c>
      <c r="T33" s="178">
        <f>R33+S33</f>
        <v/>
      </c>
      <c r="U33" s="178">
        <f>IF(COUNTIF($E$2:E33,E33)&gt;1,"بله (تکراری)","خیر")</f>
        <v/>
      </c>
      <c r="V33" s="178">
        <f>IF(U33="بله (تکراری)",S33,0)</f>
        <v/>
      </c>
      <c r="W33" s="208" t="inlineStr"/>
      <c r="X33" s="208" t="inlineStr"/>
    </row>
    <row r="34" ht="58.5" customHeight="1" s="151">
      <c r="A34" s="176" t="n">
        <v>310000306</v>
      </c>
      <c r="B34" s="124">
        <f>CHOOSE(_xlfn.NUMBERVALUE(MID(H34,6,2)),"فروردین","اردیبهشت","خرداد","تیر","مرداد","شهریور","مهر","آبان","آذر","دی","بهمن","اسفند")</f>
        <v/>
      </c>
      <c r="C34" s="176" t="inlineStr">
        <is>
          <t>ماشين ظرفشويي</t>
        </is>
      </c>
      <c r="D34" s="176" t="inlineStr">
        <is>
          <t>CDW-H16T</t>
        </is>
      </c>
      <c r="E34" s="176" t="inlineStr">
        <is>
          <t>52220005N01360</t>
        </is>
      </c>
      <c r="F34" s="173" t="inlineStr">
        <is>
          <t>عدم شست و شوي کامل ظروف**اياب و ذهاب به عهده شرکت</t>
        </is>
      </c>
      <c r="G34" s="173" t="inlineStr">
        <is>
          <t>خرابي شيربرقي</t>
        </is>
      </c>
      <c r="H34" s="176" t="inlineStr">
        <is>
          <t>1405/01/16</t>
        </is>
      </c>
      <c r="I34" s="176" t="inlineStr">
        <is>
          <t>1403/11/02</t>
        </is>
      </c>
      <c r="J34" s="176" t="inlineStr">
        <is>
          <t>1404/11/28</t>
        </is>
      </c>
      <c r="K34" s="177">
        <f>IFERROR(VLOOKUP(LEFT(H34,7),'تبدیل تاریخ'!$A$2:$B$73,2,FALSE())+VALUE(RIGHT(H34,2))-1,"")</f>
        <v/>
      </c>
      <c r="L34" s="177">
        <f>IFERROR(VLOOKUP(LEFT(I34,7),'تبدیل تاریخ'!$A$2:$B$73,2,FALSE())+VALUE(RIGHT(I34,2))-1,"")</f>
        <v/>
      </c>
      <c r="M34" s="177">
        <f>IF(J34="","",IFERROR(VLOOKUP(LEFT(J34,7),'تبدیل تاریخ'!$A$2:$B$73,2,FALSE())+VALUE(RIGHT(J34,2))-1,""))</f>
        <v/>
      </c>
      <c r="N34" s="124">
        <f>IF(OR(K34="",M34=""),"",CEILING((K34-M34)/30,1))</f>
        <v/>
      </c>
      <c r="O34" s="124">
        <f>IF(OR(ISNUMBER(SEARCH("بدون مورد",G34)),ISNUMBER(SEARCH("غير گارانتي",G34)),ISNUMBER(SEARCH("غیر گارانتی",G34)),ISNUMBER(SEARCH("بدون اجرت",G34)),ISNUMBER(SEARCH("فيلتر",G34)),ISNUMBER(SEARCH("فیلتر",G34))),"غیرگارانتی/بدون قطعه",IF(OR(ISNUMBER(SEARCH("ريست",G34)),ISNUMBER(SEARCH("ریست",G34))),"ریست نرم‌افزاری (بدون قطعه)",IF(OR(ISNUMBER(SEARCH("تعویض محصول",G34)),ISNUMBER(SEARCH("تعویض دستگاه",G34))),"تعویض کامل دستگاه (Replacement)",IF(ISNUMBER(SEARCH("پمپ",G34)),IF(ISNUMBER(SEARCH("نشت",G34)),"نشتی - پمپ تخلیه (تعمیر/آب‌بندی)","خرابی - پمپ تخلیه (تعویض)"),IF(ISNUMBER(SEARCH("کمپرسور",G34)),"خرابی - کمپرسور (تعویض)",IF(ISNUMBER(SEARCH("کمک فنر",G34)),"خرابی - کمک فنر (تعویض)",IF(ISNUMBER(SEARCH("لولا",G34)),"مکانیزم درب - لولا (تعویض)",IF(OR(ISNUMBER(SEARCH("قلاب",G34)),ISNUMBER(SEARCH("ميکروسوئيچ",G34)),ISNUMBER(SEARCH("میکروسوئیچ",G34))),"مکانیزم درب - میکروسوئیچ/قلاب (تعویض/تنظیم)",IF(ISNUMBER(SEARCH("زبانه",G34)),"مکانیزم درب - زبانه (تعویض)",IF(OR(ISNUMBER(SEARCH("شيلنگ",G34)),ISNUMBER(SEARCH("شیلنگ",G34))),IF(OR(ISNUMBER(SEARCH("نشتی",G34)),ISNUMBER(SEARCH("نشتي",G34))),"نشتی - شیلنگ (تعمیر/آب‌بندی)",IF(OR(ISNUMBER(SEARCH("يخ",G34)),ISNUMBER(SEARCH("یخ",G34))),"شیلنگ یخساز - یخ‌زدگی (بازبینی)","شیلنگ - برخورد/لهیدگی (بازبینی)")),IF(OR(ISNUMBER(SEARCH("تنظيم ديسپل",G34)),ISNUMBER(SEARCH("تنظیم دیسپل",G34)),ISNUMBER(SEARCH("تنظيم صفحه نمايش",G34)),ISNUMBER(SEARCH("تنظیم صفحه نمایش",G34))),"تنظیم - تنظیمات دستگاه/دیسپلی (تعمیر)",IF(OR(ISNUMBER(SEARCH("برد",G34)),ISNUMBER(SEARCH("سوکت",G34)),ISNUMBER(SEARCH("ديسپل",G34)),ISNUMBER(SEARCH("دیسپل",G34))),"خرابی - برد الکترونیک (تعویض)",IF(OR(ISNUMBER(SEARCH("يخساز",G34)),ISNUMBER(SEARCH("یخساز",G34)),ISNUMBER(SEARCH("دمپر",G34))),IF(OR(ISNUMBER(SEARCH("خرابی",G34)),ISNUMBER(SEARCH("خراب",G34)),ISNUMBER(SEARCH("عدم کارکرد",G34)),ISNUMBER(SEARCH("عدم عملکرد",G34))),"یخساز - خرابی موتور/سنسور/برد (تعویض)","یخساز - تنظیم/عایق (تعمیر)"),IF(OR(ISNUMBER(SEARCH("لاستيک",G34)),ISNUMBER(SEARCH("لاستیک",G34))),"لاستیک درزگیر - دفرمگی/پارگی (تعویض)",IF(OR(ISNUMBER(SEARCH("گسکت",G34)),ISNUMBER(SEARCH("گسگت",G34))),"لاستیک درزگیر - دفرمگی/پارگی (تعویض)",IF(ISNUMBER(SEARCH("مخزن نمک",G34)),"نشتی - درب مخزن نمک (تعمیر/آب‌بندی)",IF(ISNUMBER(SEARCH("براکت",G34)),"نشتی - براکت ریل (تعمیر/آب‌بندی)",IF(ISNUMBER(SEARCH("جاپودر",G34)),"نشتی - جاپودری (تعمیر/آب‌بندی)",IF(ISNUMBER(SEARCH("مقسم",G34)),"نشتی - مقسم آب (تعمیر/آب‌بندی)",IF(OR(ISNUMBER(SEARCH("سنسور دما",G34)),ISNUMBER(SEARCH("ترموستات",G34))),"خرابی - ترموستات (تعویض)",IF(OR(ISNUMBER(SEARCH("هيدروستات",G34)),ISNUMBER(SEARCH("هیدروستات",G34))),"خرابی - هیدروستات (تعویض)",IF(OR(ISNUMBER(SEARCH("بلبرينگ",G34)),ISNUMBER(SEARCH("بلبرینگ",G34))),"خرابی - بلبرینگ (تعویض)",IF(OR(ISNUMBER(SEARCH("شيربرق",G34)),ISNUMBER(SEARCH("شیربرق",G34))),"خرابی - شیربرقی (تعویض)",IF(OR(ISNUMBER(SEARCH("واتر جت",G34)),ISNUMBER(SEARCH("واترجت",G34))),"خرابی - واترجت (تعویض)",IF(OR(ISNUMBER(SEARCH("سيم",G34)),ISNUMBER(SEARCH("سیم",G34)),ISNUMBER(SEARCH("اتصال",G34))),"سیم‌کشی/اتصالات (تعویض/بازبینی)",IF(OR(ISNUMBER(SEARCH("تصوير",G34)),ISNUMBER(SEARCH("تصویر",G34))),"برد نمایش تلویزیون (تعویض)",IF(OR(ISNUMBER(SEARCH("ريموت",G34)),ISNUMBER(SEARCH("ریموت",G34))),"ریموت کنترل (تعویض/تعمیر)",IF(OR(ISNUMBER(SEARCH("ال اي دي",G34)),ISNUMBER(SEARCH("ال ای دی",G34)),ISNUMBER(SEARCH("LED",G34))),"خرابی - لامپ/LED داخلی (تعویض)",IF(ISNUMBER(SEARCH("زنگ زدگ",G34)),"زنگ‌زدگی بدنه/قطعه (تعویض)",IF(OR(ISNUMBER(SEARCH("قطعات تزئين",G34)),ISNUMBER(SEARCH("قطعات تزئین",G34))),"قطعات تزئینی - شکستگی/کسری (تعویض)",IF(ISNUMBER(SEARCH("سبد",G34)),"سبد ظرفشویی - شکستگی (تعویض)",IF(ISNUMBER(SEARCH("تاب درام",G34)),"خرابی - تاب برداشتن درام (تعویض)",IF(ISNUMBER(SEARCH("درام",G34)),"خرابی - سایر ایراد درام (تعویض)",IF(ISNUMBER(SEARCH("موتور",G34)),"خرابی - موتور (تعویض)",IF(ISNUMBER(SEARCH("تسمه",G34)),"خرابی - تسمه (تعویض)",IF(OR(ISNUMBER(SEARCH("پيچ ولوم",G34)),ISNUMBER(SEARCH("پیچ ولوم",G34))),"تنظیم - پیچ ولوم/دکمه (تعمیر)",IF(OR(ISNUMBER(SEARCH("کسري قطعات",G34)),ISNUMBER(SEARCH("کسری قطعات",G34))),"کسری قطعات تزئینی (تعویض)",IF(ISNUMBER(SEARCH("پرچ",G34)),"پرچ/بدنه کابین(تعمیر)",IF(OR(ISNUMBER(SEARCH("نشت",G34)),ISNUMBER(SEARCH("آبريزش",G34)),ISNUMBER(SEARCH("آبریزش",G34))),"نشتی آب - محل نامشخص (نیازمند بازدید)",IF(ISNUMBER(SEARCH("درب",G34)),"سایر اجزای درب (بازبینی)",IF(ISNUMBER(SEARCH("ضربه",G34)),"بدنه/کابین - ضربه (بازبینی/تعویض پنل)",IF(ISNUMBER(SEARCH("تراز",G34)),"تراز/لرزش - نصب (رگلاژ پایه)",IF(OR(ISNUMBER(SEARCH("تعویض",G34)),ISNUMBER(SEARCH("تعويض",G34))),"تعویض کامل دستگاه (Replacement)","سایر (نیازمند بررسی دستی)")))))))))))))))))))))))))))))))))))))))))))</f>
        <v/>
      </c>
      <c r="P34" s="124" t="inlineStr">
        <is>
          <t>شیر برقی ظرفشویی</t>
        </is>
      </c>
      <c r="Q34" s="124">
        <f>IF(ISNUMBER(SEARCH("عهده شرکت",F34)),"شرکت",IF(ISNUMBER(SEARCH("عهده مشتري",F34)),"مشتری",IF(ISNUMBER(SEARCH("عهده مشتری",F34)),"مشتری","نامشخص")))</f>
        <v/>
      </c>
      <c r="R34" s="178">
        <f>IF(O34="تعویض کامل دستگاه (Replacement)",IF(SUMIF('قیمت‌ها و مفروضات'!$A$9:$A$13,C34,'قیمت‌ها و مفروضات'!$C$9:$C$13)&lt;&gt;0,SUMIF('قیمت‌ها و مفروضات'!$A$9:$A$13,C34,'قیمت‌ها و مفروضات'!$C$9:$C$13),SUMIF('قیمت‌ها و مفروضات'!$A$9:$A$13,C34,'قیمت‌ها و مفروضات'!$B$9:$B$13)),IF(SUMIF('قیمت‌ها و مفروضات'!$A$18:$A$63,O34,'قیمت‌ها و مفروضات'!$C$18:$C$63)&lt;&gt;0,SUMIF('قیمت‌ها و مفروضات'!$A$18:$A$63,O34,'قیمت‌ها و مفروضات'!$C$18:$C$63),SUMIF('قیمت‌ها و مفروضات'!$A$18:$A$63,O34,'قیمت‌ها و مفروضات'!$B$18:$B$63)))</f>
        <v/>
      </c>
      <c r="S34" s="178">
        <f>'قیمت‌ها و مفروضات'!$B$3+'قیمت‌ها و مفروضات'!$B$4</f>
        <v/>
      </c>
      <c r="T34" s="178">
        <f>R34+S34</f>
        <v/>
      </c>
      <c r="U34" s="178">
        <f>IF(COUNTIF($E$2:E34,E34)&gt;1,"بله (تکراری)","خیر")</f>
        <v/>
      </c>
      <c r="V34" s="178">
        <f>IF(U34="بله (تکراری)",S34,0)</f>
        <v/>
      </c>
      <c r="W34" s="208" t="inlineStr"/>
      <c r="X34" s="208" t="inlineStr"/>
    </row>
    <row r="35" ht="58.5" customHeight="1" s="151">
      <c r="A35" s="176" t="n">
        <v>510017937</v>
      </c>
      <c r="B35" s="124">
        <f>CHOOSE(_xlfn.NUMBERVALUE(MID(H35,6,2)),"فروردین","اردیبهشت","خرداد","تیر","مرداد","شهریور","مهر","آبان","آذر","دی","بهمن","اسفند")</f>
        <v/>
      </c>
      <c r="C35" s="176" t="inlineStr">
        <is>
          <t>ماشين لباسشويي</t>
        </is>
      </c>
      <c r="D35" s="176" t="inlineStr">
        <is>
          <t>CWM-BMW8V1</t>
        </is>
      </c>
      <c r="E35" s="176" t="inlineStr">
        <is>
          <t>52210003N01598</t>
        </is>
      </c>
      <c r="F35" s="173" t="inlineStr">
        <is>
          <t>عدم عملکرد کليدهاي ديسپلي اياب و ذهاب به عهده شرکت</t>
        </is>
      </c>
      <c r="G35" s="173" t="inlineStr">
        <is>
          <t>خرابي برد - عدم عملکرد کليدهاي ديسپلي</t>
        </is>
      </c>
      <c r="H35" s="176" t="inlineStr">
        <is>
          <t>1405/01/15</t>
        </is>
      </c>
      <c r="I35" s="176" t="inlineStr">
        <is>
          <t>1404/02/25</t>
        </is>
      </c>
      <c r="J35" s="176" t="inlineStr">
        <is>
          <t>1404/07/13</t>
        </is>
      </c>
      <c r="K35" s="177">
        <f>IFERROR(VLOOKUP(LEFT(H35,7),'تبدیل تاریخ'!$A$2:$B$73,2,FALSE())+VALUE(RIGHT(H35,2))-1,"")</f>
        <v/>
      </c>
      <c r="L35" s="177">
        <f>IFERROR(VLOOKUP(LEFT(I35,7),'تبدیل تاریخ'!$A$2:$B$73,2,FALSE())+VALUE(RIGHT(I35,2))-1,"")</f>
        <v/>
      </c>
      <c r="M35" s="177">
        <f>IF(J35="","",IFERROR(VLOOKUP(LEFT(J35,7),'تبدیل تاریخ'!$A$2:$B$73,2,FALSE())+VALUE(RIGHT(J35,2))-1,""))</f>
        <v/>
      </c>
      <c r="N35" s="124">
        <f>IF(OR(K35="",M35=""),"",CEILING((K35-M35)/30,1))</f>
        <v/>
      </c>
      <c r="O35" s="124">
        <f>IF(OR(ISNUMBER(SEARCH("بدون مورد",G35)),ISNUMBER(SEARCH("غير گارانتي",G35)),ISNUMBER(SEARCH("غیر گارانتی",G35)),ISNUMBER(SEARCH("بدون اجرت",G35)),ISNUMBER(SEARCH("فيلتر",G35)),ISNUMBER(SEARCH("فیلتر",G35))),"غیرگارانتی/بدون قطعه",IF(OR(ISNUMBER(SEARCH("ريست",G35)),ISNUMBER(SEARCH("ریست",G35))),"ریست نرم‌افزاری (بدون قطعه)",IF(OR(ISNUMBER(SEARCH("تعویض محصول",G35)),ISNUMBER(SEARCH("تعویض دستگاه",G35))),"تعویض کامل دستگاه (Replacement)",IF(ISNUMBER(SEARCH("پمپ",G35)),IF(ISNUMBER(SEARCH("نشت",G35)),"نشتی - پمپ تخلیه (تعمیر/آب‌بندی)","خرابی - پمپ تخلیه (تعویض)"),IF(ISNUMBER(SEARCH("کمپرسور",G35)),"خرابی - کمپرسور (تعویض)",IF(ISNUMBER(SEARCH("کمک فنر",G35)),"خرابی - کمک فنر (تعویض)",IF(ISNUMBER(SEARCH("لولا",G35)),"مکانیزم درب - لولا (تعویض)",IF(OR(ISNUMBER(SEARCH("قلاب",G35)),ISNUMBER(SEARCH("ميکروسوئيچ",G35)),ISNUMBER(SEARCH("میکروسوئیچ",G35))),"مکانیزم درب - میکروسوئیچ/قلاب (تعویض/تنظیم)",IF(ISNUMBER(SEARCH("زبانه",G35)),"مکانیزم درب - زبانه (تعویض)",IF(OR(ISNUMBER(SEARCH("شيلنگ",G35)),ISNUMBER(SEARCH("شیلنگ",G35))),IF(OR(ISNUMBER(SEARCH("نشتی",G35)),ISNUMBER(SEARCH("نشتي",G35))),"نشتی - شیلنگ (تعمیر/آب‌بندی)",IF(OR(ISNUMBER(SEARCH("يخ",G35)),ISNUMBER(SEARCH("یخ",G35))),"شیلنگ یخساز - یخ‌زدگی (بازبینی)","شیلنگ - برخورد/لهیدگی (بازبینی)")),IF(OR(ISNUMBER(SEARCH("تنظيم ديسپل",G35)),ISNUMBER(SEARCH("تنظیم دیسپل",G35)),ISNUMBER(SEARCH("تنظيم صفحه نمايش",G35)),ISNUMBER(SEARCH("تنظیم صفحه نمایش",G35))),"تنظیم - تنظیمات دستگاه/دیسپلی (تعمیر)",IF(OR(ISNUMBER(SEARCH("برد",G35)),ISNUMBER(SEARCH("سوکت",G35)),ISNUMBER(SEARCH("ديسپل",G35)),ISNUMBER(SEARCH("دیسپل",G35))),"خرابی - برد الکترونیک (تعویض)",IF(OR(ISNUMBER(SEARCH("يخساز",G35)),ISNUMBER(SEARCH("یخساز",G35)),ISNUMBER(SEARCH("دمپر",G35))),IF(OR(ISNUMBER(SEARCH("خرابی",G35)),ISNUMBER(SEARCH("خراب",G35)),ISNUMBER(SEARCH("عدم کارکرد",G35)),ISNUMBER(SEARCH("عدم عملکرد",G35))),"یخساز - خرابی موتور/سنسور/برد (تعویض)","یخساز - تنظیم/عایق (تعمیر)"),IF(OR(ISNUMBER(SEARCH("لاستيک",G35)),ISNUMBER(SEARCH("لاستیک",G35))),"لاستیک درزگیر - دفرمگی/پارگی (تعویض)",IF(OR(ISNUMBER(SEARCH("گسکت",G35)),ISNUMBER(SEARCH("گسگت",G35))),"لاستیک درزگیر - دفرمگی/پارگی (تعویض)",IF(ISNUMBER(SEARCH("مخزن نمک",G35)),"نشتی - درب مخزن نمک (تعمیر/آب‌بندی)",IF(ISNUMBER(SEARCH("براکت",G35)),"نشتی - براکت ریل (تعمیر/آب‌بندی)",IF(ISNUMBER(SEARCH("جاپودر",G35)),"نشتی - جاپودری (تعمیر/آب‌بندی)",IF(ISNUMBER(SEARCH("مقسم",G35)),"نشتی - مقسم آب (تعمیر/آب‌بندی)",IF(OR(ISNUMBER(SEARCH("سنسور دما",G35)),ISNUMBER(SEARCH("ترموستات",G35))),"خرابی - ترموستات (تعویض)",IF(OR(ISNUMBER(SEARCH("هيدروستات",G35)),ISNUMBER(SEARCH("هیدروستات",G35))),"خرابی - هیدروستات (تعویض)",IF(OR(ISNUMBER(SEARCH("بلبرينگ",G35)),ISNUMBER(SEARCH("بلبرینگ",G35))),"خرابی - بلبرینگ (تعویض)",IF(OR(ISNUMBER(SEARCH("شيربرق",G35)),ISNUMBER(SEARCH("شیربرق",G35))),"خرابی - شیربرقی (تعویض)",IF(OR(ISNUMBER(SEARCH("واتر جت",G35)),ISNUMBER(SEARCH("واترجت",G35))),"خرابی - واترجت (تعویض)",IF(OR(ISNUMBER(SEARCH("سيم",G35)),ISNUMBER(SEARCH("سیم",G35)),ISNUMBER(SEARCH("اتصال",G35))),"سیم‌کشی/اتصالات (تعویض/بازبینی)",IF(OR(ISNUMBER(SEARCH("تصوير",G35)),ISNUMBER(SEARCH("تصویر",G35))),"برد نمایش تلویزیون (تعویض)",IF(OR(ISNUMBER(SEARCH("ريموت",G35)),ISNUMBER(SEARCH("ریموت",G35))),"ریموت کنترل (تعویض/تعمیر)",IF(OR(ISNUMBER(SEARCH("ال اي دي",G35)),ISNUMBER(SEARCH("ال ای دی",G35)),ISNUMBER(SEARCH("LED",G35))),"خرابی - لامپ/LED داخلی (تعویض)",IF(ISNUMBER(SEARCH("زنگ زدگ",G35)),"زنگ‌زدگی بدنه/قطعه (تعویض)",IF(OR(ISNUMBER(SEARCH("قطعات تزئين",G35)),ISNUMBER(SEARCH("قطعات تزئین",G35))),"قطعات تزئینی - شکستگی/کسری (تعویض)",IF(ISNUMBER(SEARCH("سبد",G35)),"سبد ظرفشویی - شکستگی (تعویض)",IF(ISNUMBER(SEARCH("تاب درام",G35)),"خرابی - تاب برداشتن درام (تعویض)",IF(ISNUMBER(SEARCH("درام",G35)),"خرابی - سایر ایراد درام (تعویض)",IF(ISNUMBER(SEARCH("موتور",G35)),"خرابی - موتور (تعویض)",IF(ISNUMBER(SEARCH("تسمه",G35)),"خرابی - تسمه (تعویض)",IF(OR(ISNUMBER(SEARCH("پيچ ولوم",G35)),ISNUMBER(SEARCH("پیچ ولوم",G35))),"تنظیم - پیچ ولوم/دکمه (تعمیر)",IF(OR(ISNUMBER(SEARCH("کسري قطعات",G35)),ISNUMBER(SEARCH("کسری قطعات",G35))),"کسری قطعات تزئینی (تعویض)",IF(ISNUMBER(SEARCH("پرچ",G35)),"پرچ/بدنه کابین(تعمیر)",IF(OR(ISNUMBER(SEARCH("نشت",G35)),ISNUMBER(SEARCH("آبريزش",G35)),ISNUMBER(SEARCH("آبریزش",G35))),"نشتی آب - محل نامشخص (نیازمند بازدید)",IF(ISNUMBER(SEARCH("درب",G35)),"سایر اجزای درب (بازبینی)",IF(ISNUMBER(SEARCH("ضربه",G35)),"بدنه/کابین - ضربه (بازبینی/تعویض پنل)",IF(ISNUMBER(SEARCH("تراز",G35)),"تراز/لرزش - نصب (رگلاژ پایه)",IF(OR(ISNUMBER(SEARCH("تعویض",G35)),ISNUMBER(SEARCH("تعويض",G35))),"تعویض کامل دستگاه (Replacement)","سایر (نیازمند بررسی دستی)")))))))))))))))))))))))))))))))))))))))))))</f>
        <v/>
      </c>
      <c r="P35" s="124" t="inlineStr">
        <is>
          <t>برد لباسشویی</t>
        </is>
      </c>
      <c r="Q35" s="124">
        <f>IF(ISNUMBER(SEARCH("عهده شرکت",F35)),"شرکت",IF(ISNUMBER(SEARCH("عهده مشتري",F35)),"مشتری",IF(ISNUMBER(SEARCH("عهده مشتری",F35)),"مشتری","نامشخص")))</f>
        <v/>
      </c>
      <c r="R35" s="178">
        <f>IF(O35="تعویض کامل دستگاه (Replacement)",IF(SUMIF('قیمت‌ها و مفروضات'!$A$9:$A$13,C35,'قیمت‌ها و مفروضات'!$C$9:$C$13)&lt;&gt;0,SUMIF('قیمت‌ها و مفروضات'!$A$9:$A$13,C35,'قیمت‌ها و مفروضات'!$C$9:$C$13),SUMIF('قیمت‌ها و مفروضات'!$A$9:$A$13,C35,'قیمت‌ها و مفروضات'!$B$9:$B$13)),IF(SUMIF('قیمت‌ها و مفروضات'!$A$18:$A$63,O35,'قیمت‌ها و مفروضات'!$C$18:$C$63)&lt;&gt;0,SUMIF('قیمت‌ها و مفروضات'!$A$18:$A$63,O35,'قیمت‌ها و مفروضات'!$C$18:$C$63),SUMIF('قیمت‌ها و مفروضات'!$A$18:$A$63,O35,'قیمت‌ها و مفروضات'!$B$18:$B$63)))</f>
        <v/>
      </c>
      <c r="S35" s="178">
        <f>'قیمت‌ها و مفروضات'!$B$3+'قیمت‌ها و مفروضات'!$B$4</f>
        <v/>
      </c>
      <c r="T35" s="178">
        <f>R35+S35</f>
        <v/>
      </c>
      <c r="U35" s="178">
        <f>IF(COUNTIF($E$2:E35,E35)&gt;1,"بله (تکراری)","خیر")</f>
        <v/>
      </c>
      <c r="V35" s="178">
        <f>IF(U35="بله (تکراری)",S35,0)</f>
        <v/>
      </c>
      <c r="W35" s="208" t="inlineStr"/>
      <c r="X35" s="208" t="inlineStr"/>
    </row>
    <row r="36" ht="58.5" customHeight="1" s="151">
      <c r="A36" s="176" t="n">
        <v>130004876</v>
      </c>
      <c r="B36" s="124">
        <f>CHOOSE(_xlfn.NUMBERVALUE(MID(H36,6,2)),"فروردین","اردیبهشت","خرداد","تیر","مرداد","شهریور","مهر","آبان","آذر","دی","بهمن","اسفند")</f>
        <v/>
      </c>
      <c r="C36" s="176" t="inlineStr">
        <is>
          <t>ماشين ظرفشويي</t>
        </is>
      </c>
      <c r="D36" s="176" t="inlineStr">
        <is>
          <t>CDW-H15V</t>
        </is>
      </c>
      <c r="E36" s="176" t="inlineStr">
        <is>
          <t>52220002N02754</t>
        </is>
      </c>
      <c r="F36" s="173" t="inlineStr">
        <is>
          <t>بسته نشدن درب اياب و ذهاب به عهده شرکت</t>
        </is>
      </c>
      <c r="G36" s="173" t="inlineStr">
        <is>
          <t>خرابي قلاب ميکروسوئيچ</t>
        </is>
      </c>
      <c r="H36" s="176" t="inlineStr">
        <is>
          <t>1405/01/16</t>
        </is>
      </c>
      <c r="I36" s="176" t="inlineStr">
        <is>
          <t>1404/08/14</t>
        </is>
      </c>
      <c r="J36" s="171" t="inlineStr">
        <is>
          <t>1405/01/03</t>
        </is>
      </c>
      <c r="K36" s="177">
        <f>IFERROR(VLOOKUP(LEFT(H36,7),'تبدیل تاریخ'!$A$2:$B$73,2,FALSE())+VALUE(RIGHT(H36,2))-1,"")</f>
        <v/>
      </c>
      <c r="L36" s="177">
        <f>IFERROR(VLOOKUP(LEFT(I36,7),'تبدیل تاریخ'!$A$2:$B$73,2,FALSE())+VALUE(RIGHT(I36,2))-1,"")</f>
        <v/>
      </c>
      <c r="M36" s="177">
        <f>IF(J36="","",IFERROR(VLOOKUP(LEFT(J36,7),'تبدیل تاریخ'!$A$2:$B$73,2,FALSE())+VALUE(RIGHT(J36,2))-1,""))</f>
        <v/>
      </c>
      <c r="N36" s="124">
        <f>IF(OR(K36="",M36=""),"",CEILING((K36-M36)/30,1))</f>
        <v/>
      </c>
      <c r="O36" s="124">
        <f>IF(OR(ISNUMBER(SEARCH("بدون مورد",G36)),ISNUMBER(SEARCH("غير گارانتي",G36)),ISNUMBER(SEARCH("غیر گارانتی",G36)),ISNUMBER(SEARCH("بدون اجرت",G36)),ISNUMBER(SEARCH("فيلتر",G36)),ISNUMBER(SEARCH("فیلتر",G36))),"غیرگارانتی/بدون قطعه",IF(OR(ISNUMBER(SEARCH("ريست",G36)),ISNUMBER(SEARCH("ریست",G36))),"ریست نرم‌افزاری (بدون قطعه)",IF(OR(ISNUMBER(SEARCH("تعویض محصول",G36)),ISNUMBER(SEARCH("تعویض دستگاه",G36))),"تعویض کامل دستگاه (Replacement)",IF(ISNUMBER(SEARCH("پمپ",G36)),IF(ISNUMBER(SEARCH("نشت",G36)),"نشتی - پمپ تخلیه (تعمیر/آب‌بندی)","خرابی - پمپ تخلیه (تعویض)"),IF(ISNUMBER(SEARCH("کمپرسور",G36)),"خرابی - کمپرسور (تعویض)",IF(ISNUMBER(SEARCH("کمک فنر",G36)),"خرابی - کمک فنر (تعویض)",IF(ISNUMBER(SEARCH("لولا",G36)),"مکانیزم درب - لولا (تعویض)",IF(OR(ISNUMBER(SEARCH("قلاب",G36)),ISNUMBER(SEARCH("ميکروسوئيچ",G36)),ISNUMBER(SEARCH("میکروسوئیچ",G36))),"مکانیزم درب - میکروسوئیچ/قلاب (تعویض/تنظیم)",IF(ISNUMBER(SEARCH("زبانه",G36)),"مکانیزم درب - زبانه (تعویض)",IF(OR(ISNUMBER(SEARCH("شيلنگ",G36)),ISNUMBER(SEARCH("شیلنگ",G36))),IF(OR(ISNUMBER(SEARCH("نشتی",G36)),ISNUMBER(SEARCH("نشتي",G36))),"نشتی - شیلنگ (تعمیر/آب‌بندی)",IF(OR(ISNUMBER(SEARCH("يخ",G36)),ISNUMBER(SEARCH("یخ",G36))),"شیلنگ یخساز - یخ‌زدگی (بازبینی)","شیلنگ - برخورد/لهیدگی (بازبینی)")),IF(OR(ISNUMBER(SEARCH("تنظيم ديسپل",G36)),ISNUMBER(SEARCH("تنظیم دیسپل",G36)),ISNUMBER(SEARCH("تنظيم صفحه نمايش",G36)),ISNUMBER(SEARCH("تنظیم صفحه نمایش",G36))),"تنظیم - تنظیمات دستگاه/دیسپلی (تعمیر)",IF(OR(ISNUMBER(SEARCH("برد",G36)),ISNUMBER(SEARCH("سوکت",G36)),ISNUMBER(SEARCH("ديسپل",G36)),ISNUMBER(SEARCH("دیسپل",G36))),"خرابی - برد الکترونیک (تعویض)",IF(OR(ISNUMBER(SEARCH("يخساز",G36)),ISNUMBER(SEARCH("یخساز",G36)),ISNUMBER(SEARCH("دمپر",G36))),IF(OR(ISNUMBER(SEARCH("خرابی",G36)),ISNUMBER(SEARCH("خراب",G36)),ISNUMBER(SEARCH("عدم کارکرد",G36)),ISNUMBER(SEARCH("عدم عملکرد",G36))),"یخساز - خرابی موتور/سنسور/برد (تعویض)","یخساز - تنظیم/عایق (تعمیر)"),IF(OR(ISNUMBER(SEARCH("لاستيک",G36)),ISNUMBER(SEARCH("لاستیک",G36))),"لاستیک درزگیر - دفرمگی/پارگی (تعویض)",IF(OR(ISNUMBER(SEARCH("گسکت",G36)),ISNUMBER(SEARCH("گسگت",G36))),"لاستیک درزگیر - دفرمگی/پارگی (تعویض)",IF(ISNUMBER(SEARCH("مخزن نمک",G36)),"نشتی - درب مخزن نمک (تعمیر/آب‌بندی)",IF(ISNUMBER(SEARCH("براکت",G36)),"نشتی - براکت ریل (تعمیر/آب‌بندی)",IF(ISNUMBER(SEARCH("جاپودر",G36)),"نشتی - جاپودری (تعمیر/آب‌بندی)",IF(ISNUMBER(SEARCH("مقسم",G36)),"نشتی - مقسم آب (تعمیر/آب‌بندی)",IF(OR(ISNUMBER(SEARCH("سنسور دما",G36)),ISNUMBER(SEARCH("ترموستات",G36))),"خرابی - ترموستات (تعویض)",IF(OR(ISNUMBER(SEARCH("هيدروستات",G36)),ISNUMBER(SEARCH("هیدروستات",G36))),"خرابی - هیدروستات (تعویض)",IF(OR(ISNUMBER(SEARCH("بلبرينگ",G36)),ISNUMBER(SEARCH("بلبرینگ",G36))),"خرابی - بلبرینگ (تعویض)",IF(OR(ISNUMBER(SEARCH("شيربرق",G36)),ISNUMBER(SEARCH("شیربرق",G36))),"خرابی - شیربرقی (تعویض)",IF(OR(ISNUMBER(SEARCH("واتر جت",G36)),ISNUMBER(SEARCH("واترجت",G36))),"خرابی - واترجت (تعویض)",IF(OR(ISNUMBER(SEARCH("سيم",G36)),ISNUMBER(SEARCH("سیم",G36)),ISNUMBER(SEARCH("اتصال",G36))),"سیم‌کشی/اتصالات (تعویض/بازبینی)",IF(OR(ISNUMBER(SEARCH("تصوير",G36)),ISNUMBER(SEARCH("تصویر",G36))),"برد نمایش تلویزیون (تعویض)",IF(OR(ISNUMBER(SEARCH("ريموت",G36)),ISNUMBER(SEARCH("ریموت",G36))),"ریموت کنترل (تعویض/تعمیر)",IF(OR(ISNUMBER(SEARCH("ال اي دي",G36)),ISNUMBER(SEARCH("ال ای دی",G36)),ISNUMBER(SEARCH("LED",G36))),"خرابی - لامپ/LED داخلی (تعویض)",IF(ISNUMBER(SEARCH("زنگ زدگ",G36)),"زنگ‌زدگی بدنه/قطعه (تعویض)",IF(OR(ISNUMBER(SEARCH("قطعات تزئين",G36)),ISNUMBER(SEARCH("قطعات تزئین",G36))),"قطعات تزئینی - شکستگی/کسری (تعویض)",IF(ISNUMBER(SEARCH("سبد",G36)),"سبد ظرفشویی - شکستگی (تعویض)",IF(ISNUMBER(SEARCH("تاب درام",G36)),"خرابی - تاب برداشتن درام (تعویض)",IF(ISNUMBER(SEARCH("درام",G36)),"خرابی - سایر ایراد درام (تعویض)",IF(ISNUMBER(SEARCH("موتور",G36)),"خرابی - موتور (تعویض)",IF(ISNUMBER(SEARCH("تسمه",G36)),"خرابی - تسمه (تعویض)",IF(OR(ISNUMBER(SEARCH("پيچ ولوم",G36)),ISNUMBER(SEARCH("پیچ ولوم",G36))),"تنظیم - پیچ ولوم/دکمه (تعمیر)",IF(OR(ISNUMBER(SEARCH("کسري قطعات",G36)),ISNUMBER(SEARCH("کسری قطعات",G36))),"کسری قطعات تزئینی (تعویض)",IF(ISNUMBER(SEARCH("پرچ",G36)),"پرچ/بدنه کابین(تعمیر)",IF(OR(ISNUMBER(SEARCH("نشت",G36)),ISNUMBER(SEARCH("آبريزش",G36)),ISNUMBER(SEARCH("آبریزش",G36))),"نشتی آب - محل نامشخص (نیازمند بازدید)",IF(ISNUMBER(SEARCH("درب",G36)),"سایر اجزای درب (بازبینی)",IF(ISNUMBER(SEARCH("ضربه",G36)),"بدنه/کابین - ضربه (بازبینی/تعویض پنل)",IF(ISNUMBER(SEARCH("تراز",G36)),"تراز/لرزش - نصب (رگلاژ پایه)",IF(OR(ISNUMBER(SEARCH("تعویض",G36)),ISNUMBER(SEARCH("تعويض",G36))),"تعویض کامل دستگاه (Replacement)","سایر (نیازمند بررسی دستی)")))))))))))))))))))))))))))))))))))))))))))</f>
        <v/>
      </c>
      <c r="P36" s="124" t="inlineStr">
        <is>
          <t>میکروسوئیچ 15 نفره</t>
        </is>
      </c>
      <c r="Q36" s="124">
        <f>IF(ISNUMBER(SEARCH("عهده شرکت",F36)),"شرکت",IF(ISNUMBER(SEARCH("عهده مشتري",F36)),"مشتری",IF(ISNUMBER(SEARCH("عهده مشتری",F36)),"مشتری","نامشخص")))</f>
        <v/>
      </c>
      <c r="R36" s="178">
        <f>IF(O36="تعویض کامل دستگاه (Replacement)",IF(SUMIF('قیمت‌ها و مفروضات'!$A$9:$A$13,C36,'قیمت‌ها و مفروضات'!$C$9:$C$13)&lt;&gt;0,SUMIF('قیمت‌ها و مفروضات'!$A$9:$A$13,C36,'قیمت‌ها و مفروضات'!$C$9:$C$13),SUMIF('قیمت‌ها و مفروضات'!$A$9:$A$13,C36,'قیمت‌ها و مفروضات'!$B$9:$B$13)),IF(SUMIF('قیمت‌ها و مفروضات'!$A$18:$A$63,O36,'قیمت‌ها و مفروضات'!$C$18:$C$63)&lt;&gt;0,SUMIF('قیمت‌ها و مفروضات'!$A$18:$A$63,O36,'قیمت‌ها و مفروضات'!$C$18:$C$63),SUMIF('قیمت‌ها و مفروضات'!$A$18:$A$63,O36,'قیمت‌ها و مفروضات'!$B$18:$B$63)))</f>
        <v/>
      </c>
      <c r="S36" s="178">
        <f>'قیمت‌ها و مفروضات'!$B$3+'قیمت‌ها و مفروضات'!$B$4</f>
        <v/>
      </c>
      <c r="T36" s="178">
        <f>R36+S36</f>
        <v/>
      </c>
      <c r="U36" s="178">
        <f>IF(COUNTIF($E$2:E36,E36)&gt;1,"بله (تکراری)","خیر")</f>
        <v/>
      </c>
      <c r="V36" s="178">
        <f>IF(U36="بله (تکراری)",S36,0)</f>
        <v/>
      </c>
      <c r="W36" s="208" t="inlineStr"/>
      <c r="X36" s="208" t="inlineStr"/>
    </row>
    <row r="37" ht="58.5" customHeight="1" s="151">
      <c r="A37" s="176" t="n">
        <v>210004764</v>
      </c>
      <c r="B37" s="124">
        <f>CHOOSE(_xlfn.NUMBERVALUE(MID(H37,6,2)),"فروردین","اردیبهشت","خرداد","تیر","مرداد","شهریور","مهر","آبان","آذر","دی","بهمن","اسفند")</f>
        <v/>
      </c>
      <c r="C37" s="176" t="inlineStr">
        <is>
          <t>ماشين ظرفشويي</t>
        </is>
      </c>
      <c r="D37" s="176" t="inlineStr">
        <is>
          <t>CDW-H16T</t>
        </is>
      </c>
      <c r="E37" s="176" t="inlineStr">
        <is>
          <t>52220005N03644</t>
        </is>
      </c>
      <c r="F37" s="173" t="inlineStr">
        <is>
          <t>از کار افتادن محصول**اياب و ذهاب به عهده شرکت</t>
        </is>
      </c>
      <c r="G37" s="173" t="inlineStr">
        <is>
          <t xml:space="preserve">ترک در زیر بدنه  و شکستگی حوضچه مخزن نمک </t>
        </is>
      </c>
      <c r="H37" s="176" t="inlineStr">
        <is>
          <t>1405/01/16</t>
        </is>
      </c>
      <c r="I37" s="124" t="inlineStr">
        <is>
          <t>1404/06/31</t>
        </is>
      </c>
      <c r="J37" s="179" t="inlineStr">
        <is>
          <t>1404/12/26</t>
        </is>
      </c>
      <c r="K37" s="177">
        <f>IFERROR(VLOOKUP(LEFT(H37,7),'تبدیل تاریخ'!$A$2:$B$73,2,FALSE())+VALUE(RIGHT(H37,2))-1,"")</f>
        <v/>
      </c>
      <c r="L37" s="177">
        <f>IFERROR(VLOOKUP(LEFT(I37,7),'تبدیل تاریخ'!$A$2:$B$73,2,FALSE())+VALUE(RIGHT(I37,2))-1,"")</f>
        <v/>
      </c>
      <c r="M37" s="177">
        <f>IF(J37="","",IFERROR(VLOOKUP(LEFT(J37,7),'تبدیل تاریخ'!$A$2:$B$73,2,FALSE())+VALUE(RIGHT(J37,2))-1,""))</f>
        <v/>
      </c>
      <c r="N37" s="124">
        <f>IF(OR(K37="",M37=""),"",CEILING((K37-M37)/30,1))</f>
        <v/>
      </c>
      <c r="O37" s="124">
        <f>IF(OR(ISNUMBER(SEARCH("بدون مورد",G37)),ISNUMBER(SEARCH("غير گارانتي",G37)),ISNUMBER(SEARCH("غیر گارانتی",G37)),ISNUMBER(SEARCH("بدون اجرت",G37)),ISNUMBER(SEARCH("فيلتر",G37)),ISNUMBER(SEARCH("فیلتر",G37))),"غیرگارانتی/بدون قطعه",IF(OR(ISNUMBER(SEARCH("ريست",G37)),ISNUMBER(SEARCH("ریست",G37))),"ریست نرم‌افزاری (بدون قطعه)",IF(OR(ISNUMBER(SEARCH("تعویض محصول",G37)),ISNUMBER(SEARCH("تعویض دستگاه",G37))),"تعویض کامل دستگاه (Replacement)",IF(ISNUMBER(SEARCH("پمپ",G37)),IF(ISNUMBER(SEARCH("نشت",G37)),"نشتی - پمپ تخلیه (تعمیر/آب‌بندی)","خرابی - پمپ تخلیه (تعویض)"),IF(ISNUMBER(SEARCH("کمپرسور",G37)),"خرابی - کمپرسور (تعویض)",IF(ISNUMBER(SEARCH("کمک فنر",G37)),"خرابی - کمک فنر (تعویض)",IF(ISNUMBER(SEARCH("لولا",G37)),"مکانیزم درب - لولا (تعویض)",IF(OR(ISNUMBER(SEARCH("قلاب",G37)),ISNUMBER(SEARCH("ميکروسوئيچ",G37)),ISNUMBER(SEARCH("میکروسوئیچ",G37))),"مکانیزم درب - میکروسوئیچ/قلاب (تعویض/تنظیم)",IF(ISNUMBER(SEARCH("زبانه",G37)),"مکانیزم درب - زبانه (تعویض)",IF(OR(ISNUMBER(SEARCH("شيلنگ",G37)),ISNUMBER(SEARCH("شیلنگ",G37))),IF(OR(ISNUMBER(SEARCH("نشتی",G37)),ISNUMBER(SEARCH("نشتي",G37))),"نشتی - شیلنگ (تعمیر/آب‌بندی)",IF(OR(ISNUMBER(SEARCH("يخ",G37)),ISNUMBER(SEARCH("یخ",G37))),"شیلنگ یخساز - یخ‌زدگی (بازبینی)","شیلنگ - برخورد/لهیدگی (بازبینی)")),IF(OR(ISNUMBER(SEARCH("تنظيم ديسپل",G37)),ISNUMBER(SEARCH("تنظیم دیسپل",G37)),ISNUMBER(SEARCH("تنظيم صفحه نمايش",G37)),ISNUMBER(SEARCH("تنظیم صفحه نمایش",G37))),"تنظیم - تنظیمات دستگاه/دیسپلی (تعمیر)",IF(OR(ISNUMBER(SEARCH("برد",G37)),ISNUMBER(SEARCH("سوکت",G37)),ISNUMBER(SEARCH("ديسپل",G37)),ISNUMBER(SEARCH("دیسپل",G37))),"خرابی - برد الکترونیک (تعویض)",IF(OR(ISNUMBER(SEARCH("يخساز",G37)),ISNUMBER(SEARCH("یخساز",G37)),ISNUMBER(SEARCH("دمپر",G37))),IF(OR(ISNUMBER(SEARCH("خرابی",G37)),ISNUMBER(SEARCH("خراب",G37)),ISNUMBER(SEARCH("عدم کارکرد",G37)),ISNUMBER(SEARCH("عدم عملکرد",G37))),"یخساز - خرابی موتور/سنسور/برد (تعویض)","یخساز - تنظیم/عایق (تعمیر)"),IF(OR(ISNUMBER(SEARCH("لاستيک",G37)),ISNUMBER(SEARCH("لاستیک",G37))),"لاستیک درزگیر - دفرمگی/پارگی (تعویض)",IF(OR(ISNUMBER(SEARCH("گسکت",G37)),ISNUMBER(SEARCH("گسگت",G37))),"لاستیک درزگیر - دفرمگی/پارگی (تعویض)",IF(ISNUMBER(SEARCH("مخزن نمک",G37)),"نشتی - درب مخزن نمک (تعمیر/آب‌بندی)",IF(ISNUMBER(SEARCH("براکت",G37)),"نشتی - براکت ریل (تعمیر/آب‌بندی)",IF(ISNUMBER(SEARCH("جاپودر",G37)),"نشتی - جاپودری (تعمیر/آب‌بندی)",IF(ISNUMBER(SEARCH("مقسم",G37)),"نشتی - مقسم آب (تعمیر/آب‌بندی)",IF(OR(ISNUMBER(SEARCH("سنسور دما",G37)),ISNUMBER(SEARCH("ترموستات",G37))),"خرابی - ترموستات (تعویض)",IF(OR(ISNUMBER(SEARCH("هيدروستات",G37)),ISNUMBER(SEARCH("هیدروستات",G37))),"خرابی - هیدروستات (تعویض)",IF(OR(ISNUMBER(SEARCH("بلبرينگ",G37)),ISNUMBER(SEARCH("بلبرینگ",G37))),"خرابی - بلبرینگ (تعویض)",IF(OR(ISNUMBER(SEARCH("شيربرق",G37)),ISNUMBER(SEARCH("شیربرق",G37))),"خرابی - شیربرقی (تعویض)",IF(OR(ISNUMBER(SEARCH("واتر جت",G37)),ISNUMBER(SEARCH("واترجت",G37))),"خرابی - واترجت (تعویض)",IF(OR(ISNUMBER(SEARCH("سيم",G37)),ISNUMBER(SEARCH("سیم",G37)),ISNUMBER(SEARCH("اتصال",G37))),"سیم‌کشی/اتصالات (تعویض/بازبینی)",IF(OR(ISNUMBER(SEARCH("تصوير",G37)),ISNUMBER(SEARCH("تصویر",G37))),"برد نمایش تلویزیون (تعویض)",IF(OR(ISNUMBER(SEARCH("ريموت",G37)),ISNUMBER(SEARCH("ریموت",G37))),"ریموت کنترل (تعویض/تعمیر)",IF(OR(ISNUMBER(SEARCH("ال اي دي",G37)),ISNUMBER(SEARCH("ال ای دی",G37)),ISNUMBER(SEARCH("LED",G37))),"خرابی - لامپ/LED داخلی (تعویض)",IF(ISNUMBER(SEARCH("زنگ زدگ",G37)),"زنگ‌زدگی بدنه/قطعه (تعویض)",IF(OR(ISNUMBER(SEARCH("قطعات تزئين",G37)),ISNUMBER(SEARCH("قطعات تزئین",G37))),"قطعات تزئینی - شکستگی/کسری (تعویض)",IF(ISNUMBER(SEARCH("سبد",G37)),"سبد ظرفشویی - شکستگی (تعویض)",IF(ISNUMBER(SEARCH("تاب درام",G37)),"خرابی - تاب برداشتن درام (تعویض)",IF(ISNUMBER(SEARCH("درام",G37)),"خرابی - سایر ایراد درام (تعویض)",IF(ISNUMBER(SEARCH("موتور",G37)),"خرابی - موتور (تعویض)",IF(ISNUMBER(SEARCH("تسمه",G37)),"خرابی - تسمه (تعویض)",IF(OR(ISNUMBER(SEARCH("پيچ ولوم",G37)),ISNUMBER(SEARCH("پیچ ولوم",G37))),"تنظیم - پیچ ولوم/دکمه (تعمیر)",IF(OR(ISNUMBER(SEARCH("کسري قطعات",G37)),ISNUMBER(SEARCH("کسری قطعات",G37))),"کسری قطعات تزئینی (تعویض)",IF(ISNUMBER(SEARCH("پرچ",G37)),"پرچ/بدنه کابین(تعمیر)",IF(OR(ISNUMBER(SEARCH("نشت",G37)),ISNUMBER(SEARCH("آبريزش",G37)),ISNUMBER(SEARCH("آبریزش",G37))),"نشتی آب - محل نامشخص (نیازمند بازدید)",IF(ISNUMBER(SEARCH("درب",G37)),"سایر اجزای درب (بازبینی)",IF(ISNUMBER(SEARCH("ضربه",G37)),"بدنه/کابین - ضربه (بازبینی/تعویض پنل)",IF(ISNUMBER(SEARCH("تراز",G37)),"تراز/لرزش - نصب (رگلاژ پایه)",IF(OR(ISNUMBER(SEARCH("تعویض",G37)),ISNUMBER(SEARCH("تعويض",G37))),"تعویض کامل دستگاه (Replacement)","سایر (نیازمند بررسی دستی)")))))))))))))))))))))))))))))))))))))))))))</f>
        <v/>
      </c>
      <c r="P37" s="124" t="inlineStr">
        <is>
          <t>*</t>
        </is>
      </c>
      <c r="Q37" s="124">
        <f>IF(ISNUMBER(SEARCH("عهده شرکت",F37)),"شرکت",IF(ISNUMBER(SEARCH("عهده مشتري",F37)),"مشتری",IF(ISNUMBER(SEARCH("عهده مشتری",F37)),"مشتری","نامشخص")))</f>
        <v/>
      </c>
      <c r="R37" s="178">
        <f>IF(O37="تعویض کامل دستگاه (Replacement)",IF(SUMIF('قیمت‌ها و مفروضات'!$A$9:$A$13,C37,'قیمت‌ها و مفروضات'!$C$9:$C$13)&lt;&gt;0,SUMIF('قیمت‌ها و مفروضات'!$A$9:$A$13,C37,'قیمت‌ها و مفروضات'!$C$9:$C$13),SUMIF('قیمت‌ها و مفروضات'!$A$9:$A$13,C37,'قیمت‌ها و مفروضات'!$B$9:$B$13)),IF(SUMIF('قیمت‌ها و مفروضات'!$A$18:$A$63,O37,'قیمت‌ها و مفروضات'!$C$18:$C$63)&lt;&gt;0,SUMIF('قیمت‌ها و مفروضات'!$A$18:$A$63,O37,'قیمت‌ها و مفروضات'!$C$18:$C$63),SUMIF('قیمت‌ها و مفروضات'!$A$18:$A$63,O37,'قیمت‌ها و مفروضات'!$B$18:$B$63)))</f>
        <v/>
      </c>
      <c r="S37" s="178">
        <f>'قیمت‌ها و مفروضات'!$B$3+'قیمت‌ها و مفروضات'!$B$4</f>
        <v/>
      </c>
      <c r="T37" s="178">
        <f>R37+S37</f>
        <v/>
      </c>
      <c r="U37" s="178">
        <f>IF(COUNTIF($E$2:E37,E37)&gt;1,"بله (تکراری)","خیر")</f>
        <v/>
      </c>
      <c r="V37" s="178">
        <f>IF(U37="بله (تکراری)",S37,0)</f>
        <v/>
      </c>
      <c r="W37" s="208" t="inlineStr"/>
      <c r="X37" s="208" t="inlineStr"/>
    </row>
    <row r="38" ht="58.5" customHeight="1" s="151">
      <c r="A38" s="176" t="n">
        <v>810001653</v>
      </c>
      <c r="B38" s="124">
        <f>CHOOSE(_xlfn.NUMBERVALUE(MID(H38,6,2)),"فروردین","اردیبهشت","خرداد","تیر","مرداد","شهریور","مهر","آبان","آذر","دی","بهمن","اسفند")</f>
        <v/>
      </c>
      <c r="C38" s="176" t="inlineStr">
        <is>
          <t>ماشين لباسشويي</t>
        </is>
      </c>
      <c r="D38" s="176" t="inlineStr">
        <is>
          <t>CWM-BMW9T1</t>
        </is>
      </c>
      <c r="E38" s="176" t="inlineStr">
        <is>
          <t>210100007N00374</t>
        </is>
      </c>
      <c r="F38" s="173" t="inlineStr">
        <is>
          <t>عدم عملکرد کليدهاي ديسپلي**اياب و ذهاب به عهده مشتري</t>
        </is>
      </c>
      <c r="G38" s="173" t="inlineStr">
        <is>
          <t>خرابي برد - عدم عملکرد کليدهاي ديسپلي</t>
        </is>
      </c>
      <c r="H38" s="176" t="inlineStr">
        <is>
          <t>1405/01/18</t>
        </is>
      </c>
      <c r="I38" s="124" t="inlineStr">
        <is>
          <t>1403/01/11</t>
        </is>
      </c>
      <c r="J38" s="179" t="inlineStr">
        <is>
          <t>1405/01/06</t>
        </is>
      </c>
      <c r="K38" s="177">
        <f>IFERROR(VLOOKUP(LEFT(H38,7),'تبدیل تاریخ'!$A$2:$B$73,2,FALSE())+VALUE(RIGHT(H38,2))-1,"")</f>
        <v/>
      </c>
      <c r="L38" s="177">
        <f>IFERROR(VLOOKUP(LEFT(I38,7),'تبدیل تاریخ'!$A$2:$B$73,2,FALSE())+VALUE(RIGHT(I38,2))-1,"")</f>
        <v/>
      </c>
      <c r="M38" s="177">
        <f>IF(J38="","",IFERROR(VLOOKUP(LEFT(J38,7),'تبدیل تاریخ'!$A$2:$B$73,2,FALSE())+VALUE(RIGHT(J38,2))-1,""))</f>
        <v/>
      </c>
      <c r="N38" s="124">
        <f>IF(OR(K38="",M38=""),"",CEILING((K38-M38)/30,1))</f>
        <v/>
      </c>
      <c r="O38" s="124">
        <f>IF(OR(ISNUMBER(SEARCH("بدون مورد",G38)),ISNUMBER(SEARCH("غير گارانتي",G38)),ISNUMBER(SEARCH("غیر گارانتی",G38)),ISNUMBER(SEARCH("بدون اجرت",G38)),ISNUMBER(SEARCH("فيلتر",G38)),ISNUMBER(SEARCH("فیلتر",G38))),"غیرگارانتی/بدون قطعه",IF(OR(ISNUMBER(SEARCH("ريست",G38)),ISNUMBER(SEARCH("ریست",G38))),"ریست نرم‌افزاری (بدون قطعه)",IF(OR(ISNUMBER(SEARCH("تعویض محصول",G38)),ISNUMBER(SEARCH("تعویض دستگاه",G38))),"تعویض کامل دستگاه (Replacement)",IF(ISNUMBER(SEARCH("پمپ",G38)),IF(ISNUMBER(SEARCH("نشت",G38)),"نشتی - پمپ تخلیه (تعمیر/آب‌بندی)","خرابی - پمپ تخلیه (تعویض)"),IF(ISNUMBER(SEARCH("کمپرسور",G38)),"خرابی - کمپرسور (تعویض)",IF(ISNUMBER(SEARCH("کمک فنر",G38)),"خرابی - کمک فنر (تعویض)",IF(ISNUMBER(SEARCH("لولا",G38)),"مکانیزم درب - لولا (تعویض)",IF(OR(ISNUMBER(SEARCH("قلاب",G38)),ISNUMBER(SEARCH("ميکروسوئيچ",G38)),ISNUMBER(SEARCH("میکروسوئیچ",G38))),"مکانیزم درب - میکروسوئیچ/قلاب (تعویض/تنظیم)",IF(ISNUMBER(SEARCH("زبانه",G38)),"مکانیزم درب - زبانه (تعویض)",IF(OR(ISNUMBER(SEARCH("شيلنگ",G38)),ISNUMBER(SEARCH("شیلنگ",G38))),IF(OR(ISNUMBER(SEARCH("نشتی",G38)),ISNUMBER(SEARCH("نشتي",G38))),"نشتی - شیلنگ (تعمیر/آب‌بندی)",IF(OR(ISNUMBER(SEARCH("يخ",G38)),ISNUMBER(SEARCH("یخ",G38))),"شیلنگ یخساز - یخ‌زدگی (بازبینی)","شیلنگ - برخورد/لهیدگی (بازبینی)")),IF(OR(ISNUMBER(SEARCH("تنظيم ديسپل",G38)),ISNUMBER(SEARCH("تنظیم دیسپل",G38)),ISNUMBER(SEARCH("تنظيم صفحه نمايش",G38)),ISNUMBER(SEARCH("تنظیم صفحه نمایش",G38))),"تنظیم - تنظیمات دستگاه/دیسپلی (تعمیر)",IF(OR(ISNUMBER(SEARCH("برد",G38)),ISNUMBER(SEARCH("سوکت",G38)),ISNUMBER(SEARCH("ديسپل",G38)),ISNUMBER(SEARCH("دیسپل",G38))),"خرابی - برد الکترونیک (تعویض)",IF(OR(ISNUMBER(SEARCH("يخساز",G38)),ISNUMBER(SEARCH("یخساز",G38)),ISNUMBER(SEARCH("دمپر",G38))),IF(OR(ISNUMBER(SEARCH("خرابی",G38)),ISNUMBER(SEARCH("خراب",G38)),ISNUMBER(SEARCH("عدم کارکرد",G38)),ISNUMBER(SEARCH("عدم عملکرد",G38))),"یخساز - خرابی موتور/سنسور/برد (تعویض)","یخساز - تنظیم/عایق (تعمیر)"),IF(OR(ISNUMBER(SEARCH("لاستيک",G38)),ISNUMBER(SEARCH("لاستیک",G38))),"لاستیک درزگیر - دفرمگی/پارگی (تعویض)",IF(OR(ISNUMBER(SEARCH("گسکت",G38)),ISNUMBER(SEARCH("گسگت",G38))),"لاستیک درزگیر - دفرمگی/پارگی (تعویض)",IF(ISNUMBER(SEARCH("مخزن نمک",G38)),"نشتی - درب مخزن نمک (تعمیر/آب‌بندی)",IF(ISNUMBER(SEARCH("براکت",G38)),"نشتی - براکت ریل (تعمیر/آب‌بندی)",IF(ISNUMBER(SEARCH("جاپودر",G38)),"نشتی - جاپودری (تعمیر/آب‌بندی)",IF(ISNUMBER(SEARCH("مقسم",G38)),"نشتی - مقسم آب (تعمیر/آب‌بندی)",IF(OR(ISNUMBER(SEARCH("سنسور دما",G38)),ISNUMBER(SEARCH("ترموستات",G38))),"خرابی - ترموستات (تعویض)",IF(OR(ISNUMBER(SEARCH("هيدروستات",G38)),ISNUMBER(SEARCH("هیدروستات",G38))),"خرابی - هیدروستات (تعویض)",IF(OR(ISNUMBER(SEARCH("بلبرينگ",G38)),ISNUMBER(SEARCH("بلبرینگ",G38))),"خرابی - بلبرینگ (تعویض)",IF(OR(ISNUMBER(SEARCH("شيربرق",G38)),ISNUMBER(SEARCH("شیربرق",G38))),"خرابی - شیربرقی (تعویض)",IF(OR(ISNUMBER(SEARCH("واتر جت",G38)),ISNUMBER(SEARCH("واترجت",G38))),"خرابی - واترجت (تعویض)",IF(OR(ISNUMBER(SEARCH("سيم",G38)),ISNUMBER(SEARCH("سیم",G38)),ISNUMBER(SEARCH("اتصال",G38))),"سیم‌کشی/اتصالات (تعویض/بازبینی)",IF(OR(ISNUMBER(SEARCH("تصوير",G38)),ISNUMBER(SEARCH("تصویر",G38))),"برد نمایش تلویزیون (تعویض)",IF(OR(ISNUMBER(SEARCH("ريموت",G38)),ISNUMBER(SEARCH("ریموت",G38))),"ریموت کنترل (تعویض/تعمیر)",IF(OR(ISNUMBER(SEARCH("ال اي دي",G38)),ISNUMBER(SEARCH("ال ای دی",G38)),ISNUMBER(SEARCH("LED",G38))),"خرابی - لامپ/LED داخلی (تعویض)",IF(ISNUMBER(SEARCH("زنگ زدگ",G38)),"زنگ‌زدگی بدنه/قطعه (تعویض)",IF(OR(ISNUMBER(SEARCH("قطعات تزئين",G38)),ISNUMBER(SEARCH("قطعات تزئین",G38))),"قطعات تزئینی - شکستگی/کسری (تعویض)",IF(ISNUMBER(SEARCH("سبد",G38)),"سبد ظرفشویی - شکستگی (تعویض)",IF(ISNUMBER(SEARCH("تاب درام",G38)),"خرابی - تاب برداشتن درام (تعویض)",IF(ISNUMBER(SEARCH("درام",G38)),"خرابی - سایر ایراد درام (تعویض)",IF(ISNUMBER(SEARCH("موتور",G38)),"خرابی - موتور (تعویض)",IF(ISNUMBER(SEARCH("تسمه",G38)),"خرابی - تسمه (تعویض)",IF(OR(ISNUMBER(SEARCH("پيچ ولوم",G38)),ISNUMBER(SEARCH("پیچ ولوم",G38))),"تنظیم - پیچ ولوم/دکمه (تعمیر)",IF(OR(ISNUMBER(SEARCH("کسري قطعات",G38)),ISNUMBER(SEARCH("کسری قطعات",G38))),"کسری قطعات تزئینی (تعویض)",IF(ISNUMBER(SEARCH("پرچ",G38)),"پرچ/بدنه کابین(تعمیر)",IF(OR(ISNUMBER(SEARCH("نشت",G38)),ISNUMBER(SEARCH("آبريزش",G38)),ISNUMBER(SEARCH("آبریزش",G38))),"نشتی آب - محل نامشخص (نیازمند بازدید)",IF(ISNUMBER(SEARCH("درب",G38)),"سایر اجزای درب (بازبینی)",IF(ISNUMBER(SEARCH("ضربه",G38)),"بدنه/کابین - ضربه (بازبینی/تعویض پنل)",IF(ISNUMBER(SEARCH("تراز",G38)),"تراز/لرزش - نصب (رگلاژ پایه)",IF(OR(ISNUMBER(SEARCH("تعویض",G38)),ISNUMBER(SEARCH("تعويض",G38))),"تعویض کامل دستگاه (Replacement)","سایر (نیازمند بررسی دستی)")))))))))))))))))))))))))))))))))))))))))))</f>
        <v/>
      </c>
      <c r="P38" s="124" t="inlineStr">
        <is>
          <t>برد لباسشویی</t>
        </is>
      </c>
      <c r="Q38" s="124">
        <f>IF(ISNUMBER(SEARCH("عهده شرکت",F38)),"شرکت",IF(ISNUMBER(SEARCH("عهده مشتري",F38)),"مشتری",IF(ISNUMBER(SEARCH("عهده مشتری",F38)),"مشتری","نامشخص")))</f>
        <v/>
      </c>
      <c r="R38" s="178">
        <f>IF(O38="تعویض کامل دستگاه (Replacement)",IF(SUMIF('قیمت‌ها و مفروضات'!$A$9:$A$13,C38,'قیمت‌ها و مفروضات'!$C$9:$C$13)&lt;&gt;0,SUMIF('قیمت‌ها و مفروضات'!$A$9:$A$13,C38,'قیمت‌ها و مفروضات'!$C$9:$C$13),SUMIF('قیمت‌ها و مفروضات'!$A$9:$A$13,C38,'قیمت‌ها و مفروضات'!$B$9:$B$13)),IF(SUMIF('قیمت‌ها و مفروضات'!$A$18:$A$63,O38,'قیمت‌ها و مفروضات'!$C$18:$C$63)&lt;&gt;0,SUMIF('قیمت‌ها و مفروضات'!$A$18:$A$63,O38,'قیمت‌ها و مفروضات'!$C$18:$C$63),SUMIF('قیمت‌ها و مفروضات'!$A$18:$A$63,O38,'قیمت‌ها و مفروضات'!$B$18:$B$63)))</f>
        <v/>
      </c>
      <c r="S38" s="178">
        <f>'قیمت‌ها و مفروضات'!$B$3+'قیمت‌ها و مفروضات'!$B$4</f>
        <v/>
      </c>
      <c r="T38" s="178">
        <f>R38+S38</f>
        <v/>
      </c>
      <c r="U38" s="178">
        <f>IF(COUNTIF($E$2:E38,E38)&gt;1,"بله (تکراری)","خیر")</f>
        <v/>
      </c>
      <c r="V38" s="178">
        <f>IF(U38="بله (تکراری)",S38,0)</f>
        <v/>
      </c>
      <c r="W38" s="208" t="inlineStr"/>
      <c r="X38" s="208" t="inlineStr"/>
    </row>
    <row r="39" ht="58.5" customHeight="1" s="151">
      <c r="A39" s="176" t="n">
        <v>210004827</v>
      </c>
      <c r="B39" s="124">
        <f>CHOOSE(_xlfn.NUMBERVALUE(MID(H39,6,2)),"فروردین","اردیبهشت","خرداد","تیر","مرداد","شهریور","مهر","آبان","آذر","دی","بهمن","اسفند")</f>
        <v/>
      </c>
      <c r="C39" s="176" t="inlineStr">
        <is>
          <t>یخچال ساید‌بای‌ساید</t>
        </is>
      </c>
      <c r="D39" s="176" t="inlineStr">
        <is>
          <t>C2S-29HS1</t>
        </is>
      </c>
      <c r="E39" s="176" t="inlineStr">
        <is>
          <t>52240001N01238</t>
        </is>
      </c>
      <c r="F39" s="173" t="inlineStr">
        <is>
          <t>عدم کارکرد يخساز**اياب و ذهاب به عهده شرکت</t>
        </is>
      </c>
      <c r="G39" s="173" t="inlineStr">
        <is>
          <t>شکستگي کاور بالاي يخساز - سايد باي سايد</t>
        </is>
      </c>
      <c r="H39" s="176" t="inlineStr">
        <is>
          <t>1405/01/19</t>
        </is>
      </c>
      <c r="I39" s="124" t="inlineStr">
        <is>
          <t>1403/05/17</t>
        </is>
      </c>
      <c r="J39" s="124" t="inlineStr">
        <is>
          <t>1403/05/17</t>
        </is>
      </c>
      <c r="K39" s="177">
        <f>IFERROR(VLOOKUP(LEFT(H39,7),'تبدیل تاریخ'!$A$2:$B$73,2,FALSE())+VALUE(RIGHT(H39,2))-1,"")</f>
        <v/>
      </c>
      <c r="L39" s="177">
        <f>IFERROR(VLOOKUP(LEFT(I39,7),'تبدیل تاریخ'!$A$2:$B$73,2,FALSE())+VALUE(RIGHT(I39,2))-1,"")</f>
        <v/>
      </c>
      <c r="M39" s="177">
        <f>IF(J39="","",IFERROR(VLOOKUP(LEFT(J39,7),'تبدیل تاریخ'!$A$2:$B$73,2,FALSE())+VALUE(RIGHT(J39,2))-1,""))</f>
        <v/>
      </c>
      <c r="N39" s="124">
        <f>IF(OR(K39="",M39=""),"",CEILING((K39-M39)/30,1))</f>
        <v/>
      </c>
      <c r="O39" s="124">
        <f>IF(OR(ISNUMBER(SEARCH("بدون مورد",G39)),ISNUMBER(SEARCH("غير گارانتي",G39)),ISNUMBER(SEARCH("غیر گارانتی",G39)),ISNUMBER(SEARCH("بدون اجرت",G39)),ISNUMBER(SEARCH("فيلتر",G39)),ISNUMBER(SEARCH("فیلتر",G39))),"غیرگارانتی/بدون قطعه",IF(OR(ISNUMBER(SEARCH("ريست",G39)),ISNUMBER(SEARCH("ریست",G39))),"ریست نرم‌افزاری (بدون قطعه)",IF(OR(ISNUMBER(SEARCH("تعویض محصول",G39)),ISNUMBER(SEARCH("تعویض دستگاه",G39))),"تعویض کامل دستگاه (Replacement)",IF(ISNUMBER(SEARCH("پمپ",G39)),IF(ISNUMBER(SEARCH("نشت",G39)),"نشتی - پمپ تخلیه (تعمیر/آب‌بندی)","خرابی - پمپ تخلیه (تعویض)"),IF(ISNUMBER(SEARCH("کمپرسور",G39)),"خرابی - کمپرسور (تعویض)",IF(ISNUMBER(SEARCH("کمک فنر",G39)),"خرابی - کمک فنر (تعویض)",IF(ISNUMBER(SEARCH("لولا",G39)),"مکانیزم درب - لولا (تعویض)",IF(OR(ISNUMBER(SEARCH("قلاب",G39)),ISNUMBER(SEARCH("ميکروسوئيچ",G39)),ISNUMBER(SEARCH("میکروسوئیچ",G39))),"مکانیزم درب - میکروسوئیچ/قلاب (تعویض/تنظیم)",IF(ISNUMBER(SEARCH("زبانه",G39)),"مکانیزم درب - زبانه (تعویض)",IF(OR(ISNUMBER(SEARCH("شيلنگ",G39)),ISNUMBER(SEARCH("شیلنگ",G39))),IF(OR(ISNUMBER(SEARCH("نشتی",G39)),ISNUMBER(SEARCH("نشتي",G39))),"نشتی - شیلنگ (تعمیر/آب‌بندی)",IF(OR(ISNUMBER(SEARCH("يخ",G39)),ISNUMBER(SEARCH("یخ",G39))),"شیلنگ یخساز - یخ‌زدگی (بازبینی)","شیلنگ - برخورد/لهیدگی (بازبینی)")),IF(OR(ISNUMBER(SEARCH("تنظيم ديسپل",G39)),ISNUMBER(SEARCH("تنظیم دیسپل",G39)),ISNUMBER(SEARCH("تنظيم صفحه نمايش",G39)),ISNUMBER(SEARCH("تنظیم صفحه نمایش",G39))),"تنظیم - تنظیمات دستگاه/دیسپلی (تعمیر)",IF(OR(ISNUMBER(SEARCH("برد",G39)),ISNUMBER(SEARCH("سوکت",G39)),ISNUMBER(SEARCH("ديسپل",G39)),ISNUMBER(SEARCH("دیسپل",G39))),"خرابی - برد الکترونیک (تعویض)",IF(OR(ISNUMBER(SEARCH("يخساز",G39)),ISNUMBER(SEARCH("یخساز",G39)),ISNUMBER(SEARCH("دمپر",G39))),IF(OR(ISNUMBER(SEARCH("خرابی",G39)),ISNUMBER(SEARCH("خراب",G39)),ISNUMBER(SEARCH("عدم کارکرد",G39)),ISNUMBER(SEARCH("عدم عملکرد",G39))),"یخساز - خرابی موتور/سنسور/برد (تعویض)","یخساز - تنظیم/عایق (تعمیر)"),IF(OR(ISNUMBER(SEARCH("لاستيک",G39)),ISNUMBER(SEARCH("لاستیک",G39))),"لاستیک درزگیر - دفرمگی/پارگی (تعویض)",IF(OR(ISNUMBER(SEARCH("گسکت",G39)),ISNUMBER(SEARCH("گسگت",G39))),"لاستیک درزگیر - دفرمگی/پارگی (تعویض)",IF(ISNUMBER(SEARCH("مخزن نمک",G39)),"نشتی - درب مخزن نمک (تعمیر/آب‌بندی)",IF(ISNUMBER(SEARCH("براکت",G39)),"نشتی - براکت ریل (تعمیر/آب‌بندی)",IF(ISNUMBER(SEARCH("جاپودر",G39)),"نشتی - جاپودری (تعمیر/آب‌بندی)",IF(ISNUMBER(SEARCH("مقسم",G39)),"نشتی - مقسم آب (تعمیر/آب‌بندی)",IF(OR(ISNUMBER(SEARCH("سنسور دما",G39)),ISNUMBER(SEARCH("ترموستات",G39))),"خرابی - ترموستات (تعویض)",IF(OR(ISNUMBER(SEARCH("هيدروستات",G39)),ISNUMBER(SEARCH("هیدروستات",G39))),"خرابی - هیدروستات (تعویض)",IF(OR(ISNUMBER(SEARCH("بلبرينگ",G39)),ISNUMBER(SEARCH("بلبرینگ",G39))),"خرابی - بلبرینگ (تعویض)",IF(OR(ISNUMBER(SEARCH("شيربرق",G39)),ISNUMBER(SEARCH("شیربرق",G39))),"خرابی - شیربرقی (تعویض)",IF(OR(ISNUMBER(SEARCH("واتر جت",G39)),ISNUMBER(SEARCH("واترجت",G39))),"خرابی - واترجت (تعویض)",IF(OR(ISNUMBER(SEARCH("سيم",G39)),ISNUMBER(SEARCH("سیم",G39)),ISNUMBER(SEARCH("اتصال",G39))),"سیم‌کشی/اتصالات (تعویض/بازبینی)",IF(OR(ISNUMBER(SEARCH("تصوير",G39)),ISNUMBER(SEARCH("تصویر",G39))),"برد نمایش تلویزیون (تعویض)",IF(OR(ISNUMBER(SEARCH("ريموت",G39)),ISNUMBER(SEARCH("ریموت",G39))),"ریموت کنترل (تعویض/تعمیر)",IF(OR(ISNUMBER(SEARCH("ال اي دي",G39)),ISNUMBER(SEARCH("ال ای دی",G39)),ISNUMBER(SEARCH("LED",G39))),"خرابی - لامپ/LED داخلی (تعویض)",IF(ISNUMBER(SEARCH("زنگ زدگ",G39)),"زنگ‌زدگی بدنه/قطعه (تعویض)",IF(OR(ISNUMBER(SEARCH("قطعات تزئين",G39)),ISNUMBER(SEARCH("قطعات تزئین",G39))),"قطعات تزئینی - شکستگی/کسری (تعویض)",IF(ISNUMBER(SEARCH("سبد",G39)),"سبد ظرفشویی - شکستگی (تعویض)",IF(ISNUMBER(SEARCH("تاب درام",G39)),"خرابی - تاب برداشتن درام (تعویض)",IF(ISNUMBER(SEARCH("درام",G39)),"خرابی - سایر ایراد درام (تعویض)",IF(ISNUMBER(SEARCH("موتور",G39)),"خرابی - موتور (تعویض)",IF(ISNUMBER(SEARCH("تسمه",G39)),"خرابی - تسمه (تعویض)",IF(OR(ISNUMBER(SEARCH("پيچ ولوم",G39)),ISNUMBER(SEARCH("پیچ ولوم",G39))),"تنظیم - پیچ ولوم/دکمه (تعمیر)",IF(OR(ISNUMBER(SEARCH("کسري قطعات",G39)),ISNUMBER(SEARCH("کسری قطعات",G39))),"کسری قطعات تزئینی (تعویض)",IF(ISNUMBER(SEARCH("پرچ",G39)),"پرچ/بدنه کابین(تعمیر)",IF(OR(ISNUMBER(SEARCH("نشت",G39)),ISNUMBER(SEARCH("آبريزش",G39)),ISNUMBER(SEARCH("آبریزش",G39))),"نشتی آب - محل نامشخص (نیازمند بازدید)",IF(ISNUMBER(SEARCH("درب",G39)),"سایر اجزای درب (بازبینی)",IF(ISNUMBER(SEARCH("ضربه",G39)),"بدنه/کابین - ضربه (بازبینی/تعویض پنل)",IF(ISNUMBER(SEARCH("تراز",G39)),"تراز/لرزش - نصب (رگلاژ پایه)",IF(OR(ISNUMBER(SEARCH("تعویض",G39)),ISNUMBER(SEARCH("تعويض",G39))),"تعویض کامل دستگاه (Replacement)","سایر (نیازمند بررسی دستی)")))))))))))))))))))))))))))))))))))))))))))</f>
        <v/>
      </c>
      <c r="P39" s="124" t="inlineStr">
        <is>
          <t>*</t>
        </is>
      </c>
      <c r="Q39" s="124">
        <f>IF(ISNUMBER(SEARCH("عهده شرکت",F39)),"شرکت",IF(ISNUMBER(SEARCH("عهده مشتري",F39)),"مشتری",IF(ISNUMBER(SEARCH("عهده مشتری",F39)),"مشتری","نامشخص")))</f>
        <v/>
      </c>
      <c r="R39" s="178">
        <f>IF(O39="تعویض کامل دستگاه (Replacement)",IF(SUMIF('قیمت‌ها و مفروضات'!$A$9:$A$13,C39,'قیمت‌ها و مفروضات'!$C$9:$C$13)&lt;&gt;0,SUMIF('قیمت‌ها و مفروضات'!$A$9:$A$13,C39,'قیمت‌ها و مفروضات'!$C$9:$C$13),SUMIF('قیمت‌ها و مفروضات'!$A$9:$A$13,C39,'قیمت‌ها و مفروضات'!$B$9:$B$13)),IF(SUMIF('قیمت‌ها و مفروضات'!$A$18:$A$63,O39,'قیمت‌ها و مفروضات'!$C$18:$C$63)&lt;&gt;0,SUMIF('قیمت‌ها و مفروضات'!$A$18:$A$63,O39,'قیمت‌ها و مفروضات'!$C$18:$C$63),SUMIF('قیمت‌ها و مفروضات'!$A$18:$A$63,O39,'قیمت‌ها و مفروضات'!$B$18:$B$63)))</f>
        <v/>
      </c>
      <c r="S39" s="178">
        <f>'قیمت‌ها و مفروضات'!$B$3+'قیمت‌ها و مفروضات'!$B$4</f>
        <v/>
      </c>
      <c r="T39" s="178">
        <f>R39+S39</f>
        <v/>
      </c>
      <c r="U39" s="178">
        <f>IF(COUNTIF($E$2:E39,E39)&gt;1,"بله (تکراری)","خیر")</f>
        <v/>
      </c>
      <c r="V39" s="178">
        <f>IF(U39="بله (تکراری)",S39,0)</f>
        <v/>
      </c>
      <c r="W39" s="208" t="inlineStr"/>
      <c r="X39" s="208" t="inlineStr"/>
    </row>
    <row r="40" ht="58.5" customHeight="1" s="151">
      <c r="A40" s="176" t="n">
        <v>210006383</v>
      </c>
      <c r="B40" s="124">
        <f>CHOOSE(_xlfn.NUMBERVALUE(MID(H40,6,2)),"فروردین","اردیبهشت","خرداد","تیر","مرداد","شهریور","مهر","آبان","آذر","دی","بهمن","اسفند")</f>
        <v/>
      </c>
      <c r="C40" s="176" t="inlineStr">
        <is>
          <t>ماشين لباسشويي</t>
        </is>
      </c>
      <c r="D40" s="176" t="inlineStr">
        <is>
          <t>CWM-BMW8T1</t>
        </is>
      </c>
      <c r="E40" s="176" t="inlineStr">
        <is>
          <t>210100005N00006</t>
        </is>
      </c>
      <c r="F40" s="173" t="inlineStr">
        <is>
          <t>اياب و ذهاب به عهده مشتري بسته نشدن درب</t>
        </is>
      </c>
      <c r="G40" s="173" t="inlineStr">
        <is>
          <t>خرابي ميکروسوئيچ</t>
        </is>
      </c>
      <c r="H40" s="176" t="inlineStr">
        <is>
          <t>1405/01/19</t>
        </is>
      </c>
      <c r="I40" s="124" t="inlineStr">
        <is>
          <t>1402/08/15</t>
        </is>
      </c>
      <c r="J40" s="179" t="inlineStr">
        <is>
          <t>1405/01/15</t>
        </is>
      </c>
      <c r="K40" s="177">
        <f>IFERROR(VLOOKUP(LEFT(H40,7),'تبدیل تاریخ'!$A$2:$B$73,2,FALSE())+VALUE(RIGHT(H40,2))-1,"")</f>
        <v/>
      </c>
      <c r="L40" s="177">
        <f>IFERROR(VLOOKUP(LEFT(I40,7),'تبدیل تاریخ'!$A$2:$B$73,2,FALSE())+VALUE(RIGHT(I40,2))-1,"")</f>
        <v/>
      </c>
      <c r="M40" s="177">
        <f>IF(J40="","",IFERROR(VLOOKUP(LEFT(J40,7),'تبدیل تاریخ'!$A$2:$B$73,2,FALSE())+VALUE(RIGHT(J40,2))-1,""))</f>
        <v/>
      </c>
      <c r="N40" s="124">
        <f>IF(OR(K40="",M40=""),"",CEILING((K40-M40)/30,1))</f>
        <v/>
      </c>
      <c r="O40" s="124">
        <f>IF(OR(ISNUMBER(SEARCH("بدون مورد",G40)),ISNUMBER(SEARCH("غير گارانتي",G40)),ISNUMBER(SEARCH("غیر گارانتی",G40)),ISNUMBER(SEARCH("بدون اجرت",G40)),ISNUMBER(SEARCH("فيلتر",G40)),ISNUMBER(SEARCH("فیلتر",G40))),"غیرگارانتی/بدون قطعه",IF(OR(ISNUMBER(SEARCH("ريست",G40)),ISNUMBER(SEARCH("ریست",G40))),"ریست نرم‌افزاری (بدون قطعه)",IF(OR(ISNUMBER(SEARCH("تعویض محصول",G40)),ISNUMBER(SEARCH("تعویض دستگاه",G40))),"تعویض کامل دستگاه (Replacement)",IF(ISNUMBER(SEARCH("پمپ",G40)),IF(ISNUMBER(SEARCH("نشت",G40)),"نشتی - پمپ تخلیه (تعمیر/آب‌بندی)","خرابی - پمپ تخلیه (تعویض)"),IF(ISNUMBER(SEARCH("کمپرسور",G40)),"خرابی - کمپرسور (تعویض)",IF(ISNUMBER(SEARCH("کمک فنر",G40)),"خرابی - کمک فنر (تعویض)",IF(ISNUMBER(SEARCH("لولا",G40)),"مکانیزم درب - لولا (تعویض)",IF(OR(ISNUMBER(SEARCH("قلاب",G40)),ISNUMBER(SEARCH("ميکروسوئيچ",G40)),ISNUMBER(SEARCH("میکروسوئیچ",G40))),"مکانیزم درب - میکروسوئیچ/قلاب (تعویض/تنظیم)",IF(ISNUMBER(SEARCH("زبانه",G40)),"مکانیزم درب - زبانه (تعویض)",IF(OR(ISNUMBER(SEARCH("شيلنگ",G40)),ISNUMBER(SEARCH("شیلنگ",G40))),IF(OR(ISNUMBER(SEARCH("نشتی",G40)),ISNUMBER(SEARCH("نشتي",G40))),"نشتی - شیلنگ (تعمیر/آب‌بندی)",IF(OR(ISNUMBER(SEARCH("يخ",G40)),ISNUMBER(SEARCH("یخ",G40))),"شیلنگ یخساز - یخ‌زدگی (بازبینی)","شیلنگ - برخورد/لهیدگی (بازبینی)")),IF(OR(ISNUMBER(SEARCH("تنظيم ديسپل",G40)),ISNUMBER(SEARCH("تنظیم دیسپل",G40)),ISNUMBER(SEARCH("تنظيم صفحه نمايش",G40)),ISNUMBER(SEARCH("تنظیم صفحه نمایش",G40))),"تنظیم - تنظیمات دستگاه/دیسپلی (تعمیر)",IF(OR(ISNUMBER(SEARCH("برد",G40)),ISNUMBER(SEARCH("سوکت",G40)),ISNUMBER(SEARCH("ديسپل",G40)),ISNUMBER(SEARCH("دیسپل",G40))),"خرابی - برد الکترونیک (تعویض)",IF(OR(ISNUMBER(SEARCH("يخساز",G40)),ISNUMBER(SEARCH("یخساز",G40)),ISNUMBER(SEARCH("دمپر",G40))),IF(OR(ISNUMBER(SEARCH("خرابی",G40)),ISNUMBER(SEARCH("خراب",G40)),ISNUMBER(SEARCH("عدم کارکرد",G40)),ISNUMBER(SEARCH("عدم عملکرد",G40))),"یخساز - خرابی موتور/سنسور/برد (تعویض)","یخساز - تنظیم/عایق (تعمیر)"),IF(OR(ISNUMBER(SEARCH("لاستيک",G40)),ISNUMBER(SEARCH("لاستیک",G40))),"لاستیک درزگیر - دفرمگی/پارگی (تعویض)",IF(OR(ISNUMBER(SEARCH("گسکت",G40)),ISNUMBER(SEARCH("گسگت",G40))),"لاستیک درزگیر - دفرمگی/پارگی (تعویض)",IF(ISNUMBER(SEARCH("مخزن نمک",G40)),"نشتی - درب مخزن نمک (تعمیر/آب‌بندی)",IF(ISNUMBER(SEARCH("براکت",G40)),"نشتی - براکت ریل (تعمیر/آب‌بندی)",IF(ISNUMBER(SEARCH("جاپودر",G40)),"نشتی - جاپودری (تعمیر/آب‌بندی)",IF(ISNUMBER(SEARCH("مقسم",G40)),"نشتی - مقسم آب (تعمیر/آب‌بندی)",IF(OR(ISNUMBER(SEARCH("سنسور دما",G40)),ISNUMBER(SEARCH("ترموستات",G40))),"خرابی - ترموستات (تعویض)",IF(OR(ISNUMBER(SEARCH("هيدروستات",G40)),ISNUMBER(SEARCH("هیدروستات",G40))),"خرابی - هیدروستات (تعویض)",IF(OR(ISNUMBER(SEARCH("بلبرينگ",G40)),ISNUMBER(SEARCH("بلبرینگ",G40))),"خرابی - بلبرینگ (تعویض)",IF(OR(ISNUMBER(SEARCH("شيربرق",G40)),ISNUMBER(SEARCH("شیربرق",G40))),"خرابی - شیربرقی (تعویض)",IF(OR(ISNUMBER(SEARCH("واتر جت",G40)),ISNUMBER(SEARCH("واترجت",G40))),"خرابی - واترجت (تعویض)",IF(OR(ISNUMBER(SEARCH("سيم",G40)),ISNUMBER(SEARCH("سیم",G40)),ISNUMBER(SEARCH("اتصال",G40))),"سیم‌کشی/اتصالات (تعویض/بازبینی)",IF(OR(ISNUMBER(SEARCH("تصوير",G40)),ISNUMBER(SEARCH("تصویر",G40))),"برد نمایش تلویزیون (تعویض)",IF(OR(ISNUMBER(SEARCH("ريموت",G40)),ISNUMBER(SEARCH("ریموت",G40))),"ریموت کنترل (تعویض/تعمیر)",IF(OR(ISNUMBER(SEARCH("ال اي دي",G40)),ISNUMBER(SEARCH("ال ای دی",G40)),ISNUMBER(SEARCH("LED",G40))),"خرابی - لامپ/LED داخلی (تعویض)",IF(ISNUMBER(SEARCH("زنگ زدگ",G40)),"زنگ‌زدگی بدنه/قطعه (تعویض)",IF(OR(ISNUMBER(SEARCH("قطعات تزئين",G40)),ISNUMBER(SEARCH("قطعات تزئین",G40))),"قطعات تزئینی - شکستگی/کسری (تعویض)",IF(ISNUMBER(SEARCH("سبد",G40)),"سبد ظرفشویی - شکستگی (تعویض)",IF(ISNUMBER(SEARCH("تاب درام",G40)),"خرابی - تاب برداشتن درام (تعویض)",IF(ISNUMBER(SEARCH("درام",G40)),"خرابی - سایر ایراد درام (تعویض)",IF(ISNUMBER(SEARCH("موتور",G40)),"خرابی - موتور (تعویض)",IF(ISNUMBER(SEARCH("تسمه",G40)),"خرابی - تسمه (تعویض)",IF(OR(ISNUMBER(SEARCH("پيچ ولوم",G40)),ISNUMBER(SEARCH("پیچ ولوم",G40))),"تنظیم - پیچ ولوم/دکمه (تعمیر)",IF(OR(ISNUMBER(SEARCH("کسري قطعات",G40)),ISNUMBER(SEARCH("کسری قطعات",G40))),"کسری قطعات تزئینی (تعویض)",IF(ISNUMBER(SEARCH("پرچ",G40)),"پرچ/بدنه کابین(تعمیر)",IF(OR(ISNUMBER(SEARCH("نشت",G40)),ISNUMBER(SEARCH("آبريزش",G40)),ISNUMBER(SEARCH("آبریزش",G40))),"نشتی آب - محل نامشخص (نیازمند بازدید)",IF(ISNUMBER(SEARCH("درب",G40)),"سایر اجزای درب (بازبینی)",IF(ISNUMBER(SEARCH("ضربه",G40)),"بدنه/کابین - ضربه (بازبینی/تعویض پنل)",IF(ISNUMBER(SEARCH("تراز",G40)),"تراز/لرزش - نصب (رگلاژ پایه)",IF(OR(ISNUMBER(SEARCH("تعویض",G40)),ISNUMBER(SEARCH("تعويض",G40))),"تعویض کامل دستگاه (Replacement)","سایر (نیازمند بررسی دستی)")))))))))))))))))))))))))))))))))))))))))))</f>
        <v/>
      </c>
      <c r="P40" s="124" t="inlineStr">
        <is>
          <t>میکروسوئیچ لباسشویی</t>
        </is>
      </c>
      <c r="Q40" s="124">
        <f>IF(ISNUMBER(SEARCH("عهده شرکت",F40)),"شرکت",IF(ISNUMBER(SEARCH("عهده مشتري",F40)),"مشتری",IF(ISNUMBER(SEARCH("عهده مشتری",F40)),"مشتری","نامشخص")))</f>
        <v/>
      </c>
      <c r="R40" s="178">
        <f>IF(O40="تعویض کامل دستگاه (Replacement)",IF(SUMIF('قیمت‌ها و مفروضات'!$A$9:$A$13,C40,'قیمت‌ها و مفروضات'!$C$9:$C$13)&lt;&gt;0,SUMIF('قیمت‌ها و مفروضات'!$A$9:$A$13,C40,'قیمت‌ها و مفروضات'!$C$9:$C$13),SUMIF('قیمت‌ها و مفروضات'!$A$9:$A$13,C40,'قیمت‌ها و مفروضات'!$B$9:$B$13)),IF(SUMIF('قیمت‌ها و مفروضات'!$A$18:$A$63,O40,'قیمت‌ها و مفروضات'!$C$18:$C$63)&lt;&gt;0,SUMIF('قیمت‌ها و مفروضات'!$A$18:$A$63,O40,'قیمت‌ها و مفروضات'!$C$18:$C$63),SUMIF('قیمت‌ها و مفروضات'!$A$18:$A$63,O40,'قیمت‌ها و مفروضات'!$B$18:$B$63)))</f>
        <v/>
      </c>
      <c r="S40" s="178">
        <f>'قیمت‌ها و مفروضات'!$B$3+'قیمت‌ها و مفروضات'!$B$4</f>
        <v/>
      </c>
      <c r="T40" s="178">
        <f>R40+S40</f>
        <v/>
      </c>
      <c r="U40" s="178">
        <f>IF(COUNTIF($E$2:E40,E40)&gt;1,"بله (تکراری)","خیر")</f>
        <v/>
      </c>
      <c r="V40" s="178">
        <f>IF(U40="بله (تکراری)",S40,0)</f>
        <v/>
      </c>
      <c r="W40" s="208" t="inlineStr"/>
      <c r="X40" s="208" t="inlineStr"/>
    </row>
    <row r="41" ht="58.5" customHeight="1" s="151">
      <c r="A41" s="176" t="n">
        <v>310000300</v>
      </c>
      <c r="B41" s="124">
        <f>CHOOSE(_xlfn.NUMBERVALUE(MID(H41,6,2)),"فروردین","اردیبهشت","خرداد","تیر","مرداد","شهریور","مهر","آبان","آذر","دی","بهمن","اسفند")</f>
        <v/>
      </c>
      <c r="C41" s="176" t="inlineStr">
        <is>
          <t>ماشين لباسشويي</t>
        </is>
      </c>
      <c r="D41" s="176" t="inlineStr">
        <is>
          <t>CWM-BMW8T1</t>
        </is>
      </c>
      <c r="E41" s="176" t="inlineStr">
        <is>
          <t>210100006N00072</t>
        </is>
      </c>
      <c r="F41" s="173" t="inlineStr">
        <is>
          <t>صداي غيرعادي هنگام خشک کن**اياب و ذهاب به عهده مشتري</t>
        </is>
      </c>
      <c r="G41" s="173" t="inlineStr">
        <is>
          <t>تاب درام</t>
        </is>
      </c>
      <c r="H41" s="176" t="inlineStr">
        <is>
          <t>1405/01/22</t>
        </is>
      </c>
      <c r="I41" s="124" t="inlineStr">
        <is>
          <t>1402/09/19</t>
        </is>
      </c>
      <c r="J41" s="179" t="inlineStr">
        <is>
          <t>1404/04/29</t>
        </is>
      </c>
      <c r="K41" s="177">
        <f>IFERROR(VLOOKUP(LEFT(H41,7),'تبدیل تاریخ'!$A$2:$B$73,2,FALSE())+VALUE(RIGHT(H41,2))-1,"")</f>
        <v/>
      </c>
      <c r="L41" s="177">
        <f>IFERROR(VLOOKUP(LEFT(I41,7),'تبدیل تاریخ'!$A$2:$B$73,2,FALSE())+VALUE(RIGHT(I41,2))-1,"")</f>
        <v/>
      </c>
      <c r="M41" s="177">
        <f>IF(J41="","",IFERROR(VLOOKUP(LEFT(J41,7),'تبدیل تاریخ'!$A$2:$B$73,2,FALSE())+VALUE(RIGHT(J41,2))-1,""))</f>
        <v/>
      </c>
      <c r="N41" s="124">
        <f>IF(OR(K41="",M41=""),"",CEILING((K41-M41)/30,1))</f>
        <v/>
      </c>
      <c r="O41" s="124">
        <f>IF(OR(ISNUMBER(SEARCH("بدون مورد",G41)),ISNUMBER(SEARCH("غير گارانتي",G41)),ISNUMBER(SEARCH("غیر گارانتی",G41)),ISNUMBER(SEARCH("بدون اجرت",G41)),ISNUMBER(SEARCH("فيلتر",G41)),ISNUMBER(SEARCH("فیلتر",G41))),"غیرگارانتی/بدون قطعه",IF(OR(ISNUMBER(SEARCH("ريست",G41)),ISNUMBER(SEARCH("ریست",G41))),"ریست نرم‌افزاری (بدون قطعه)",IF(OR(ISNUMBER(SEARCH("تعویض محصول",G41)),ISNUMBER(SEARCH("تعویض دستگاه",G41))),"تعویض کامل دستگاه (Replacement)",IF(ISNUMBER(SEARCH("پمپ",G41)),IF(ISNUMBER(SEARCH("نشت",G41)),"نشتی - پمپ تخلیه (تعمیر/آب‌بندی)","خرابی - پمپ تخلیه (تعویض)"),IF(ISNUMBER(SEARCH("کمپرسور",G41)),"خرابی - کمپرسور (تعویض)",IF(ISNUMBER(SEARCH("کمک فنر",G41)),"خرابی - کمک فنر (تعویض)",IF(ISNUMBER(SEARCH("لولا",G41)),"مکانیزم درب - لولا (تعویض)",IF(OR(ISNUMBER(SEARCH("قلاب",G41)),ISNUMBER(SEARCH("ميکروسوئيچ",G41)),ISNUMBER(SEARCH("میکروسوئیچ",G41))),"مکانیزم درب - میکروسوئیچ/قلاب (تعویض/تنظیم)",IF(ISNUMBER(SEARCH("زبانه",G41)),"مکانیزم درب - زبانه (تعویض)",IF(OR(ISNUMBER(SEARCH("شيلنگ",G41)),ISNUMBER(SEARCH("شیلنگ",G41))),IF(OR(ISNUMBER(SEARCH("نشتی",G41)),ISNUMBER(SEARCH("نشتي",G41))),"نشتی - شیلنگ (تعمیر/آب‌بندی)",IF(OR(ISNUMBER(SEARCH("يخ",G41)),ISNUMBER(SEARCH("یخ",G41))),"شیلنگ یخساز - یخ‌زدگی (بازبینی)","شیلنگ - برخورد/لهیدگی (بازبینی)")),IF(OR(ISNUMBER(SEARCH("تنظيم ديسپل",G41)),ISNUMBER(SEARCH("تنظیم دیسپل",G41)),ISNUMBER(SEARCH("تنظيم صفحه نمايش",G41)),ISNUMBER(SEARCH("تنظیم صفحه نمایش",G41))),"تنظیم - تنظیمات دستگاه/دیسپلی (تعمیر)",IF(OR(ISNUMBER(SEARCH("برد",G41)),ISNUMBER(SEARCH("سوکت",G41)),ISNUMBER(SEARCH("ديسپل",G41)),ISNUMBER(SEARCH("دیسپل",G41))),"خرابی - برد الکترونیک (تعویض)",IF(OR(ISNUMBER(SEARCH("يخساز",G41)),ISNUMBER(SEARCH("یخساز",G41)),ISNUMBER(SEARCH("دمپر",G41))),IF(OR(ISNUMBER(SEARCH("خرابی",G41)),ISNUMBER(SEARCH("خراب",G41)),ISNUMBER(SEARCH("عدم کارکرد",G41)),ISNUMBER(SEARCH("عدم عملکرد",G41))),"یخساز - خرابی موتور/سنسور/برد (تعویض)","یخساز - تنظیم/عایق (تعمیر)"),IF(OR(ISNUMBER(SEARCH("لاستيک",G41)),ISNUMBER(SEARCH("لاستیک",G41))),"لاستیک درزگیر - دفرمگی/پارگی (تعویض)",IF(OR(ISNUMBER(SEARCH("گسکت",G41)),ISNUMBER(SEARCH("گسگت",G41))),"لاستیک درزگیر - دفرمگی/پارگی (تعویض)",IF(ISNUMBER(SEARCH("مخزن نمک",G41)),"نشتی - درب مخزن نمک (تعمیر/آب‌بندی)",IF(ISNUMBER(SEARCH("براکت",G41)),"نشتی - براکت ریل (تعمیر/آب‌بندی)",IF(ISNUMBER(SEARCH("جاپودر",G41)),"نشتی - جاپودری (تعمیر/آب‌بندی)",IF(ISNUMBER(SEARCH("مقسم",G41)),"نشتی - مقسم آب (تعمیر/آب‌بندی)",IF(OR(ISNUMBER(SEARCH("سنسور دما",G41)),ISNUMBER(SEARCH("ترموستات",G41))),"خرابی - ترموستات (تعویض)",IF(OR(ISNUMBER(SEARCH("هيدروستات",G41)),ISNUMBER(SEARCH("هیدروستات",G41))),"خرابی - هیدروستات (تعویض)",IF(OR(ISNUMBER(SEARCH("بلبرينگ",G41)),ISNUMBER(SEARCH("بلبرینگ",G41))),"خرابی - بلبرینگ (تعویض)",IF(OR(ISNUMBER(SEARCH("شيربرق",G41)),ISNUMBER(SEARCH("شیربرق",G41))),"خرابی - شیربرقی (تعویض)",IF(OR(ISNUMBER(SEARCH("واتر جت",G41)),ISNUMBER(SEARCH("واترجت",G41))),"خرابی - واترجت (تعویض)",IF(OR(ISNUMBER(SEARCH("سيم",G41)),ISNUMBER(SEARCH("سیم",G41)),ISNUMBER(SEARCH("اتصال",G41))),"سیم‌کشی/اتصالات (تعویض/بازبینی)",IF(OR(ISNUMBER(SEARCH("تصوير",G41)),ISNUMBER(SEARCH("تصویر",G41))),"برد نمایش تلویزیون (تعویض)",IF(OR(ISNUMBER(SEARCH("ريموت",G41)),ISNUMBER(SEARCH("ریموت",G41))),"ریموت کنترل (تعویض/تعمیر)",IF(OR(ISNUMBER(SEARCH("ال اي دي",G41)),ISNUMBER(SEARCH("ال ای دی",G41)),ISNUMBER(SEARCH("LED",G41))),"خرابی - لامپ/LED داخلی (تعویض)",IF(ISNUMBER(SEARCH("زنگ زدگ",G41)),"زنگ‌زدگی بدنه/قطعه (تعویض)",IF(OR(ISNUMBER(SEARCH("قطعات تزئين",G41)),ISNUMBER(SEARCH("قطعات تزئین",G41))),"قطعات تزئینی - شکستگی/کسری (تعویض)",IF(ISNUMBER(SEARCH("سبد",G41)),"سبد ظرفشویی - شکستگی (تعویض)",IF(ISNUMBER(SEARCH("تاب درام",G41)),"خرابی - تاب برداشتن درام (تعویض)",IF(ISNUMBER(SEARCH("درام",G41)),"خرابی - سایر ایراد درام (تعویض)",IF(ISNUMBER(SEARCH("موتور",G41)),"خرابی - موتور (تعویض)",IF(ISNUMBER(SEARCH("تسمه",G41)),"خرابی - تسمه (تعویض)",IF(OR(ISNUMBER(SEARCH("پيچ ولوم",G41)),ISNUMBER(SEARCH("پیچ ولوم",G41))),"تنظیم - پیچ ولوم/دکمه (تعمیر)",IF(OR(ISNUMBER(SEARCH("کسري قطعات",G41)),ISNUMBER(SEARCH("کسری قطعات",G41))),"کسری قطعات تزئینی (تعویض)",IF(ISNUMBER(SEARCH("پرچ",G41)),"پرچ/بدنه کابین(تعمیر)",IF(OR(ISNUMBER(SEARCH("نشت",G41)),ISNUMBER(SEARCH("آبريزش",G41)),ISNUMBER(SEARCH("آبریزش",G41))),"نشتی آب - محل نامشخص (نیازمند بازدید)",IF(ISNUMBER(SEARCH("درب",G41)),"سایر اجزای درب (بازبینی)",IF(ISNUMBER(SEARCH("ضربه",G41)),"بدنه/کابین - ضربه (بازبینی/تعویض پنل)",IF(ISNUMBER(SEARCH("تراز",G41)),"تراز/لرزش - نصب (رگلاژ پایه)",IF(OR(ISNUMBER(SEARCH("تعویض",G41)),ISNUMBER(SEARCH("تعويض",G41))),"تعویض کامل دستگاه (Replacement)","سایر (نیازمند بررسی دستی)")))))))))))))))))))))))))))))))))))))))))))</f>
        <v/>
      </c>
      <c r="P41" s="124" t="inlineStr">
        <is>
          <t>*</t>
        </is>
      </c>
      <c r="Q41" s="124">
        <f>IF(ISNUMBER(SEARCH("عهده شرکت",F41)),"شرکت",IF(ISNUMBER(SEARCH("عهده مشتري",F41)),"مشتری",IF(ISNUMBER(SEARCH("عهده مشتری",F41)),"مشتری","نامشخص")))</f>
        <v/>
      </c>
      <c r="R41" s="178">
        <f>IF(O41="تعویض کامل دستگاه (Replacement)",IF(SUMIF('قیمت‌ها و مفروضات'!$A$9:$A$13,C41,'قیمت‌ها و مفروضات'!$C$9:$C$13)&lt;&gt;0,SUMIF('قیمت‌ها و مفروضات'!$A$9:$A$13,C41,'قیمت‌ها و مفروضات'!$C$9:$C$13),SUMIF('قیمت‌ها و مفروضات'!$A$9:$A$13,C41,'قیمت‌ها و مفروضات'!$B$9:$B$13)),IF(SUMIF('قیمت‌ها و مفروضات'!$A$18:$A$63,O41,'قیمت‌ها و مفروضات'!$C$18:$C$63)&lt;&gt;0,SUMIF('قیمت‌ها و مفروضات'!$A$18:$A$63,O41,'قیمت‌ها و مفروضات'!$C$18:$C$63),SUMIF('قیمت‌ها و مفروضات'!$A$18:$A$63,O41,'قیمت‌ها و مفروضات'!$B$18:$B$63)))</f>
        <v/>
      </c>
      <c r="S41" s="178">
        <f>'قیمت‌ها و مفروضات'!$B$3+'قیمت‌ها و مفروضات'!$B$4</f>
        <v/>
      </c>
      <c r="T41" s="178">
        <f>R41+S41</f>
        <v/>
      </c>
      <c r="U41" s="178">
        <f>IF(COUNTIF($E$2:E41,E41)&gt;1,"بله (تکراری)","خیر")</f>
        <v/>
      </c>
      <c r="V41" s="178">
        <f>IF(U41="بله (تکراری)",S41,0)</f>
        <v/>
      </c>
      <c r="W41" s="208" t="inlineStr"/>
      <c r="X41" s="208" t="inlineStr"/>
    </row>
    <row r="42" ht="58.5" customHeight="1" s="151">
      <c r="A42" s="176" t="n">
        <v>210004819</v>
      </c>
      <c r="B42" s="124">
        <f>CHOOSE(_xlfn.NUMBERVALUE(MID(H42,6,2)),"فروردین","اردیبهشت","خرداد","تیر","مرداد","شهریور","مهر","آبان","آذر","دی","بهمن","اسفند")</f>
        <v/>
      </c>
      <c r="C42" s="176" t="inlineStr">
        <is>
          <t>ماشين لباسشويي</t>
        </is>
      </c>
      <c r="D42" s="176" t="inlineStr">
        <is>
          <t>CWM-BMW8T2</t>
        </is>
      </c>
      <c r="E42" s="176" t="inlineStr">
        <is>
          <t>52210010N01829</t>
        </is>
      </c>
      <c r="F42" s="173" t="inlineStr">
        <is>
          <t>لرزش و حرکت محصول**اياب و ذهاب به عهده شرکت</t>
        </is>
      </c>
      <c r="G42" s="173" t="inlineStr">
        <is>
          <t>تاب درام</t>
        </is>
      </c>
      <c r="H42" s="176" t="inlineStr">
        <is>
          <t>1405/01/27</t>
        </is>
      </c>
      <c r="I42" s="124" t="inlineStr">
        <is>
          <t>1404/06/22</t>
        </is>
      </c>
      <c r="J42" s="179" t="inlineStr">
        <is>
          <t>1403/04/18</t>
        </is>
      </c>
      <c r="K42" s="177">
        <f>IFERROR(VLOOKUP(LEFT(H42,7),'تبدیل تاریخ'!$A$2:$B$73,2,FALSE())+VALUE(RIGHT(H42,2))-1,"")</f>
        <v/>
      </c>
      <c r="L42" s="177">
        <f>IFERROR(VLOOKUP(LEFT(I42,7),'تبدیل تاریخ'!$A$2:$B$73,2,FALSE())+VALUE(RIGHT(I42,2))-1,"")</f>
        <v/>
      </c>
      <c r="M42" s="177">
        <f>IF(J42="","",IFERROR(VLOOKUP(LEFT(J42,7),'تبدیل تاریخ'!$A$2:$B$73,2,FALSE())+VALUE(RIGHT(J42,2))-1,""))</f>
        <v/>
      </c>
      <c r="N42" s="124">
        <f>IF(OR(K42="",M42=""),"",CEILING((K42-M42)/30,1))</f>
        <v/>
      </c>
      <c r="O42" s="124">
        <f>IF(OR(ISNUMBER(SEARCH("بدون مورد",G42)),ISNUMBER(SEARCH("غير گارانتي",G42)),ISNUMBER(SEARCH("غیر گارانتی",G42)),ISNUMBER(SEARCH("بدون اجرت",G42)),ISNUMBER(SEARCH("فيلتر",G42)),ISNUMBER(SEARCH("فیلتر",G42))),"غیرگارانتی/بدون قطعه",IF(OR(ISNUMBER(SEARCH("ريست",G42)),ISNUMBER(SEARCH("ریست",G42))),"ریست نرم‌افزاری (بدون قطعه)",IF(OR(ISNUMBER(SEARCH("تعویض محصول",G42)),ISNUMBER(SEARCH("تعویض دستگاه",G42))),"تعویض کامل دستگاه (Replacement)",IF(ISNUMBER(SEARCH("پمپ",G42)),IF(ISNUMBER(SEARCH("نشت",G42)),"نشتی - پمپ تخلیه (تعمیر/آب‌بندی)","خرابی - پمپ تخلیه (تعویض)"),IF(ISNUMBER(SEARCH("کمپرسور",G42)),"خرابی - کمپرسور (تعویض)",IF(ISNUMBER(SEARCH("کمک فنر",G42)),"خرابی - کمک فنر (تعویض)",IF(ISNUMBER(SEARCH("لولا",G42)),"مکانیزم درب - لولا (تعویض)",IF(OR(ISNUMBER(SEARCH("قلاب",G42)),ISNUMBER(SEARCH("ميکروسوئيچ",G42)),ISNUMBER(SEARCH("میکروسوئیچ",G42))),"مکانیزم درب - میکروسوئیچ/قلاب (تعویض/تنظیم)",IF(ISNUMBER(SEARCH("زبانه",G42)),"مکانیزم درب - زبانه (تعویض)",IF(OR(ISNUMBER(SEARCH("شيلنگ",G42)),ISNUMBER(SEARCH("شیلنگ",G42))),IF(OR(ISNUMBER(SEARCH("نشتی",G42)),ISNUMBER(SEARCH("نشتي",G42))),"نشتی - شیلنگ (تعمیر/آب‌بندی)",IF(OR(ISNUMBER(SEARCH("يخ",G42)),ISNUMBER(SEARCH("یخ",G42))),"شیلنگ یخساز - یخ‌زدگی (بازبینی)","شیلنگ - برخورد/لهیدگی (بازبینی)")),IF(OR(ISNUMBER(SEARCH("تنظيم ديسپل",G42)),ISNUMBER(SEARCH("تنظیم دیسپل",G42)),ISNUMBER(SEARCH("تنظيم صفحه نمايش",G42)),ISNUMBER(SEARCH("تنظیم صفحه نمایش",G42))),"تنظیم - تنظیمات دستگاه/دیسپلی (تعمیر)",IF(OR(ISNUMBER(SEARCH("برد",G42)),ISNUMBER(SEARCH("سوکت",G42)),ISNUMBER(SEARCH("ديسپل",G42)),ISNUMBER(SEARCH("دیسپل",G42))),"خرابی - برد الکترونیک (تعویض)",IF(OR(ISNUMBER(SEARCH("يخساز",G42)),ISNUMBER(SEARCH("یخساز",G42)),ISNUMBER(SEARCH("دمپر",G42))),IF(OR(ISNUMBER(SEARCH("خرابی",G42)),ISNUMBER(SEARCH("خراب",G42)),ISNUMBER(SEARCH("عدم کارکرد",G42)),ISNUMBER(SEARCH("عدم عملکرد",G42))),"یخساز - خرابی موتور/سنسور/برد (تعویض)","یخساز - تنظیم/عایق (تعمیر)"),IF(OR(ISNUMBER(SEARCH("لاستيک",G42)),ISNUMBER(SEARCH("لاستیک",G42))),"لاستیک درزگیر - دفرمگی/پارگی (تعویض)",IF(OR(ISNUMBER(SEARCH("گسکت",G42)),ISNUMBER(SEARCH("گسگت",G42))),"لاستیک درزگیر - دفرمگی/پارگی (تعویض)",IF(ISNUMBER(SEARCH("مخزن نمک",G42)),"نشتی - درب مخزن نمک (تعمیر/آب‌بندی)",IF(ISNUMBER(SEARCH("براکت",G42)),"نشتی - براکت ریل (تعمیر/آب‌بندی)",IF(ISNUMBER(SEARCH("جاپودر",G42)),"نشتی - جاپودری (تعمیر/آب‌بندی)",IF(ISNUMBER(SEARCH("مقسم",G42)),"نشتی - مقسم آب (تعمیر/آب‌بندی)",IF(OR(ISNUMBER(SEARCH("سنسور دما",G42)),ISNUMBER(SEARCH("ترموستات",G42))),"خرابی - ترموستات (تعویض)",IF(OR(ISNUMBER(SEARCH("هيدروستات",G42)),ISNUMBER(SEARCH("هیدروستات",G42))),"خرابی - هیدروستات (تعویض)",IF(OR(ISNUMBER(SEARCH("بلبرينگ",G42)),ISNUMBER(SEARCH("بلبرینگ",G42))),"خرابی - بلبرینگ (تعویض)",IF(OR(ISNUMBER(SEARCH("شيربرق",G42)),ISNUMBER(SEARCH("شیربرق",G42))),"خرابی - شیربرقی (تعویض)",IF(OR(ISNUMBER(SEARCH("واتر جت",G42)),ISNUMBER(SEARCH("واترجت",G42))),"خرابی - واترجت (تعویض)",IF(OR(ISNUMBER(SEARCH("سيم",G42)),ISNUMBER(SEARCH("سیم",G42)),ISNUMBER(SEARCH("اتصال",G42))),"سیم‌کشی/اتصالات (تعویض/بازبینی)",IF(OR(ISNUMBER(SEARCH("تصوير",G42)),ISNUMBER(SEARCH("تصویر",G42))),"برد نمایش تلویزیون (تعویض)",IF(OR(ISNUMBER(SEARCH("ريموت",G42)),ISNUMBER(SEARCH("ریموت",G42))),"ریموت کنترل (تعویض/تعمیر)",IF(OR(ISNUMBER(SEARCH("ال اي دي",G42)),ISNUMBER(SEARCH("ال ای دی",G42)),ISNUMBER(SEARCH("LED",G42))),"خرابی - لامپ/LED داخلی (تعویض)",IF(ISNUMBER(SEARCH("زنگ زدگ",G42)),"زنگ‌زدگی بدنه/قطعه (تعویض)",IF(OR(ISNUMBER(SEARCH("قطعات تزئين",G42)),ISNUMBER(SEARCH("قطعات تزئین",G42))),"قطعات تزئینی - شکستگی/کسری (تعویض)",IF(ISNUMBER(SEARCH("سبد",G42)),"سبد ظرفشویی - شکستگی (تعویض)",IF(ISNUMBER(SEARCH("تاب درام",G42)),"خرابی - تاب برداشتن درام (تعویض)",IF(ISNUMBER(SEARCH("درام",G42)),"خرابی - سایر ایراد درام (تعویض)",IF(ISNUMBER(SEARCH("موتور",G42)),"خرابی - موتور (تعویض)",IF(ISNUMBER(SEARCH("تسمه",G42)),"خرابی - تسمه (تعویض)",IF(OR(ISNUMBER(SEARCH("پيچ ولوم",G42)),ISNUMBER(SEARCH("پیچ ولوم",G42))),"تنظیم - پیچ ولوم/دکمه (تعمیر)",IF(OR(ISNUMBER(SEARCH("کسري قطعات",G42)),ISNUMBER(SEARCH("کسری قطعات",G42))),"کسری قطعات تزئینی (تعویض)",IF(ISNUMBER(SEARCH("پرچ",G42)),"پرچ/بدنه کابین(تعمیر)",IF(OR(ISNUMBER(SEARCH("نشت",G42)),ISNUMBER(SEARCH("آبريزش",G42)),ISNUMBER(SEARCH("آبریزش",G42))),"نشتی آب - محل نامشخص (نیازمند بازدید)",IF(ISNUMBER(SEARCH("درب",G42)),"سایر اجزای درب (بازبینی)",IF(ISNUMBER(SEARCH("ضربه",G42)),"بدنه/کابین - ضربه (بازبینی/تعویض پنل)",IF(ISNUMBER(SEARCH("تراز",G42)),"تراز/لرزش - نصب (رگلاژ پایه)",IF(OR(ISNUMBER(SEARCH("تعویض",G42)),ISNUMBER(SEARCH("تعويض",G42))),"تعویض کامل دستگاه (Replacement)","سایر (نیازمند بررسی دستی)")))))))))))))))))))))))))))))))))))))))))))</f>
        <v/>
      </c>
      <c r="P42" s="124" t="inlineStr">
        <is>
          <t>*</t>
        </is>
      </c>
      <c r="Q42" s="124">
        <f>IF(ISNUMBER(SEARCH("عهده شرکت",F42)),"شرکت",IF(ISNUMBER(SEARCH("عهده مشتري",F42)),"مشتری",IF(ISNUMBER(SEARCH("عهده مشتری",F42)),"مشتری","نامشخص")))</f>
        <v/>
      </c>
      <c r="R42" s="178">
        <f>IF(O42="تعویض کامل دستگاه (Replacement)",IF(SUMIF('قیمت‌ها و مفروضات'!$A$9:$A$13,C42,'قیمت‌ها و مفروضات'!$C$9:$C$13)&lt;&gt;0,SUMIF('قیمت‌ها و مفروضات'!$A$9:$A$13,C42,'قیمت‌ها و مفروضات'!$C$9:$C$13),SUMIF('قیمت‌ها و مفروضات'!$A$9:$A$13,C42,'قیمت‌ها و مفروضات'!$B$9:$B$13)),IF(SUMIF('قیمت‌ها و مفروضات'!$A$18:$A$63,O42,'قیمت‌ها و مفروضات'!$C$18:$C$63)&lt;&gt;0,SUMIF('قیمت‌ها و مفروضات'!$A$18:$A$63,O42,'قیمت‌ها و مفروضات'!$C$18:$C$63),SUMIF('قیمت‌ها و مفروضات'!$A$18:$A$63,O42,'قیمت‌ها و مفروضات'!$B$18:$B$63)))</f>
        <v/>
      </c>
      <c r="S42" s="178">
        <f>'قیمت‌ها و مفروضات'!$B$3+'قیمت‌ها و مفروضات'!$B$4</f>
        <v/>
      </c>
      <c r="T42" s="178">
        <f>R42+S42</f>
        <v/>
      </c>
      <c r="U42" s="178">
        <f>IF(COUNTIF($E$2:E42,E42)&gt;1,"بله (تکراری)","خیر")</f>
        <v/>
      </c>
      <c r="V42" s="178">
        <f>IF(U42="بله (تکراری)",S42,0)</f>
        <v/>
      </c>
      <c r="W42" s="208" t="inlineStr"/>
      <c r="X42" s="208" t="inlineStr"/>
    </row>
    <row r="43" ht="58.5" customHeight="1" s="151">
      <c r="A43" s="176" t="n">
        <v>210004817</v>
      </c>
      <c r="B43" s="124">
        <f>CHOOSE(_xlfn.NUMBERVALUE(MID(H43,6,2)),"فروردین","اردیبهشت","خرداد","تیر","مرداد","شهریور","مهر","آبان","آذر","دی","بهمن","اسفند")</f>
        <v/>
      </c>
      <c r="C43" s="176" t="inlineStr">
        <is>
          <t>ماشين لباسشويي</t>
        </is>
      </c>
      <c r="D43" s="176" t="inlineStr">
        <is>
          <t>CWM-BMW8T2</t>
        </is>
      </c>
      <c r="E43" s="176" t="inlineStr">
        <is>
          <t>52210010N00366</t>
        </is>
      </c>
      <c r="F43" s="173" t="inlineStr">
        <is>
          <t>لرزش و حرکت محصول**صداي غيرعادي هنگام خشک کن**اياب و ذهاب به عهده شرکت</t>
        </is>
      </c>
      <c r="G43" s="173" t="inlineStr">
        <is>
          <t>تراز پايه تنظيم</t>
        </is>
      </c>
      <c r="H43" s="176" t="inlineStr">
        <is>
          <t>1405/01/30</t>
        </is>
      </c>
      <c r="I43" s="124" t="inlineStr">
        <is>
          <t>1403/11/23</t>
        </is>
      </c>
      <c r="J43" s="179" t="inlineStr">
        <is>
          <t>1405/01/20</t>
        </is>
      </c>
      <c r="K43" s="177">
        <f>IFERROR(VLOOKUP(LEFT(H43,7),'تبدیل تاریخ'!$A$2:$B$73,2,FALSE())+VALUE(RIGHT(H43,2))-1,"")</f>
        <v/>
      </c>
      <c r="L43" s="177">
        <f>IFERROR(VLOOKUP(LEFT(I43,7),'تبدیل تاریخ'!$A$2:$B$73,2,FALSE())+VALUE(RIGHT(I43,2))-1,"")</f>
        <v/>
      </c>
      <c r="M43" s="177">
        <f>IF(J43="","",IFERROR(VLOOKUP(LEFT(J43,7),'تبدیل تاریخ'!$A$2:$B$73,2,FALSE())+VALUE(RIGHT(J43,2))-1,""))</f>
        <v/>
      </c>
      <c r="N43" s="124">
        <f>IF(OR(K43="",M43=""),"",CEILING((K43-M43)/30,1))</f>
        <v/>
      </c>
      <c r="O43" s="124">
        <f>IF(OR(ISNUMBER(SEARCH("بدون مورد",G43)),ISNUMBER(SEARCH("غير گارانتي",G43)),ISNUMBER(SEARCH("غیر گارانتی",G43)),ISNUMBER(SEARCH("بدون اجرت",G43)),ISNUMBER(SEARCH("فيلتر",G43)),ISNUMBER(SEARCH("فیلتر",G43))),"غیرگارانتی/بدون قطعه",IF(OR(ISNUMBER(SEARCH("ريست",G43)),ISNUMBER(SEARCH("ریست",G43))),"ریست نرم‌افزاری (بدون قطعه)",IF(OR(ISNUMBER(SEARCH("تعویض محصول",G43)),ISNUMBER(SEARCH("تعویض دستگاه",G43))),"تعویض کامل دستگاه (Replacement)",IF(ISNUMBER(SEARCH("پمپ",G43)),IF(ISNUMBER(SEARCH("نشت",G43)),"نشتی - پمپ تخلیه (تعمیر/آب‌بندی)","خرابی - پمپ تخلیه (تعویض)"),IF(ISNUMBER(SEARCH("کمپرسور",G43)),"خرابی - کمپرسور (تعویض)",IF(ISNUMBER(SEARCH("کمک فنر",G43)),"خرابی - کمک فنر (تعویض)",IF(ISNUMBER(SEARCH("لولا",G43)),"مکانیزم درب - لولا (تعویض)",IF(OR(ISNUMBER(SEARCH("قلاب",G43)),ISNUMBER(SEARCH("ميکروسوئيچ",G43)),ISNUMBER(SEARCH("میکروسوئیچ",G43))),"مکانیزم درب - میکروسوئیچ/قلاب (تعویض/تنظیم)",IF(ISNUMBER(SEARCH("زبانه",G43)),"مکانیزم درب - زبانه (تعویض)",IF(OR(ISNUMBER(SEARCH("شيلنگ",G43)),ISNUMBER(SEARCH("شیلنگ",G43))),IF(OR(ISNUMBER(SEARCH("نشتی",G43)),ISNUMBER(SEARCH("نشتي",G43))),"نشتی - شیلنگ (تعمیر/آب‌بندی)",IF(OR(ISNUMBER(SEARCH("يخ",G43)),ISNUMBER(SEARCH("یخ",G43))),"شیلنگ یخساز - یخ‌زدگی (بازبینی)","شیلنگ - برخورد/لهیدگی (بازبینی)")),IF(OR(ISNUMBER(SEARCH("تنظيم ديسپل",G43)),ISNUMBER(SEARCH("تنظیم دیسپل",G43)),ISNUMBER(SEARCH("تنظيم صفحه نمايش",G43)),ISNUMBER(SEARCH("تنظیم صفحه نمایش",G43))),"تنظیم - تنظیمات دستگاه/دیسپلی (تعمیر)",IF(OR(ISNUMBER(SEARCH("برد",G43)),ISNUMBER(SEARCH("سوکت",G43)),ISNUMBER(SEARCH("ديسپل",G43)),ISNUMBER(SEARCH("دیسپل",G43))),"خرابی - برد الکترونیک (تعویض)",IF(OR(ISNUMBER(SEARCH("يخساز",G43)),ISNUMBER(SEARCH("یخساز",G43)),ISNUMBER(SEARCH("دمپر",G43))),IF(OR(ISNUMBER(SEARCH("خرابی",G43)),ISNUMBER(SEARCH("خراب",G43)),ISNUMBER(SEARCH("عدم کارکرد",G43)),ISNUMBER(SEARCH("عدم عملکرد",G43))),"یخساز - خرابی موتور/سنسور/برد (تعویض)","یخساز - تنظیم/عایق (تعمیر)"),IF(OR(ISNUMBER(SEARCH("لاستيک",G43)),ISNUMBER(SEARCH("لاستیک",G43))),"لاستیک درزگیر - دفرمگی/پارگی (تعویض)",IF(OR(ISNUMBER(SEARCH("گسکت",G43)),ISNUMBER(SEARCH("گسگت",G43))),"لاستیک درزگیر - دفرمگی/پارگی (تعویض)",IF(ISNUMBER(SEARCH("مخزن نمک",G43)),"نشتی - درب مخزن نمک (تعمیر/آب‌بندی)",IF(ISNUMBER(SEARCH("براکت",G43)),"نشتی - براکت ریل (تعمیر/آب‌بندی)",IF(ISNUMBER(SEARCH("جاپودر",G43)),"نشتی - جاپودری (تعمیر/آب‌بندی)",IF(ISNUMBER(SEARCH("مقسم",G43)),"نشتی - مقسم آب (تعمیر/آب‌بندی)",IF(OR(ISNUMBER(SEARCH("سنسور دما",G43)),ISNUMBER(SEARCH("ترموستات",G43))),"خرابی - ترموستات (تعویض)",IF(OR(ISNUMBER(SEARCH("هيدروستات",G43)),ISNUMBER(SEARCH("هیدروستات",G43))),"خرابی - هیدروستات (تعویض)",IF(OR(ISNUMBER(SEARCH("بلبرينگ",G43)),ISNUMBER(SEARCH("بلبرینگ",G43))),"خرابی - بلبرینگ (تعویض)",IF(OR(ISNUMBER(SEARCH("شيربرق",G43)),ISNUMBER(SEARCH("شیربرق",G43))),"خرابی - شیربرقی (تعویض)",IF(OR(ISNUMBER(SEARCH("واتر جت",G43)),ISNUMBER(SEARCH("واترجت",G43))),"خرابی - واترجت (تعویض)",IF(OR(ISNUMBER(SEARCH("سيم",G43)),ISNUMBER(SEARCH("سیم",G43)),ISNUMBER(SEARCH("اتصال",G43))),"سیم‌کشی/اتصالات (تعویض/بازبینی)",IF(OR(ISNUMBER(SEARCH("تصوير",G43)),ISNUMBER(SEARCH("تصویر",G43))),"برد نمایش تلویزیون (تعویض)",IF(OR(ISNUMBER(SEARCH("ريموت",G43)),ISNUMBER(SEARCH("ریموت",G43))),"ریموت کنترل (تعویض/تعمیر)",IF(OR(ISNUMBER(SEARCH("ال اي دي",G43)),ISNUMBER(SEARCH("ال ای دی",G43)),ISNUMBER(SEARCH("LED",G43))),"خرابی - لامپ/LED داخلی (تعویض)",IF(ISNUMBER(SEARCH("زنگ زدگ",G43)),"زنگ‌زدگی بدنه/قطعه (تعویض)",IF(OR(ISNUMBER(SEARCH("قطعات تزئين",G43)),ISNUMBER(SEARCH("قطعات تزئین",G43))),"قطعات تزئینی - شکستگی/کسری (تعویض)",IF(ISNUMBER(SEARCH("سبد",G43)),"سبد ظرفشویی - شکستگی (تعویض)",IF(ISNUMBER(SEARCH("تاب درام",G43)),"خرابی - تاب برداشتن درام (تعویض)",IF(ISNUMBER(SEARCH("درام",G43)),"خرابی - سایر ایراد درام (تعویض)",IF(ISNUMBER(SEARCH("موتور",G43)),"خرابی - موتور (تعویض)",IF(ISNUMBER(SEARCH("تسمه",G43)),"خرابی - تسمه (تعویض)",IF(OR(ISNUMBER(SEARCH("پيچ ولوم",G43)),ISNUMBER(SEARCH("پیچ ولوم",G43))),"تنظیم - پیچ ولوم/دکمه (تعمیر)",IF(OR(ISNUMBER(SEARCH("کسري قطعات",G43)),ISNUMBER(SEARCH("کسری قطعات",G43))),"کسری قطعات تزئینی (تعویض)",IF(ISNUMBER(SEARCH("پرچ",G43)),"پرچ/بدنه کابین(تعمیر)",IF(OR(ISNUMBER(SEARCH("نشت",G43)),ISNUMBER(SEARCH("آبريزش",G43)),ISNUMBER(SEARCH("آبریزش",G43))),"نشتی آب - محل نامشخص (نیازمند بازدید)",IF(ISNUMBER(SEARCH("درب",G43)),"سایر اجزای درب (بازبینی)",IF(ISNUMBER(SEARCH("ضربه",G43)),"بدنه/کابین - ضربه (بازبینی/تعویض پنل)",IF(ISNUMBER(SEARCH("تراز",G43)),"تراز/لرزش - نصب (رگلاژ پایه)",IF(OR(ISNUMBER(SEARCH("تعویض",G43)),ISNUMBER(SEARCH("تعويض",G43))),"تعویض کامل دستگاه (Replacement)","سایر (نیازمند بررسی دستی)")))))))))))))))))))))))))))))))))))))))))))</f>
        <v/>
      </c>
      <c r="P43" s="124" t="inlineStr">
        <is>
          <t>رگلاژ پایه تنظیم لباسشویی</t>
        </is>
      </c>
      <c r="Q43" s="124">
        <f>IF(ISNUMBER(SEARCH("عهده شرکت",F43)),"شرکت",IF(ISNUMBER(SEARCH("عهده مشتري",F43)),"مشتری",IF(ISNUMBER(SEARCH("عهده مشتری",F43)),"مشتری","نامشخص")))</f>
        <v/>
      </c>
      <c r="R43" s="178">
        <f>IF(O43="تعویض کامل دستگاه (Replacement)",IF(SUMIF('قیمت‌ها و مفروضات'!$A$9:$A$13,C43,'قیمت‌ها و مفروضات'!$C$9:$C$13)&lt;&gt;0,SUMIF('قیمت‌ها و مفروضات'!$A$9:$A$13,C43,'قیمت‌ها و مفروضات'!$C$9:$C$13),SUMIF('قیمت‌ها و مفروضات'!$A$9:$A$13,C43,'قیمت‌ها و مفروضات'!$B$9:$B$13)),IF(SUMIF('قیمت‌ها و مفروضات'!$A$18:$A$63,O43,'قیمت‌ها و مفروضات'!$C$18:$C$63)&lt;&gt;0,SUMIF('قیمت‌ها و مفروضات'!$A$18:$A$63,O43,'قیمت‌ها و مفروضات'!$C$18:$C$63),SUMIF('قیمت‌ها و مفروضات'!$A$18:$A$63,O43,'قیمت‌ها و مفروضات'!$B$18:$B$63)))</f>
        <v/>
      </c>
      <c r="S43" s="178">
        <f>'قیمت‌ها و مفروضات'!$B$3+'قیمت‌ها و مفروضات'!$B$4</f>
        <v/>
      </c>
      <c r="T43" s="178">
        <f>R43+S43</f>
        <v/>
      </c>
      <c r="U43" s="178">
        <f>IF(COUNTIF($E$2:E43,E43)&gt;1,"بله (تکراری)","خیر")</f>
        <v/>
      </c>
      <c r="V43" s="178">
        <f>IF(U43="بله (تکراری)",S43,0)</f>
        <v/>
      </c>
      <c r="W43" s="208" t="inlineStr"/>
      <c r="X43" s="208" t="inlineStr"/>
    </row>
    <row r="44" ht="58.5" customHeight="1" s="151">
      <c r="A44" s="176" t="n">
        <v>810001656</v>
      </c>
      <c r="B44" s="124">
        <f>CHOOSE(_xlfn.NUMBERVALUE(MID(H44,6,2)),"فروردین","اردیبهشت","خرداد","تیر","مرداد","شهریور","مهر","آبان","آذر","دی","بهمن","اسفند")</f>
        <v/>
      </c>
      <c r="C44" s="176" t="inlineStr">
        <is>
          <t>ماشين ظرفشويي</t>
        </is>
      </c>
      <c r="D44" s="176" t="inlineStr">
        <is>
          <t>CDW-H16T</t>
        </is>
      </c>
      <c r="E44" s="176" t="inlineStr">
        <is>
          <t>52220005N02458</t>
        </is>
      </c>
      <c r="F44" s="173" t="inlineStr">
        <is>
          <t>عدم شست و شوي کامل ظروف**اياب و ذهاب به عهده شرکت</t>
        </is>
      </c>
      <c r="G44" s="173" t="inlineStr">
        <is>
          <t>خرابي هيدروستات</t>
        </is>
      </c>
      <c r="H44" s="176" t="inlineStr">
        <is>
          <t>1405/01/16</t>
        </is>
      </c>
      <c r="I44" s="124" t="inlineStr">
        <is>
          <t>1404/01/26</t>
        </is>
      </c>
      <c r="J44" s="179" t="inlineStr">
        <is>
          <t>1405/01/08</t>
        </is>
      </c>
      <c r="K44" s="177">
        <f>IFERROR(VLOOKUP(LEFT(H44,7),'تبدیل تاریخ'!$A$2:$B$73,2,FALSE())+VALUE(RIGHT(H44,2))-1,"")</f>
        <v/>
      </c>
      <c r="L44" s="177">
        <f>IFERROR(VLOOKUP(LEFT(I44,7),'تبدیل تاریخ'!$A$2:$B$73,2,FALSE())+VALUE(RIGHT(I44,2))-1,"")</f>
        <v/>
      </c>
      <c r="M44" s="177">
        <f>IF(J44="","",IFERROR(VLOOKUP(LEFT(J44,7),'تبدیل تاریخ'!$A$2:$B$73,2,FALSE())+VALUE(RIGHT(J44,2))-1,""))</f>
        <v/>
      </c>
      <c r="N44" s="124">
        <f>IF(OR(K44="",M44=""),"",CEILING((K44-M44)/30,1))</f>
        <v/>
      </c>
      <c r="O44" s="124">
        <f>IF(OR(ISNUMBER(SEARCH("بدون مورد",G44)),ISNUMBER(SEARCH("غير گارانتي",G44)),ISNUMBER(SEARCH("غیر گارانتی",G44)),ISNUMBER(SEARCH("بدون اجرت",G44)),ISNUMBER(SEARCH("فيلتر",G44)),ISNUMBER(SEARCH("فیلتر",G44))),"غیرگارانتی/بدون قطعه",IF(OR(ISNUMBER(SEARCH("ريست",G44)),ISNUMBER(SEARCH("ریست",G44))),"ریست نرم‌افزاری (بدون قطعه)",IF(OR(ISNUMBER(SEARCH("تعویض محصول",G44)),ISNUMBER(SEARCH("تعویض دستگاه",G44))),"تعویض کامل دستگاه (Replacement)",IF(ISNUMBER(SEARCH("پمپ",G44)),IF(ISNUMBER(SEARCH("نشت",G44)),"نشتی - پمپ تخلیه (تعمیر/آب‌بندی)","خرابی - پمپ تخلیه (تعویض)"),IF(ISNUMBER(SEARCH("کمپرسور",G44)),"خرابی - کمپرسور (تعویض)",IF(ISNUMBER(SEARCH("کمک فنر",G44)),"خرابی - کمک فنر (تعویض)",IF(ISNUMBER(SEARCH("لولا",G44)),"مکانیزم درب - لولا (تعویض)",IF(OR(ISNUMBER(SEARCH("قلاب",G44)),ISNUMBER(SEARCH("ميکروسوئيچ",G44)),ISNUMBER(SEARCH("میکروسوئیچ",G44))),"مکانیزم درب - میکروسوئیچ/قلاب (تعویض/تنظیم)",IF(ISNUMBER(SEARCH("زبانه",G44)),"مکانیزم درب - زبانه (تعویض)",IF(OR(ISNUMBER(SEARCH("شيلنگ",G44)),ISNUMBER(SEARCH("شیلنگ",G44))),IF(OR(ISNUMBER(SEARCH("نشتی",G44)),ISNUMBER(SEARCH("نشتي",G44))),"نشتی - شیلنگ (تعمیر/آب‌بندی)",IF(OR(ISNUMBER(SEARCH("يخ",G44)),ISNUMBER(SEARCH("یخ",G44))),"شیلنگ یخساز - یخ‌زدگی (بازبینی)","شیلنگ - برخورد/لهیدگی (بازبینی)")),IF(OR(ISNUMBER(SEARCH("تنظيم ديسپل",G44)),ISNUMBER(SEARCH("تنظیم دیسپل",G44)),ISNUMBER(SEARCH("تنظيم صفحه نمايش",G44)),ISNUMBER(SEARCH("تنظیم صفحه نمایش",G44))),"تنظیم - تنظیمات دستگاه/دیسپلی (تعمیر)",IF(OR(ISNUMBER(SEARCH("برد",G44)),ISNUMBER(SEARCH("سوکت",G44)),ISNUMBER(SEARCH("ديسپل",G44)),ISNUMBER(SEARCH("دیسپل",G44))),"خرابی - برد الکترونیک (تعویض)",IF(OR(ISNUMBER(SEARCH("يخساز",G44)),ISNUMBER(SEARCH("یخساز",G44)),ISNUMBER(SEARCH("دمپر",G44))),IF(OR(ISNUMBER(SEARCH("خرابی",G44)),ISNUMBER(SEARCH("خراب",G44)),ISNUMBER(SEARCH("عدم کارکرد",G44)),ISNUMBER(SEARCH("عدم عملکرد",G44))),"یخساز - خرابی موتور/سنسور/برد (تعویض)","یخساز - تنظیم/عایق (تعمیر)"),IF(OR(ISNUMBER(SEARCH("لاستيک",G44)),ISNUMBER(SEARCH("لاستیک",G44))),"لاستیک درزگیر - دفرمگی/پارگی (تعویض)",IF(OR(ISNUMBER(SEARCH("گسکت",G44)),ISNUMBER(SEARCH("گسگت",G44))),"لاستیک درزگیر - دفرمگی/پارگی (تعویض)",IF(ISNUMBER(SEARCH("مخزن نمک",G44)),"نشتی - درب مخزن نمک (تعمیر/آب‌بندی)",IF(ISNUMBER(SEARCH("براکت",G44)),"نشتی - براکت ریل (تعمیر/آب‌بندی)",IF(ISNUMBER(SEARCH("جاپودر",G44)),"نشتی - جاپودری (تعمیر/آب‌بندی)",IF(ISNUMBER(SEARCH("مقسم",G44)),"نشتی - مقسم آب (تعمیر/آب‌بندی)",IF(OR(ISNUMBER(SEARCH("سنسور دما",G44)),ISNUMBER(SEARCH("ترموستات",G44))),"خرابی - ترموستات (تعویض)",IF(OR(ISNUMBER(SEARCH("هيدروستات",G44)),ISNUMBER(SEARCH("هیدروستات",G44))),"خرابی - هیدروستات (تعویض)",IF(OR(ISNUMBER(SEARCH("بلبرينگ",G44)),ISNUMBER(SEARCH("بلبرینگ",G44))),"خرابی - بلبرینگ (تعویض)",IF(OR(ISNUMBER(SEARCH("شيربرق",G44)),ISNUMBER(SEARCH("شیربرق",G44))),"خرابی - شیربرقی (تعویض)",IF(OR(ISNUMBER(SEARCH("واتر جت",G44)),ISNUMBER(SEARCH("واترجت",G44))),"خرابی - واترجت (تعویض)",IF(OR(ISNUMBER(SEARCH("سيم",G44)),ISNUMBER(SEARCH("سیم",G44)),ISNUMBER(SEARCH("اتصال",G44))),"سیم‌کشی/اتصالات (تعویض/بازبینی)",IF(OR(ISNUMBER(SEARCH("تصوير",G44)),ISNUMBER(SEARCH("تصویر",G44))),"برد نمایش تلویزیون (تعویض)",IF(OR(ISNUMBER(SEARCH("ريموت",G44)),ISNUMBER(SEARCH("ریموت",G44))),"ریموت کنترل (تعویض/تعمیر)",IF(OR(ISNUMBER(SEARCH("ال اي دي",G44)),ISNUMBER(SEARCH("ال ای دی",G44)),ISNUMBER(SEARCH("LED",G44))),"خرابی - لامپ/LED داخلی (تعویض)",IF(ISNUMBER(SEARCH("زنگ زدگ",G44)),"زنگ‌زدگی بدنه/قطعه (تعویض)",IF(OR(ISNUMBER(SEARCH("قطعات تزئين",G44)),ISNUMBER(SEARCH("قطعات تزئین",G44))),"قطعات تزئینی - شکستگی/کسری (تعویض)",IF(ISNUMBER(SEARCH("سبد",G44)),"سبد ظرفشویی - شکستگی (تعویض)",IF(ISNUMBER(SEARCH("تاب درام",G44)),"خرابی - تاب برداشتن درام (تعویض)",IF(ISNUMBER(SEARCH("درام",G44)),"خرابی - سایر ایراد درام (تعویض)",IF(ISNUMBER(SEARCH("موتور",G44)),"خرابی - موتور (تعویض)",IF(ISNUMBER(SEARCH("تسمه",G44)),"خرابی - تسمه (تعویض)",IF(OR(ISNUMBER(SEARCH("پيچ ولوم",G44)),ISNUMBER(SEARCH("پیچ ولوم",G44))),"تنظیم - پیچ ولوم/دکمه (تعمیر)",IF(OR(ISNUMBER(SEARCH("کسري قطعات",G44)),ISNUMBER(SEARCH("کسری قطعات",G44))),"کسری قطعات تزئینی (تعویض)",IF(ISNUMBER(SEARCH("پرچ",G44)),"پرچ/بدنه کابین(تعمیر)",IF(OR(ISNUMBER(SEARCH("نشت",G44)),ISNUMBER(SEARCH("آبريزش",G44)),ISNUMBER(SEARCH("آبریزش",G44))),"نشتی آب - محل نامشخص (نیازمند بازدید)",IF(ISNUMBER(SEARCH("درب",G44)),"سایر اجزای درب (بازبینی)",IF(ISNUMBER(SEARCH("ضربه",G44)),"بدنه/کابین - ضربه (بازبینی/تعویض پنل)",IF(ISNUMBER(SEARCH("تراز",G44)),"تراز/لرزش - نصب (رگلاژ پایه)",IF(OR(ISNUMBER(SEARCH("تعویض",G44)),ISNUMBER(SEARCH("تعويض",G44))),"تعویض کامل دستگاه (Replacement)","سایر (نیازمند بررسی دستی)")))))))))))))))))))))))))))))))))))))))))))</f>
        <v/>
      </c>
      <c r="P44" s="124" t="inlineStr">
        <is>
          <t>هیدروستات ظرفشویی</t>
        </is>
      </c>
      <c r="Q44" s="124">
        <f>IF(ISNUMBER(SEARCH("عهده شرکت",F44)),"شرکت",IF(ISNUMBER(SEARCH("عهده مشتري",F44)),"مشتری",IF(ISNUMBER(SEARCH("عهده مشتری",F44)),"مشتری","نامشخص")))</f>
        <v/>
      </c>
      <c r="R44" s="178">
        <f>IF(O44="تعویض کامل دستگاه (Replacement)",IF(SUMIF('قیمت‌ها و مفروضات'!$A$9:$A$13,C44,'قیمت‌ها و مفروضات'!$C$9:$C$13)&lt;&gt;0,SUMIF('قیمت‌ها و مفروضات'!$A$9:$A$13,C44,'قیمت‌ها و مفروضات'!$C$9:$C$13),SUMIF('قیمت‌ها و مفروضات'!$A$9:$A$13,C44,'قیمت‌ها و مفروضات'!$B$9:$B$13)),IF(SUMIF('قیمت‌ها و مفروضات'!$A$18:$A$63,O44,'قیمت‌ها و مفروضات'!$C$18:$C$63)&lt;&gt;0,SUMIF('قیمت‌ها و مفروضات'!$A$18:$A$63,O44,'قیمت‌ها و مفروضات'!$C$18:$C$63),SUMIF('قیمت‌ها و مفروضات'!$A$18:$A$63,O44,'قیمت‌ها و مفروضات'!$B$18:$B$63)))</f>
        <v/>
      </c>
      <c r="S44" s="178">
        <f>'قیمت‌ها و مفروضات'!$B$3+'قیمت‌ها و مفروضات'!$B$4</f>
        <v/>
      </c>
      <c r="T44" s="178">
        <f>R44+S44</f>
        <v/>
      </c>
      <c r="U44" s="178">
        <f>IF(COUNTIF($E$2:E44,E44)&gt;1,"بله (تکراری)","خیر")</f>
        <v/>
      </c>
      <c r="V44" s="178">
        <f>IF(U44="بله (تکراری)",S44,0)</f>
        <v/>
      </c>
      <c r="W44" s="208" t="inlineStr"/>
      <c r="X44" s="208" t="inlineStr"/>
    </row>
    <row r="45" ht="58.5" customHeight="1" s="151">
      <c r="A45" s="176" t="n">
        <v>710000247</v>
      </c>
      <c r="B45" s="124">
        <f>CHOOSE(_xlfn.NUMBERVALUE(MID(H45,6,2)),"فروردین","اردیبهشت","خرداد","تیر","مرداد","شهریور","مهر","آبان","آذر","دی","بهمن","اسفند")</f>
        <v/>
      </c>
      <c r="C45" s="176" t="inlineStr">
        <is>
          <t>ماشين ظرفشويي</t>
        </is>
      </c>
      <c r="D45" s="176" t="inlineStr">
        <is>
          <t>CDW-H16T</t>
        </is>
      </c>
      <c r="E45" s="176" t="inlineStr">
        <is>
          <t>52220004N01671</t>
        </is>
      </c>
      <c r="F45" s="173" t="inlineStr">
        <is>
          <t>خطاي F54اياب و ذهاب به عهده شرکت</t>
        </is>
      </c>
      <c r="G45" s="173" t="inlineStr">
        <is>
          <t>خرابي پمپ تخليه</t>
        </is>
      </c>
      <c r="H45" s="176" t="inlineStr">
        <is>
          <t>1405/01/16</t>
        </is>
      </c>
      <c r="I45" s="124" t="inlineStr">
        <is>
          <t>1403/11/09</t>
        </is>
      </c>
      <c r="J45" s="124" t="inlineStr">
        <is>
          <t>1403/11/09</t>
        </is>
      </c>
      <c r="K45" s="177">
        <f>IFERROR(VLOOKUP(LEFT(H45,7),'تبدیل تاریخ'!$A$2:$B$73,2,FALSE())+VALUE(RIGHT(H45,2))-1,"")</f>
        <v/>
      </c>
      <c r="L45" s="177">
        <f>IFERROR(VLOOKUP(LEFT(I45,7),'تبدیل تاریخ'!$A$2:$B$73,2,FALSE())+VALUE(RIGHT(I45,2))-1,"")</f>
        <v/>
      </c>
      <c r="M45" s="177">
        <f>IF(J45="","",IFERROR(VLOOKUP(LEFT(J45,7),'تبدیل تاریخ'!$A$2:$B$73,2,FALSE())+VALUE(RIGHT(J45,2))-1,""))</f>
        <v/>
      </c>
      <c r="N45" s="124">
        <f>IF(OR(K45="",M45=""),"",CEILING((K45-M45)/30,1))</f>
        <v/>
      </c>
      <c r="O45" s="124">
        <f>IF(OR(ISNUMBER(SEARCH("بدون مورد",G45)),ISNUMBER(SEARCH("غير گارانتي",G45)),ISNUMBER(SEARCH("غیر گارانتی",G45)),ISNUMBER(SEARCH("بدون اجرت",G45)),ISNUMBER(SEARCH("فيلتر",G45)),ISNUMBER(SEARCH("فیلتر",G45))),"غیرگارانتی/بدون قطعه",IF(OR(ISNUMBER(SEARCH("ريست",G45)),ISNUMBER(SEARCH("ریست",G45))),"ریست نرم‌افزاری (بدون قطعه)",IF(OR(ISNUMBER(SEARCH("تعویض محصول",G45)),ISNUMBER(SEARCH("تعویض دستگاه",G45))),"تعویض کامل دستگاه (Replacement)",IF(ISNUMBER(SEARCH("پمپ",G45)),IF(ISNUMBER(SEARCH("نشت",G45)),"نشتی - پمپ تخلیه (تعمیر/آب‌بندی)","خرابی - پمپ تخلیه (تعویض)"),IF(ISNUMBER(SEARCH("کمپرسور",G45)),"خرابی - کمپرسور (تعویض)",IF(ISNUMBER(SEARCH("کمک فنر",G45)),"خرابی - کمک فنر (تعویض)",IF(ISNUMBER(SEARCH("لولا",G45)),"مکانیزم درب - لولا (تعویض)",IF(OR(ISNUMBER(SEARCH("قلاب",G45)),ISNUMBER(SEARCH("ميکروسوئيچ",G45)),ISNUMBER(SEARCH("میکروسوئیچ",G45))),"مکانیزم درب - میکروسوئیچ/قلاب (تعویض/تنظیم)",IF(ISNUMBER(SEARCH("زبانه",G45)),"مکانیزم درب - زبانه (تعویض)",IF(OR(ISNUMBER(SEARCH("شيلنگ",G45)),ISNUMBER(SEARCH("شیلنگ",G45))),IF(OR(ISNUMBER(SEARCH("نشتی",G45)),ISNUMBER(SEARCH("نشتي",G45))),"نشتی - شیلنگ (تعمیر/آب‌بندی)",IF(OR(ISNUMBER(SEARCH("يخ",G45)),ISNUMBER(SEARCH("یخ",G45))),"شیلنگ یخساز - یخ‌زدگی (بازبینی)","شیلنگ - برخورد/لهیدگی (بازبینی)")),IF(OR(ISNUMBER(SEARCH("تنظيم ديسپل",G45)),ISNUMBER(SEARCH("تنظیم دیسپل",G45)),ISNUMBER(SEARCH("تنظيم صفحه نمايش",G45)),ISNUMBER(SEARCH("تنظیم صفحه نمایش",G45))),"تنظیم - تنظیمات دستگاه/دیسپلی (تعمیر)",IF(OR(ISNUMBER(SEARCH("برد",G45)),ISNUMBER(SEARCH("سوکت",G45)),ISNUMBER(SEARCH("ديسپل",G45)),ISNUMBER(SEARCH("دیسپل",G45))),"خرابی - برد الکترونیک (تعویض)",IF(OR(ISNUMBER(SEARCH("يخساز",G45)),ISNUMBER(SEARCH("یخساز",G45)),ISNUMBER(SEARCH("دمپر",G45))),IF(OR(ISNUMBER(SEARCH("خرابی",G45)),ISNUMBER(SEARCH("خراب",G45)),ISNUMBER(SEARCH("عدم کارکرد",G45)),ISNUMBER(SEARCH("عدم عملکرد",G45))),"یخساز - خرابی موتور/سنسور/برد (تعویض)","یخساز - تنظیم/عایق (تعمیر)"),IF(OR(ISNUMBER(SEARCH("لاستيک",G45)),ISNUMBER(SEARCH("لاستیک",G45))),"لاستیک درزگیر - دفرمگی/پارگی (تعویض)",IF(OR(ISNUMBER(SEARCH("گسکت",G45)),ISNUMBER(SEARCH("گسگت",G45))),"لاستیک درزگیر - دفرمگی/پارگی (تعویض)",IF(ISNUMBER(SEARCH("مخزن نمک",G45)),"نشتی - درب مخزن نمک (تعمیر/آب‌بندی)",IF(ISNUMBER(SEARCH("براکت",G45)),"نشتی - براکت ریل (تعمیر/آب‌بندی)",IF(ISNUMBER(SEARCH("جاپودر",G45)),"نشتی - جاپودری (تعمیر/آب‌بندی)",IF(ISNUMBER(SEARCH("مقسم",G45)),"نشتی - مقسم آب (تعمیر/آب‌بندی)",IF(OR(ISNUMBER(SEARCH("سنسور دما",G45)),ISNUMBER(SEARCH("ترموستات",G45))),"خرابی - ترموستات (تعویض)",IF(OR(ISNUMBER(SEARCH("هيدروستات",G45)),ISNUMBER(SEARCH("هیدروستات",G45))),"خرابی - هیدروستات (تعویض)",IF(OR(ISNUMBER(SEARCH("بلبرينگ",G45)),ISNUMBER(SEARCH("بلبرینگ",G45))),"خرابی - بلبرینگ (تعویض)",IF(OR(ISNUMBER(SEARCH("شيربرق",G45)),ISNUMBER(SEARCH("شیربرق",G45))),"خرابی - شیربرقی (تعویض)",IF(OR(ISNUMBER(SEARCH("واتر جت",G45)),ISNUMBER(SEARCH("واترجت",G45))),"خرابی - واترجت (تعویض)",IF(OR(ISNUMBER(SEARCH("سيم",G45)),ISNUMBER(SEARCH("سیم",G45)),ISNUMBER(SEARCH("اتصال",G45))),"سیم‌کشی/اتصالات (تعویض/بازبینی)",IF(OR(ISNUMBER(SEARCH("تصوير",G45)),ISNUMBER(SEARCH("تصویر",G45))),"برد نمایش تلویزیون (تعویض)",IF(OR(ISNUMBER(SEARCH("ريموت",G45)),ISNUMBER(SEARCH("ریموت",G45))),"ریموت کنترل (تعویض/تعمیر)",IF(OR(ISNUMBER(SEARCH("ال اي دي",G45)),ISNUMBER(SEARCH("ال ای دی",G45)),ISNUMBER(SEARCH("LED",G45))),"خرابی - لامپ/LED داخلی (تعویض)",IF(ISNUMBER(SEARCH("زنگ زدگ",G45)),"زنگ‌زدگی بدنه/قطعه (تعویض)",IF(OR(ISNUMBER(SEARCH("قطعات تزئين",G45)),ISNUMBER(SEARCH("قطعات تزئین",G45))),"قطعات تزئینی - شکستگی/کسری (تعویض)",IF(ISNUMBER(SEARCH("سبد",G45)),"سبد ظرفشویی - شکستگی (تعویض)",IF(ISNUMBER(SEARCH("تاب درام",G45)),"خرابی - تاب برداشتن درام (تعویض)",IF(ISNUMBER(SEARCH("درام",G45)),"خرابی - سایر ایراد درام (تعویض)",IF(ISNUMBER(SEARCH("موتور",G45)),"خرابی - موتور (تعویض)",IF(ISNUMBER(SEARCH("تسمه",G45)),"خرابی - تسمه (تعویض)",IF(OR(ISNUMBER(SEARCH("پيچ ولوم",G45)),ISNUMBER(SEARCH("پیچ ولوم",G45))),"تنظیم - پیچ ولوم/دکمه (تعمیر)",IF(OR(ISNUMBER(SEARCH("کسري قطعات",G45)),ISNUMBER(SEARCH("کسری قطعات",G45))),"کسری قطعات تزئینی (تعویض)",IF(ISNUMBER(SEARCH("پرچ",G45)),"پرچ/بدنه کابین(تعمیر)",IF(OR(ISNUMBER(SEARCH("نشت",G45)),ISNUMBER(SEARCH("آبريزش",G45)),ISNUMBER(SEARCH("آبریزش",G45))),"نشتی آب - محل نامشخص (نیازمند بازدید)",IF(ISNUMBER(SEARCH("درب",G45)),"سایر اجزای درب (بازبینی)",IF(ISNUMBER(SEARCH("ضربه",G45)),"بدنه/کابین - ضربه (بازبینی/تعویض پنل)",IF(ISNUMBER(SEARCH("تراز",G45)),"تراز/لرزش - نصب (رگلاژ پایه)",IF(OR(ISNUMBER(SEARCH("تعویض",G45)),ISNUMBER(SEARCH("تعويض",G45))),"تعویض کامل دستگاه (Replacement)","سایر (نیازمند بررسی دستی)")))))))))))))))))))))))))))))))))))))))))))</f>
        <v/>
      </c>
      <c r="P45" s="124" t="inlineStr">
        <is>
          <t>پمپ تخلیه ظرفشویی</t>
        </is>
      </c>
      <c r="Q45" s="124">
        <f>IF(ISNUMBER(SEARCH("عهده شرکت",F45)),"شرکت",IF(ISNUMBER(SEARCH("عهده مشتري",F45)),"مشتری",IF(ISNUMBER(SEARCH("عهده مشتری",F45)),"مشتری","نامشخص")))</f>
        <v/>
      </c>
      <c r="R45" s="178">
        <f>IF(O45="تعویض کامل دستگاه (Replacement)",IF(SUMIF('قیمت‌ها و مفروضات'!$A$9:$A$13,C45,'قیمت‌ها و مفروضات'!$C$9:$C$13)&lt;&gt;0,SUMIF('قیمت‌ها و مفروضات'!$A$9:$A$13,C45,'قیمت‌ها و مفروضات'!$C$9:$C$13),SUMIF('قیمت‌ها و مفروضات'!$A$9:$A$13,C45,'قیمت‌ها و مفروضات'!$B$9:$B$13)),IF(SUMIF('قیمت‌ها و مفروضات'!$A$18:$A$63,O45,'قیمت‌ها و مفروضات'!$C$18:$C$63)&lt;&gt;0,SUMIF('قیمت‌ها و مفروضات'!$A$18:$A$63,O45,'قیمت‌ها و مفروضات'!$C$18:$C$63),SUMIF('قیمت‌ها و مفروضات'!$A$18:$A$63,O45,'قیمت‌ها و مفروضات'!$B$18:$B$63)))</f>
        <v/>
      </c>
      <c r="S45" s="178">
        <f>'قیمت‌ها و مفروضات'!$B$3+'قیمت‌ها و مفروضات'!$B$4</f>
        <v/>
      </c>
      <c r="T45" s="178">
        <f>R45+S45</f>
        <v/>
      </c>
      <c r="U45" s="178">
        <f>IF(COUNTIF($E$2:E45,E45)&gt;1,"بله (تکراری)","خیر")</f>
        <v/>
      </c>
      <c r="V45" s="178">
        <f>IF(U45="بله (تکراری)",S45,0)</f>
        <v/>
      </c>
      <c r="W45" s="208" t="inlineStr"/>
      <c r="X45" s="208" t="inlineStr"/>
    </row>
    <row r="46" ht="58.5" customHeight="1" s="151">
      <c r="A46" s="176" t="n">
        <v>510018481</v>
      </c>
      <c r="B46" s="124">
        <f>CHOOSE(_xlfn.NUMBERVALUE(MID(H46,6,2)),"فروردین","اردیبهشت","خرداد","تیر","مرداد","شهریور","مهر","آبان","آذر","دی","بهمن","اسفند")</f>
        <v/>
      </c>
      <c r="C46" s="176" t="inlineStr">
        <is>
          <t>ماشين لباسشويي</t>
        </is>
      </c>
      <c r="D46" s="176" t="inlineStr">
        <is>
          <t>CWM-BMW9T1</t>
        </is>
      </c>
      <c r="E46" s="176" t="inlineStr">
        <is>
          <t>52210008N01227</t>
        </is>
      </c>
      <c r="F46" s="173" t="inlineStr">
        <is>
          <t>جمع شدن آب زير محصول**اياب و ذهاب به عهده شرکت</t>
        </is>
      </c>
      <c r="G46" s="173" t="inlineStr">
        <is>
          <t>پارگي لاستيک</t>
        </is>
      </c>
      <c r="H46" s="176" t="inlineStr">
        <is>
          <t>1405/01/20</t>
        </is>
      </c>
      <c r="I46" s="124" t="inlineStr">
        <is>
          <t>1404/05/12</t>
        </is>
      </c>
      <c r="J46" s="179" t="inlineStr">
        <is>
          <t>1405/01/05</t>
        </is>
      </c>
      <c r="K46" s="177">
        <f>IFERROR(VLOOKUP(LEFT(H46,7),'تبدیل تاریخ'!$A$2:$B$73,2,FALSE())+VALUE(RIGHT(H46,2))-1,"")</f>
        <v/>
      </c>
      <c r="L46" s="177">
        <f>IFERROR(VLOOKUP(LEFT(I46,7),'تبدیل تاریخ'!$A$2:$B$73,2,FALSE())+VALUE(RIGHT(I46,2))-1,"")</f>
        <v/>
      </c>
      <c r="M46" s="177">
        <f>IF(J46="","",IFERROR(VLOOKUP(LEFT(J46,7),'تبدیل تاریخ'!$A$2:$B$73,2,FALSE())+VALUE(RIGHT(J46,2))-1,""))</f>
        <v/>
      </c>
      <c r="N46" s="124">
        <f>IF(OR(K46="",M46=""),"",CEILING((K46-M46)/30,1))</f>
        <v/>
      </c>
      <c r="O46" s="124">
        <f>IF(OR(ISNUMBER(SEARCH("بدون مورد",G46)),ISNUMBER(SEARCH("غير گارانتي",G46)),ISNUMBER(SEARCH("غیر گارانتی",G46)),ISNUMBER(SEARCH("بدون اجرت",G46)),ISNUMBER(SEARCH("فيلتر",G46)),ISNUMBER(SEARCH("فیلتر",G46))),"غیرگارانتی/بدون قطعه",IF(OR(ISNUMBER(SEARCH("ريست",G46)),ISNUMBER(SEARCH("ریست",G46))),"ریست نرم‌افزاری (بدون قطعه)",IF(OR(ISNUMBER(SEARCH("تعویض محصول",G46)),ISNUMBER(SEARCH("تعویض دستگاه",G46))),"تعویض کامل دستگاه (Replacement)",IF(ISNUMBER(SEARCH("پمپ",G46)),IF(ISNUMBER(SEARCH("نشت",G46)),"نشتی - پمپ تخلیه (تعمیر/آب‌بندی)","خرابی - پمپ تخلیه (تعویض)"),IF(ISNUMBER(SEARCH("کمپرسور",G46)),"خرابی - کمپرسور (تعویض)",IF(ISNUMBER(SEARCH("کمک فنر",G46)),"خرابی - کمک فنر (تعویض)",IF(ISNUMBER(SEARCH("لولا",G46)),"مکانیزم درب - لولا (تعویض)",IF(OR(ISNUMBER(SEARCH("قلاب",G46)),ISNUMBER(SEARCH("ميکروسوئيچ",G46)),ISNUMBER(SEARCH("میکروسوئیچ",G46))),"مکانیزم درب - میکروسوئیچ/قلاب (تعویض/تنظیم)",IF(ISNUMBER(SEARCH("زبانه",G46)),"مکانیزم درب - زبانه (تعویض)",IF(OR(ISNUMBER(SEARCH("شيلنگ",G46)),ISNUMBER(SEARCH("شیلنگ",G46))),IF(OR(ISNUMBER(SEARCH("نشتی",G46)),ISNUMBER(SEARCH("نشتي",G46))),"نشتی - شیلنگ (تعمیر/آب‌بندی)",IF(OR(ISNUMBER(SEARCH("يخ",G46)),ISNUMBER(SEARCH("یخ",G46))),"شیلنگ یخساز - یخ‌زدگی (بازبینی)","شیلنگ - برخورد/لهیدگی (بازبینی)")),IF(OR(ISNUMBER(SEARCH("تنظيم ديسپل",G46)),ISNUMBER(SEARCH("تنظیم دیسپل",G46)),ISNUMBER(SEARCH("تنظيم صفحه نمايش",G46)),ISNUMBER(SEARCH("تنظیم صفحه نمایش",G46))),"تنظیم - تنظیمات دستگاه/دیسپلی (تعمیر)",IF(OR(ISNUMBER(SEARCH("برد",G46)),ISNUMBER(SEARCH("سوکت",G46)),ISNUMBER(SEARCH("ديسپل",G46)),ISNUMBER(SEARCH("دیسپل",G46))),"خرابی - برد الکترونیک (تعویض)",IF(OR(ISNUMBER(SEARCH("يخساز",G46)),ISNUMBER(SEARCH("یخساز",G46)),ISNUMBER(SEARCH("دمپر",G46))),IF(OR(ISNUMBER(SEARCH("خرابی",G46)),ISNUMBER(SEARCH("خراب",G46)),ISNUMBER(SEARCH("عدم کارکرد",G46)),ISNUMBER(SEARCH("عدم عملکرد",G46))),"یخساز - خرابی موتور/سنسور/برد (تعویض)","یخساز - تنظیم/عایق (تعمیر)"),IF(OR(ISNUMBER(SEARCH("لاستيک",G46)),ISNUMBER(SEARCH("لاستیک",G46))),"لاستیک درزگیر - دفرمگی/پارگی (تعویض)",IF(OR(ISNUMBER(SEARCH("گسکت",G46)),ISNUMBER(SEARCH("گسگت",G46))),"لاستیک درزگیر - دفرمگی/پارگی (تعویض)",IF(ISNUMBER(SEARCH("مخزن نمک",G46)),"نشتی - درب مخزن نمک (تعمیر/آب‌بندی)",IF(ISNUMBER(SEARCH("براکت",G46)),"نشتی - براکت ریل (تعمیر/آب‌بندی)",IF(ISNUMBER(SEARCH("جاپودر",G46)),"نشتی - جاپودری (تعمیر/آب‌بندی)",IF(ISNUMBER(SEARCH("مقسم",G46)),"نشتی - مقسم آب (تعمیر/آب‌بندی)",IF(OR(ISNUMBER(SEARCH("سنسور دما",G46)),ISNUMBER(SEARCH("ترموستات",G46))),"خرابی - ترموستات (تعویض)",IF(OR(ISNUMBER(SEARCH("هيدروستات",G46)),ISNUMBER(SEARCH("هیدروستات",G46))),"خرابی - هیدروستات (تعویض)",IF(OR(ISNUMBER(SEARCH("بلبرينگ",G46)),ISNUMBER(SEARCH("بلبرینگ",G46))),"خرابی - بلبرینگ (تعویض)",IF(OR(ISNUMBER(SEARCH("شيربرق",G46)),ISNUMBER(SEARCH("شیربرق",G46))),"خرابی - شیربرقی (تعویض)",IF(OR(ISNUMBER(SEARCH("واتر جت",G46)),ISNUMBER(SEARCH("واترجت",G46))),"خرابی - واترجت (تعویض)",IF(OR(ISNUMBER(SEARCH("سيم",G46)),ISNUMBER(SEARCH("سیم",G46)),ISNUMBER(SEARCH("اتصال",G46))),"سیم‌کشی/اتصالات (تعویض/بازبینی)",IF(OR(ISNUMBER(SEARCH("تصوير",G46)),ISNUMBER(SEARCH("تصویر",G46))),"برد نمایش تلویزیون (تعویض)",IF(OR(ISNUMBER(SEARCH("ريموت",G46)),ISNUMBER(SEARCH("ریموت",G46))),"ریموت کنترل (تعویض/تعمیر)",IF(OR(ISNUMBER(SEARCH("ال اي دي",G46)),ISNUMBER(SEARCH("ال ای دی",G46)),ISNUMBER(SEARCH("LED",G46))),"خرابی - لامپ/LED داخلی (تعویض)",IF(ISNUMBER(SEARCH("زنگ زدگ",G46)),"زنگ‌زدگی بدنه/قطعه (تعویض)",IF(OR(ISNUMBER(SEARCH("قطعات تزئين",G46)),ISNUMBER(SEARCH("قطعات تزئین",G46))),"قطعات تزئینی - شکستگی/کسری (تعویض)",IF(ISNUMBER(SEARCH("سبد",G46)),"سبد ظرفشویی - شکستگی (تعویض)",IF(ISNUMBER(SEARCH("تاب درام",G46)),"خرابی - تاب برداشتن درام (تعویض)",IF(ISNUMBER(SEARCH("درام",G46)),"خرابی - سایر ایراد درام (تعویض)",IF(ISNUMBER(SEARCH("موتور",G46)),"خرابی - موتور (تعویض)",IF(ISNUMBER(SEARCH("تسمه",G46)),"خرابی - تسمه (تعویض)",IF(OR(ISNUMBER(SEARCH("پيچ ولوم",G46)),ISNUMBER(SEARCH("پیچ ولوم",G46))),"تنظیم - پیچ ولوم/دکمه (تعمیر)",IF(OR(ISNUMBER(SEARCH("کسري قطعات",G46)),ISNUMBER(SEARCH("کسری قطعات",G46))),"کسری قطعات تزئینی (تعویض)",IF(ISNUMBER(SEARCH("پرچ",G46)),"پرچ/بدنه کابین(تعمیر)",IF(OR(ISNUMBER(SEARCH("نشت",G46)),ISNUMBER(SEARCH("آبريزش",G46)),ISNUMBER(SEARCH("آبریزش",G46))),"نشتی آب - محل نامشخص (نیازمند بازدید)",IF(ISNUMBER(SEARCH("درب",G46)),"سایر اجزای درب (بازبینی)",IF(ISNUMBER(SEARCH("ضربه",G46)),"بدنه/کابین - ضربه (بازبینی/تعویض پنل)",IF(ISNUMBER(SEARCH("تراز",G46)),"تراز/لرزش - نصب (رگلاژ پایه)",IF(OR(ISNUMBER(SEARCH("تعویض",G46)),ISNUMBER(SEARCH("تعويض",G46))),"تعویض کامل دستگاه (Replacement)","سایر (نیازمند بررسی دستی)")))))))))))))))))))))))))))))))))))))))))))</f>
        <v/>
      </c>
      <c r="P46" s="124" t="inlineStr">
        <is>
          <t>*</t>
        </is>
      </c>
      <c r="Q46" s="124">
        <f>IF(ISNUMBER(SEARCH("عهده شرکت",F46)),"شرکت",IF(ISNUMBER(SEARCH("عهده مشتري",F46)),"مشتری",IF(ISNUMBER(SEARCH("عهده مشتری",F46)),"مشتری","نامشخص")))</f>
        <v/>
      </c>
      <c r="R46" s="178">
        <f>IF(O46="تعویض کامل دستگاه (Replacement)",IF(SUMIF('قیمت‌ها و مفروضات'!$A$9:$A$13,C46,'قیمت‌ها و مفروضات'!$C$9:$C$13)&lt;&gt;0,SUMIF('قیمت‌ها و مفروضات'!$A$9:$A$13,C46,'قیمت‌ها و مفروضات'!$C$9:$C$13),SUMIF('قیمت‌ها و مفروضات'!$A$9:$A$13,C46,'قیمت‌ها و مفروضات'!$B$9:$B$13)),IF(SUMIF('قیمت‌ها و مفروضات'!$A$18:$A$63,O46,'قیمت‌ها و مفروضات'!$C$18:$C$63)&lt;&gt;0,SUMIF('قیمت‌ها و مفروضات'!$A$18:$A$63,O46,'قیمت‌ها و مفروضات'!$C$18:$C$63),SUMIF('قیمت‌ها و مفروضات'!$A$18:$A$63,O46,'قیمت‌ها و مفروضات'!$B$18:$B$63)))</f>
        <v/>
      </c>
      <c r="S46" s="178">
        <f>'قیمت‌ها و مفروضات'!$B$3+'قیمت‌ها و مفروضات'!$B$4</f>
        <v/>
      </c>
      <c r="T46" s="178">
        <f>R46+S46</f>
        <v/>
      </c>
      <c r="U46" s="178">
        <f>IF(COUNTIF($E$2:E46,E46)&gt;1,"بله (تکراری)","خیر")</f>
        <v/>
      </c>
      <c r="V46" s="178">
        <f>IF(U46="بله (تکراری)",S46,0)</f>
        <v/>
      </c>
      <c r="W46" s="208" t="inlineStr"/>
      <c r="X46" s="208" t="inlineStr"/>
    </row>
    <row r="47" ht="58.5" customHeight="1" s="151">
      <c r="A47" s="176" t="n">
        <v>810003180</v>
      </c>
      <c r="B47" s="124">
        <f>CHOOSE(_xlfn.NUMBERVALUE(MID(H47,6,2)),"فروردین","اردیبهشت","خرداد","تیر","مرداد","شهریور","مهر","آبان","آذر","دی","بهمن","اسفند")</f>
        <v/>
      </c>
      <c r="C47" s="176" t="inlineStr">
        <is>
          <t>ماشين لباسشويي</t>
        </is>
      </c>
      <c r="D47" s="176" t="inlineStr">
        <is>
          <t>CWM-BMW9T1</t>
        </is>
      </c>
      <c r="E47" s="176" t="inlineStr">
        <is>
          <t>210100007N00317</t>
        </is>
      </c>
      <c r="F47" s="173" t="inlineStr">
        <is>
          <t>جمع شدن آب زير محصول**اياب و ذهاب به عهده شرکت</t>
        </is>
      </c>
      <c r="G47" s="173" t="inlineStr">
        <is>
          <t>نشتي از جاپودري</t>
        </is>
      </c>
      <c r="H47" s="176" t="inlineStr">
        <is>
          <t>1405/01/16</t>
        </is>
      </c>
      <c r="I47" s="124" t="inlineStr">
        <is>
          <t>1402/12/26</t>
        </is>
      </c>
      <c r="J47" s="179" t="inlineStr">
        <is>
          <t>1405/01/06</t>
        </is>
      </c>
      <c r="K47" s="177">
        <f>IFERROR(VLOOKUP(LEFT(H47,7),'تبدیل تاریخ'!$A$2:$B$73,2,FALSE())+VALUE(RIGHT(H47,2))-1,"")</f>
        <v/>
      </c>
      <c r="L47" s="177">
        <f>IFERROR(VLOOKUP(LEFT(I47,7),'تبدیل تاریخ'!$A$2:$B$73,2,FALSE())+VALUE(RIGHT(I47,2))-1,"")</f>
        <v/>
      </c>
      <c r="M47" s="177">
        <f>IF(J47="","",IFERROR(VLOOKUP(LEFT(J47,7),'تبدیل تاریخ'!$A$2:$B$73,2,FALSE())+VALUE(RIGHT(J47,2))-1,""))</f>
        <v/>
      </c>
      <c r="N47" s="124">
        <f>IF(OR(K47="",M47=""),"",CEILING((K47-M47)/30,1))</f>
        <v/>
      </c>
      <c r="O47" s="124">
        <f>IF(OR(ISNUMBER(SEARCH("بدون مورد",G47)),ISNUMBER(SEARCH("غير گارانتي",G47)),ISNUMBER(SEARCH("غیر گارانتی",G47)),ISNUMBER(SEARCH("بدون اجرت",G47)),ISNUMBER(SEARCH("فيلتر",G47)),ISNUMBER(SEARCH("فیلتر",G47))),"غیرگارانتی/بدون قطعه",IF(OR(ISNUMBER(SEARCH("ريست",G47)),ISNUMBER(SEARCH("ریست",G47))),"ریست نرم‌افزاری (بدون قطعه)",IF(OR(ISNUMBER(SEARCH("تعویض محصول",G47)),ISNUMBER(SEARCH("تعویض دستگاه",G47))),"تعویض کامل دستگاه (Replacement)",IF(ISNUMBER(SEARCH("پمپ",G47)),IF(ISNUMBER(SEARCH("نشت",G47)),"نشتی - پمپ تخلیه (تعمیر/آب‌بندی)","خرابی - پمپ تخلیه (تعویض)"),IF(ISNUMBER(SEARCH("کمپرسور",G47)),"خرابی - کمپرسور (تعویض)",IF(ISNUMBER(SEARCH("کمک فنر",G47)),"خرابی - کمک فنر (تعویض)",IF(ISNUMBER(SEARCH("لولا",G47)),"مکانیزم درب - لولا (تعویض)",IF(OR(ISNUMBER(SEARCH("قلاب",G47)),ISNUMBER(SEARCH("ميکروسوئيچ",G47)),ISNUMBER(SEARCH("میکروسوئیچ",G47))),"مکانیزم درب - میکروسوئیچ/قلاب (تعویض/تنظیم)",IF(ISNUMBER(SEARCH("زبانه",G47)),"مکانیزم درب - زبانه (تعویض)",IF(OR(ISNUMBER(SEARCH("شيلنگ",G47)),ISNUMBER(SEARCH("شیلنگ",G47))),IF(OR(ISNUMBER(SEARCH("نشتی",G47)),ISNUMBER(SEARCH("نشتي",G47))),"نشتی - شیلنگ (تعمیر/آب‌بندی)",IF(OR(ISNUMBER(SEARCH("يخ",G47)),ISNUMBER(SEARCH("یخ",G47))),"شیلنگ یخساز - یخ‌زدگی (بازبینی)","شیلنگ - برخورد/لهیدگی (بازبینی)")),IF(OR(ISNUMBER(SEARCH("تنظيم ديسپل",G47)),ISNUMBER(SEARCH("تنظیم دیسپل",G47)),ISNUMBER(SEARCH("تنظيم صفحه نمايش",G47)),ISNUMBER(SEARCH("تنظیم صفحه نمایش",G47))),"تنظیم - تنظیمات دستگاه/دیسپلی (تعمیر)",IF(OR(ISNUMBER(SEARCH("برد",G47)),ISNUMBER(SEARCH("سوکت",G47)),ISNUMBER(SEARCH("ديسپل",G47)),ISNUMBER(SEARCH("دیسپل",G47))),"خرابی - برد الکترونیک (تعویض)",IF(OR(ISNUMBER(SEARCH("يخساز",G47)),ISNUMBER(SEARCH("یخساز",G47)),ISNUMBER(SEARCH("دمپر",G47))),IF(OR(ISNUMBER(SEARCH("خرابی",G47)),ISNUMBER(SEARCH("خراب",G47)),ISNUMBER(SEARCH("عدم کارکرد",G47)),ISNUMBER(SEARCH("عدم عملکرد",G47))),"یخساز - خرابی موتور/سنسور/برد (تعویض)","یخساز - تنظیم/عایق (تعمیر)"),IF(OR(ISNUMBER(SEARCH("لاستيک",G47)),ISNUMBER(SEARCH("لاستیک",G47))),"لاستیک درزگیر - دفرمگی/پارگی (تعویض)",IF(OR(ISNUMBER(SEARCH("گسکت",G47)),ISNUMBER(SEARCH("گسگت",G47))),"لاستیک درزگیر - دفرمگی/پارگی (تعویض)",IF(ISNUMBER(SEARCH("مخزن نمک",G47)),"نشتی - درب مخزن نمک (تعمیر/آب‌بندی)",IF(ISNUMBER(SEARCH("براکت",G47)),"نشتی - براکت ریل (تعمیر/آب‌بندی)",IF(ISNUMBER(SEARCH("جاپودر",G47)),"نشتی - جاپودری (تعمیر/آب‌بندی)",IF(ISNUMBER(SEARCH("مقسم",G47)),"نشتی - مقسم آب (تعمیر/آب‌بندی)",IF(OR(ISNUMBER(SEARCH("سنسور دما",G47)),ISNUMBER(SEARCH("ترموستات",G47))),"خرابی - ترموستات (تعویض)",IF(OR(ISNUMBER(SEARCH("هيدروستات",G47)),ISNUMBER(SEARCH("هیدروستات",G47))),"خرابی - هیدروستات (تعویض)",IF(OR(ISNUMBER(SEARCH("بلبرينگ",G47)),ISNUMBER(SEARCH("بلبرینگ",G47))),"خرابی - بلبرینگ (تعویض)",IF(OR(ISNUMBER(SEARCH("شيربرق",G47)),ISNUMBER(SEARCH("شیربرق",G47))),"خرابی - شیربرقی (تعویض)",IF(OR(ISNUMBER(SEARCH("واتر جت",G47)),ISNUMBER(SEARCH("واترجت",G47))),"خرابی - واترجت (تعویض)",IF(OR(ISNUMBER(SEARCH("سيم",G47)),ISNUMBER(SEARCH("سیم",G47)),ISNUMBER(SEARCH("اتصال",G47))),"سیم‌کشی/اتصالات (تعویض/بازبینی)",IF(OR(ISNUMBER(SEARCH("تصوير",G47)),ISNUMBER(SEARCH("تصویر",G47))),"برد نمایش تلویزیون (تعویض)",IF(OR(ISNUMBER(SEARCH("ريموت",G47)),ISNUMBER(SEARCH("ریموت",G47))),"ریموت کنترل (تعویض/تعمیر)",IF(OR(ISNUMBER(SEARCH("ال اي دي",G47)),ISNUMBER(SEARCH("ال ای دی",G47)),ISNUMBER(SEARCH("LED",G47))),"خرابی - لامپ/LED داخلی (تعویض)",IF(ISNUMBER(SEARCH("زنگ زدگ",G47)),"زنگ‌زدگی بدنه/قطعه (تعویض)",IF(OR(ISNUMBER(SEARCH("قطعات تزئين",G47)),ISNUMBER(SEARCH("قطعات تزئین",G47))),"قطعات تزئینی - شکستگی/کسری (تعویض)",IF(ISNUMBER(SEARCH("سبد",G47)),"سبد ظرفشویی - شکستگی (تعویض)",IF(ISNUMBER(SEARCH("تاب درام",G47)),"خرابی - تاب برداشتن درام (تعویض)",IF(ISNUMBER(SEARCH("درام",G47)),"خرابی - سایر ایراد درام (تعویض)",IF(ISNUMBER(SEARCH("موتور",G47)),"خرابی - موتور (تعویض)",IF(ISNUMBER(SEARCH("تسمه",G47)),"خرابی - تسمه (تعویض)",IF(OR(ISNUMBER(SEARCH("پيچ ولوم",G47)),ISNUMBER(SEARCH("پیچ ولوم",G47))),"تنظیم - پیچ ولوم/دکمه (تعمیر)",IF(OR(ISNUMBER(SEARCH("کسري قطعات",G47)),ISNUMBER(SEARCH("کسری قطعات",G47))),"کسری قطعات تزئینی (تعویض)",IF(ISNUMBER(SEARCH("پرچ",G47)),"پرچ/بدنه کابین(تعمیر)",IF(OR(ISNUMBER(SEARCH("نشت",G47)),ISNUMBER(SEARCH("آبريزش",G47)),ISNUMBER(SEARCH("آبریزش",G47))),"نشتی آب - محل نامشخص (نیازمند بازدید)",IF(ISNUMBER(SEARCH("درب",G47)),"سایر اجزای درب (بازبینی)",IF(ISNUMBER(SEARCH("ضربه",G47)),"بدنه/کابین - ضربه (بازبینی/تعویض پنل)",IF(ISNUMBER(SEARCH("تراز",G47)),"تراز/لرزش - نصب (رگلاژ پایه)",IF(OR(ISNUMBER(SEARCH("تعویض",G47)),ISNUMBER(SEARCH("تعويض",G47))),"تعویض کامل دستگاه (Replacement)","سایر (نیازمند بررسی دستی)")))))))))))))))))))))))))))))))))))))))))))</f>
        <v/>
      </c>
      <c r="P47" s="124" t="inlineStr">
        <is>
          <t>*</t>
        </is>
      </c>
      <c r="Q47" s="124">
        <f>IF(ISNUMBER(SEARCH("عهده شرکت",F47)),"شرکت",IF(ISNUMBER(SEARCH("عهده مشتري",F47)),"مشتری",IF(ISNUMBER(SEARCH("عهده مشتری",F47)),"مشتری","نامشخص")))</f>
        <v/>
      </c>
      <c r="R47" s="178">
        <f>IF(O47="تعویض کامل دستگاه (Replacement)",IF(SUMIF('قیمت‌ها و مفروضات'!$A$9:$A$13,C47,'قیمت‌ها و مفروضات'!$C$9:$C$13)&lt;&gt;0,SUMIF('قیمت‌ها و مفروضات'!$A$9:$A$13,C47,'قیمت‌ها و مفروضات'!$C$9:$C$13),SUMIF('قیمت‌ها و مفروضات'!$A$9:$A$13,C47,'قیمت‌ها و مفروضات'!$B$9:$B$13)),IF(SUMIF('قیمت‌ها و مفروضات'!$A$18:$A$63,O47,'قیمت‌ها و مفروضات'!$C$18:$C$63)&lt;&gt;0,SUMIF('قیمت‌ها و مفروضات'!$A$18:$A$63,O47,'قیمت‌ها و مفروضات'!$C$18:$C$63),SUMIF('قیمت‌ها و مفروضات'!$A$18:$A$63,O47,'قیمت‌ها و مفروضات'!$B$18:$B$63)))</f>
        <v/>
      </c>
      <c r="S47" s="178">
        <f>'قیمت‌ها و مفروضات'!$B$3+'قیمت‌ها و مفروضات'!$B$4</f>
        <v/>
      </c>
      <c r="T47" s="178">
        <f>R47+S47</f>
        <v/>
      </c>
      <c r="U47" s="178">
        <f>IF(COUNTIF($E$2:E47,E47)&gt;1,"بله (تکراری)","خیر")</f>
        <v/>
      </c>
      <c r="V47" s="178">
        <f>IF(U47="بله (تکراری)",S47,0)</f>
        <v/>
      </c>
      <c r="W47" s="208" t="inlineStr"/>
      <c r="X47" s="208" t="inlineStr"/>
    </row>
    <row r="48" ht="58.5" customHeight="1" s="151">
      <c r="A48" s="176" t="n">
        <v>510019851</v>
      </c>
      <c r="B48" s="124">
        <f>CHOOSE(_xlfn.NUMBERVALUE(MID(H48,6,2)),"فروردین","اردیبهشت","خرداد","تیر","مرداد","شهریور","مهر","آبان","آذر","دی","بهمن","اسفند")</f>
        <v/>
      </c>
      <c r="C48" s="176" t="inlineStr">
        <is>
          <t>ماشين لباسشويي</t>
        </is>
      </c>
      <c r="D48" s="176" t="inlineStr">
        <is>
          <t>CWM-BMW8T2</t>
        </is>
      </c>
      <c r="E48" s="176" t="inlineStr">
        <is>
          <t>52210009N01186</t>
        </is>
      </c>
      <c r="F48" s="173" t="inlineStr">
        <is>
          <t>صداي غيرعادي هنگام خشک کن**اياب و ذهاب به عهده شرکت**مجدد</t>
        </is>
      </c>
      <c r="G48" s="173" t="inlineStr">
        <is>
          <t>تراز پايه تنظيم</t>
        </is>
      </c>
      <c r="H48" s="176" t="inlineStr">
        <is>
          <t>1405/01/16</t>
        </is>
      </c>
      <c r="I48" s="124" t="inlineStr">
        <is>
          <t>1404/04/19</t>
        </is>
      </c>
      <c r="J48" s="179" t="inlineStr">
        <is>
          <t>1405/01/20</t>
        </is>
      </c>
      <c r="K48" s="177">
        <f>IFERROR(VLOOKUP(LEFT(H48,7),'تبدیل تاریخ'!$A$2:$B$73,2,FALSE())+VALUE(RIGHT(H48,2))-1,"")</f>
        <v/>
      </c>
      <c r="L48" s="177">
        <f>IFERROR(VLOOKUP(LEFT(I48,7),'تبدیل تاریخ'!$A$2:$B$73,2,FALSE())+VALUE(RIGHT(I48,2))-1,"")</f>
        <v/>
      </c>
      <c r="M48" s="177">
        <f>IF(J48="","",IFERROR(VLOOKUP(LEFT(J48,7),'تبدیل تاریخ'!$A$2:$B$73,2,FALSE())+VALUE(RIGHT(J48,2))-1,""))</f>
        <v/>
      </c>
      <c r="N48" s="124">
        <f>IF(OR(K48="",M48=""),"",CEILING((K48-M48)/30,1))</f>
        <v/>
      </c>
      <c r="O48" s="124">
        <f>IF(OR(ISNUMBER(SEARCH("بدون مورد",G48)),ISNUMBER(SEARCH("غير گارانتي",G48)),ISNUMBER(SEARCH("غیر گارانتی",G48)),ISNUMBER(SEARCH("بدون اجرت",G48)),ISNUMBER(SEARCH("فيلتر",G48)),ISNUMBER(SEARCH("فیلتر",G48))),"غیرگارانتی/بدون قطعه",IF(OR(ISNUMBER(SEARCH("ريست",G48)),ISNUMBER(SEARCH("ریست",G48))),"ریست نرم‌افزاری (بدون قطعه)",IF(OR(ISNUMBER(SEARCH("تعویض محصول",G48)),ISNUMBER(SEARCH("تعویض دستگاه",G48))),"تعویض کامل دستگاه (Replacement)",IF(ISNUMBER(SEARCH("پمپ",G48)),IF(ISNUMBER(SEARCH("نشت",G48)),"نشتی - پمپ تخلیه (تعمیر/آب‌بندی)","خرابی - پمپ تخلیه (تعویض)"),IF(ISNUMBER(SEARCH("کمپرسور",G48)),"خرابی - کمپرسور (تعویض)",IF(ISNUMBER(SEARCH("کمک فنر",G48)),"خرابی - کمک فنر (تعویض)",IF(ISNUMBER(SEARCH("لولا",G48)),"مکانیزم درب - لولا (تعویض)",IF(OR(ISNUMBER(SEARCH("قلاب",G48)),ISNUMBER(SEARCH("ميکروسوئيچ",G48)),ISNUMBER(SEARCH("میکروسوئیچ",G48))),"مکانیزم درب - میکروسوئیچ/قلاب (تعویض/تنظیم)",IF(ISNUMBER(SEARCH("زبانه",G48)),"مکانیزم درب - زبانه (تعویض)",IF(OR(ISNUMBER(SEARCH("شيلنگ",G48)),ISNUMBER(SEARCH("شیلنگ",G48))),IF(OR(ISNUMBER(SEARCH("نشتی",G48)),ISNUMBER(SEARCH("نشتي",G48))),"نشتی - شیلنگ (تعمیر/آب‌بندی)",IF(OR(ISNUMBER(SEARCH("يخ",G48)),ISNUMBER(SEARCH("یخ",G48))),"شیلنگ یخساز - یخ‌زدگی (بازبینی)","شیلنگ - برخورد/لهیدگی (بازبینی)")),IF(OR(ISNUMBER(SEARCH("تنظيم ديسپل",G48)),ISNUMBER(SEARCH("تنظیم دیسپل",G48)),ISNUMBER(SEARCH("تنظيم صفحه نمايش",G48)),ISNUMBER(SEARCH("تنظیم صفحه نمایش",G48))),"تنظیم - تنظیمات دستگاه/دیسپلی (تعمیر)",IF(OR(ISNUMBER(SEARCH("برد",G48)),ISNUMBER(SEARCH("سوکت",G48)),ISNUMBER(SEARCH("ديسپل",G48)),ISNUMBER(SEARCH("دیسپل",G48))),"خرابی - برد الکترونیک (تعویض)",IF(OR(ISNUMBER(SEARCH("يخساز",G48)),ISNUMBER(SEARCH("یخساز",G48)),ISNUMBER(SEARCH("دمپر",G48))),IF(OR(ISNUMBER(SEARCH("خرابی",G48)),ISNUMBER(SEARCH("خراب",G48)),ISNUMBER(SEARCH("عدم کارکرد",G48)),ISNUMBER(SEARCH("عدم عملکرد",G48))),"یخساز - خرابی موتور/سنسور/برد (تعویض)","یخساز - تنظیم/عایق (تعمیر)"),IF(OR(ISNUMBER(SEARCH("لاستيک",G48)),ISNUMBER(SEARCH("لاستیک",G48))),"لاستیک درزگیر - دفرمگی/پارگی (تعویض)",IF(OR(ISNUMBER(SEARCH("گسکت",G48)),ISNUMBER(SEARCH("گسگت",G48))),"لاستیک درزگیر - دفرمگی/پارگی (تعویض)",IF(ISNUMBER(SEARCH("مخزن نمک",G48)),"نشتی - درب مخزن نمک (تعمیر/آب‌بندی)",IF(ISNUMBER(SEARCH("براکت",G48)),"نشتی - براکت ریل (تعمیر/آب‌بندی)",IF(ISNUMBER(SEARCH("جاپودر",G48)),"نشتی - جاپودری (تعمیر/آب‌بندی)",IF(ISNUMBER(SEARCH("مقسم",G48)),"نشتی - مقسم آب (تعمیر/آب‌بندی)",IF(OR(ISNUMBER(SEARCH("سنسور دما",G48)),ISNUMBER(SEARCH("ترموستات",G48))),"خرابی - ترموستات (تعویض)",IF(OR(ISNUMBER(SEARCH("هيدروستات",G48)),ISNUMBER(SEARCH("هیدروستات",G48))),"خرابی - هیدروستات (تعویض)",IF(OR(ISNUMBER(SEARCH("بلبرينگ",G48)),ISNUMBER(SEARCH("بلبرینگ",G48))),"خرابی - بلبرینگ (تعویض)",IF(OR(ISNUMBER(SEARCH("شيربرق",G48)),ISNUMBER(SEARCH("شیربرق",G48))),"خرابی - شیربرقی (تعویض)",IF(OR(ISNUMBER(SEARCH("واتر جت",G48)),ISNUMBER(SEARCH("واترجت",G48))),"خرابی - واترجت (تعویض)",IF(OR(ISNUMBER(SEARCH("سيم",G48)),ISNUMBER(SEARCH("سیم",G48)),ISNUMBER(SEARCH("اتصال",G48))),"سیم‌کشی/اتصالات (تعویض/بازبینی)",IF(OR(ISNUMBER(SEARCH("تصوير",G48)),ISNUMBER(SEARCH("تصویر",G48))),"برد نمایش تلویزیون (تعویض)",IF(OR(ISNUMBER(SEARCH("ريموت",G48)),ISNUMBER(SEARCH("ریموت",G48))),"ریموت کنترل (تعویض/تعمیر)",IF(OR(ISNUMBER(SEARCH("ال اي دي",G48)),ISNUMBER(SEARCH("ال ای دی",G48)),ISNUMBER(SEARCH("LED",G48))),"خرابی - لامپ/LED داخلی (تعویض)",IF(ISNUMBER(SEARCH("زنگ زدگ",G48)),"زنگ‌زدگی بدنه/قطعه (تعویض)",IF(OR(ISNUMBER(SEARCH("قطعات تزئين",G48)),ISNUMBER(SEARCH("قطعات تزئین",G48))),"قطعات تزئینی - شکستگی/کسری (تعویض)",IF(ISNUMBER(SEARCH("سبد",G48)),"سبد ظرفشویی - شکستگی (تعویض)",IF(ISNUMBER(SEARCH("تاب درام",G48)),"خرابی - تاب برداشتن درام (تعویض)",IF(ISNUMBER(SEARCH("درام",G48)),"خرابی - سایر ایراد درام (تعویض)",IF(ISNUMBER(SEARCH("موتور",G48)),"خرابی - موتور (تعویض)",IF(ISNUMBER(SEARCH("تسمه",G48)),"خرابی - تسمه (تعویض)",IF(OR(ISNUMBER(SEARCH("پيچ ولوم",G48)),ISNUMBER(SEARCH("پیچ ولوم",G48))),"تنظیم - پیچ ولوم/دکمه (تعمیر)",IF(OR(ISNUMBER(SEARCH("کسري قطعات",G48)),ISNUMBER(SEARCH("کسری قطعات",G48))),"کسری قطعات تزئینی (تعویض)",IF(ISNUMBER(SEARCH("پرچ",G48)),"پرچ/بدنه کابین(تعمیر)",IF(OR(ISNUMBER(SEARCH("نشت",G48)),ISNUMBER(SEARCH("آبريزش",G48)),ISNUMBER(SEARCH("آبریزش",G48))),"نشتی آب - محل نامشخص (نیازمند بازدید)",IF(ISNUMBER(SEARCH("درب",G48)),"سایر اجزای درب (بازبینی)",IF(ISNUMBER(SEARCH("ضربه",G48)),"بدنه/کابین - ضربه (بازبینی/تعویض پنل)",IF(ISNUMBER(SEARCH("تراز",G48)),"تراز/لرزش - نصب (رگلاژ پایه)",IF(OR(ISNUMBER(SEARCH("تعویض",G48)),ISNUMBER(SEARCH("تعويض",G48))),"تعویض کامل دستگاه (Replacement)","سایر (نیازمند بررسی دستی)")))))))))))))))))))))))))))))))))))))))))))</f>
        <v/>
      </c>
      <c r="P48" s="124" t="inlineStr">
        <is>
          <t>رگلاژ پایه تنظیم لباسشویی</t>
        </is>
      </c>
      <c r="Q48" s="124">
        <f>IF(ISNUMBER(SEARCH("عهده شرکت",F48)),"شرکت",IF(ISNUMBER(SEARCH("عهده مشتري",F48)),"مشتری",IF(ISNUMBER(SEARCH("عهده مشتری",F48)),"مشتری","نامشخص")))</f>
        <v/>
      </c>
      <c r="R48" s="178">
        <f>IF(O48="تعویض کامل دستگاه (Replacement)",IF(SUMIF('قیمت‌ها و مفروضات'!$A$9:$A$13,C48,'قیمت‌ها و مفروضات'!$C$9:$C$13)&lt;&gt;0,SUMIF('قیمت‌ها و مفروضات'!$A$9:$A$13,C48,'قیمت‌ها و مفروضات'!$C$9:$C$13),SUMIF('قیمت‌ها و مفروضات'!$A$9:$A$13,C48,'قیمت‌ها و مفروضات'!$B$9:$B$13)),IF(SUMIF('قیمت‌ها و مفروضات'!$A$18:$A$63,O48,'قیمت‌ها و مفروضات'!$C$18:$C$63)&lt;&gt;0,SUMIF('قیمت‌ها و مفروضات'!$A$18:$A$63,O48,'قیمت‌ها و مفروضات'!$C$18:$C$63),SUMIF('قیمت‌ها و مفروضات'!$A$18:$A$63,O48,'قیمت‌ها و مفروضات'!$B$18:$B$63)))</f>
        <v/>
      </c>
      <c r="S48" s="178">
        <f>'قیمت‌ها و مفروضات'!$B$3+'قیمت‌ها و مفروضات'!$B$4</f>
        <v/>
      </c>
      <c r="T48" s="178">
        <f>R48+S48</f>
        <v/>
      </c>
      <c r="U48" s="178">
        <f>IF(COUNTIF($E$2:E48,E48)&gt;1,"بله (تکراری)","خیر")</f>
        <v/>
      </c>
      <c r="V48" s="178">
        <f>IF(U48="بله (تکراری)",S48,0)</f>
        <v/>
      </c>
      <c r="W48" s="208" t="inlineStr"/>
      <c r="X48" s="208" t="inlineStr"/>
    </row>
    <row r="49" ht="58.5" customHeight="1" s="151">
      <c r="A49" s="176" t="n">
        <v>130006212</v>
      </c>
      <c r="B49" s="124">
        <f>CHOOSE(_xlfn.NUMBERVALUE(MID(H49,6,2)),"فروردین","اردیبهشت","خرداد","تیر","مرداد","شهریور","مهر","آبان","آذر","دی","بهمن","اسفند")</f>
        <v/>
      </c>
      <c r="C49" s="176" t="inlineStr">
        <is>
          <t>ماشين ظرفشويي</t>
        </is>
      </c>
      <c r="D49" s="176" t="inlineStr">
        <is>
          <t>CDW-H16T</t>
        </is>
      </c>
      <c r="E49" s="176" t="inlineStr">
        <is>
          <t>52220004N01428</t>
        </is>
      </c>
      <c r="F49" s="173" t="inlineStr">
        <is>
          <t>اياب و ذهاب به عهده شرکت ** بسته نشدن درب</t>
        </is>
      </c>
      <c r="G49" s="173" t="inlineStr">
        <is>
          <t>خرابي قلاب ميکروسوئيچ</t>
        </is>
      </c>
      <c r="H49" s="176" t="inlineStr">
        <is>
          <t>1405/01/16</t>
        </is>
      </c>
      <c r="I49" s="124" t="inlineStr">
        <is>
          <t>1403/11/02</t>
        </is>
      </c>
      <c r="J49" s="124" t="inlineStr">
        <is>
          <t>1403/11/02</t>
        </is>
      </c>
      <c r="K49" s="177">
        <f>IFERROR(VLOOKUP(LEFT(H49,7),'تبدیل تاریخ'!$A$2:$B$73,2,FALSE())+VALUE(RIGHT(H49,2))-1,"")</f>
        <v/>
      </c>
      <c r="L49" s="177">
        <f>IFERROR(VLOOKUP(LEFT(I49,7),'تبدیل تاریخ'!$A$2:$B$73,2,FALSE())+VALUE(RIGHT(I49,2))-1,"")</f>
        <v/>
      </c>
      <c r="M49" s="177">
        <f>IF(J49="","",IFERROR(VLOOKUP(LEFT(J49,7),'تبدیل تاریخ'!$A$2:$B$73,2,FALSE())+VALUE(RIGHT(J49,2))-1,""))</f>
        <v/>
      </c>
      <c r="N49" s="124">
        <f>IF(OR(K49="",M49=""),"",CEILING((K49-M49)/30,1))</f>
        <v/>
      </c>
      <c r="O49" s="124">
        <f>IF(OR(ISNUMBER(SEARCH("بدون مورد",G49)),ISNUMBER(SEARCH("غير گارانتي",G49)),ISNUMBER(SEARCH("غیر گارانتی",G49)),ISNUMBER(SEARCH("بدون اجرت",G49)),ISNUMBER(SEARCH("فيلتر",G49)),ISNUMBER(SEARCH("فیلتر",G49))),"غیرگارانتی/بدون قطعه",IF(OR(ISNUMBER(SEARCH("ريست",G49)),ISNUMBER(SEARCH("ریست",G49))),"ریست نرم‌افزاری (بدون قطعه)",IF(OR(ISNUMBER(SEARCH("تعویض محصول",G49)),ISNUMBER(SEARCH("تعویض دستگاه",G49))),"تعویض کامل دستگاه (Replacement)",IF(ISNUMBER(SEARCH("پمپ",G49)),IF(ISNUMBER(SEARCH("نشت",G49)),"نشتی - پمپ تخلیه (تعمیر/آب‌بندی)","خرابی - پمپ تخلیه (تعویض)"),IF(ISNUMBER(SEARCH("کمپرسور",G49)),"خرابی - کمپرسور (تعویض)",IF(ISNUMBER(SEARCH("کمک فنر",G49)),"خرابی - کمک فنر (تعویض)",IF(ISNUMBER(SEARCH("لولا",G49)),"مکانیزم درب - لولا (تعویض)",IF(OR(ISNUMBER(SEARCH("قلاب",G49)),ISNUMBER(SEARCH("ميکروسوئيچ",G49)),ISNUMBER(SEARCH("میکروسوئیچ",G49))),"مکانیزم درب - میکروسوئیچ/قلاب (تعویض/تنظیم)",IF(ISNUMBER(SEARCH("زبانه",G49)),"مکانیزم درب - زبانه (تعویض)",IF(OR(ISNUMBER(SEARCH("شيلنگ",G49)),ISNUMBER(SEARCH("شیلنگ",G49))),IF(OR(ISNUMBER(SEARCH("نشتی",G49)),ISNUMBER(SEARCH("نشتي",G49))),"نشتی - شیلنگ (تعمیر/آب‌بندی)",IF(OR(ISNUMBER(SEARCH("يخ",G49)),ISNUMBER(SEARCH("یخ",G49))),"شیلنگ یخساز - یخ‌زدگی (بازبینی)","شیلنگ - برخورد/لهیدگی (بازبینی)")),IF(OR(ISNUMBER(SEARCH("تنظيم ديسپل",G49)),ISNUMBER(SEARCH("تنظیم دیسپل",G49)),ISNUMBER(SEARCH("تنظيم صفحه نمايش",G49)),ISNUMBER(SEARCH("تنظیم صفحه نمایش",G49))),"تنظیم - تنظیمات دستگاه/دیسپلی (تعمیر)",IF(OR(ISNUMBER(SEARCH("برد",G49)),ISNUMBER(SEARCH("سوکت",G49)),ISNUMBER(SEARCH("ديسپل",G49)),ISNUMBER(SEARCH("دیسپل",G49))),"خرابی - برد الکترونیک (تعویض)",IF(OR(ISNUMBER(SEARCH("يخساز",G49)),ISNUMBER(SEARCH("یخساز",G49)),ISNUMBER(SEARCH("دمپر",G49))),IF(OR(ISNUMBER(SEARCH("خرابی",G49)),ISNUMBER(SEARCH("خراب",G49)),ISNUMBER(SEARCH("عدم کارکرد",G49)),ISNUMBER(SEARCH("عدم عملکرد",G49))),"یخساز - خرابی موتور/سنسور/برد (تعویض)","یخساز - تنظیم/عایق (تعمیر)"),IF(OR(ISNUMBER(SEARCH("لاستيک",G49)),ISNUMBER(SEARCH("لاستیک",G49))),"لاستیک درزگیر - دفرمگی/پارگی (تعویض)",IF(OR(ISNUMBER(SEARCH("گسکت",G49)),ISNUMBER(SEARCH("گسگت",G49))),"لاستیک درزگیر - دفرمگی/پارگی (تعویض)",IF(ISNUMBER(SEARCH("مخزن نمک",G49)),"نشتی - درب مخزن نمک (تعمیر/آب‌بندی)",IF(ISNUMBER(SEARCH("براکت",G49)),"نشتی - براکت ریل (تعمیر/آب‌بندی)",IF(ISNUMBER(SEARCH("جاپودر",G49)),"نشتی - جاپودری (تعمیر/آب‌بندی)",IF(ISNUMBER(SEARCH("مقسم",G49)),"نشتی - مقسم آب (تعمیر/آب‌بندی)",IF(OR(ISNUMBER(SEARCH("سنسور دما",G49)),ISNUMBER(SEARCH("ترموستات",G49))),"خرابی - ترموستات (تعویض)",IF(OR(ISNUMBER(SEARCH("هيدروستات",G49)),ISNUMBER(SEARCH("هیدروستات",G49))),"خرابی - هیدروستات (تعویض)",IF(OR(ISNUMBER(SEARCH("بلبرينگ",G49)),ISNUMBER(SEARCH("بلبرینگ",G49))),"خرابی - بلبرینگ (تعویض)",IF(OR(ISNUMBER(SEARCH("شيربرق",G49)),ISNUMBER(SEARCH("شیربرق",G49))),"خرابی - شیربرقی (تعویض)",IF(OR(ISNUMBER(SEARCH("واتر جت",G49)),ISNUMBER(SEARCH("واترجت",G49))),"خرابی - واترجت (تعویض)",IF(OR(ISNUMBER(SEARCH("سيم",G49)),ISNUMBER(SEARCH("سیم",G49)),ISNUMBER(SEARCH("اتصال",G49))),"سیم‌کشی/اتصالات (تعویض/بازبینی)",IF(OR(ISNUMBER(SEARCH("تصوير",G49)),ISNUMBER(SEARCH("تصویر",G49))),"برد نمایش تلویزیون (تعویض)",IF(OR(ISNUMBER(SEARCH("ريموت",G49)),ISNUMBER(SEARCH("ریموت",G49))),"ریموت کنترل (تعویض/تعمیر)",IF(OR(ISNUMBER(SEARCH("ال اي دي",G49)),ISNUMBER(SEARCH("ال ای دی",G49)),ISNUMBER(SEARCH("LED",G49))),"خرابی - لامپ/LED داخلی (تعویض)",IF(ISNUMBER(SEARCH("زنگ زدگ",G49)),"زنگ‌زدگی بدنه/قطعه (تعویض)",IF(OR(ISNUMBER(SEARCH("قطعات تزئين",G49)),ISNUMBER(SEARCH("قطعات تزئین",G49))),"قطعات تزئینی - شکستگی/کسری (تعویض)",IF(ISNUMBER(SEARCH("سبد",G49)),"سبد ظرفشویی - شکستگی (تعویض)",IF(ISNUMBER(SEARCH("تاب درام",G49)),"خرابی - تاب برداشتن درام (تعویض)",IF(ISNUMBER(SEARCH("درام",G49)),"خرابی - سایر ایراد درام (تعویض)",IF(ISNUMBER(SEARCH("موتور",G49)),"خرابی - موتور (تعویض)",IF(ISNUMBER(SEARCH("تسمه",G49)),"خرابی - تسمه (تعویض)",IF(OR(ISNUMBER(SEARCH("پيچ ولوم",G49)),ISNUMBER(SEARCH("پیچ ولوم",G49))),"تنظیم - پیچ ولوم/دکمه (تعمیر)",IF(OR(ISNUMBER(SEARCH("کسري قطعات",G49)),ISNUMBER(SEARCH("کسری قطعات",G49))),"کسری قطعات تزئینی (تعویض)",IF(ISNUMBER(SEARCH("پرچ",G49)),"پرچ/بدنه کابین(تعمیر)",IF(OR(ISNUMBER(SEARCH("نشت",G49)),ISNUMBER(SEARCH("آبريزش",G49)),ISNUMBER(SEARCH("آبریزش",G49))),"نشتی آب - محل نامشخص (نیازمند بازدید)",IF(ISNUMBER(SEARCH("درب",G49)),"سایر اجزای درب (بازبینی)",IF(ISNUMBER(SEARCH("ضربه",G49)),"بدنه/کابین - ضربه (بازبینی/تعویض پنل)",IF(ISNUMBER(SEARCH("تراز",G49)),"تراز/لرزش - نصب (رگلاژ پایه)",IF(OR(ISNUMBER(SEARCH("تعویض",G49)),ISNUMBER(SEARCH("تعويض",G49))),"تعویض کامل دستگاه (Replacement)","سایر (نیازمند بررسی دستی)")))))))))))))))))))))))))))))))))))))))))))</f>
        <v/>
      </c>
      <c r="P49" s="124" t="inlineStr">
        <is>
          <t>میکروسوئیچ 16 نفره</t>
        </is>
      </c>
      <c r="Q49" s="124">
        <f>IF(ISNUMBER(SEARCH("عهده شرکت",F49)),"شرکت",IF(ISNUMBER(SEARCH("عهده مشتري",F49)),"مشتری",IF(ISNUMBER(SEARCH("عهده مشتری",F49)),"مشتری","نامشخص")))</f>
        <v/>
      </c>
      <c r="R49" s="178">
        <f>IF(O49="تعویض کامل دستگاه (Replacement)",IF(SUMIF('قیمت‌ها و مفروضات'!$A$9:$A$13,C49,'قیمت‌ها و مفروضات'!$C$9:$C$13)&lt;&gt;0,SUMIF('قیمت‌ها و مفروضات'!$A$9:$A$13,C49,'قیمت‌ها و مفروضات'!$C$9:$C$13),SUMIF('قیمت‌ها و مفروضات'!$A$9:$A$13,C49,'قیمت‌ها و مفروضات'!$B$9:$B$13)),IF(SUMIF('قیمت‌ها و مفروضات'!$A$18:$A$63,O49,'قیمت‌ها و مفروضات'!$C$18:$C$63)&lt;&gt;0,SUMIF('قیمت‌ها و مفروضات'!$A$18:$A$63,O49,'قیمت‌ها و مفروضات'!$C$18:$C$63),SUMIF('قیمت‌ها و مفروضات'!$A$18:$A$63,O49,'قیمت‌ها و مفروضات'!$B$18:$B$63)))</f>
        <v/>
      </c>
      <c r="S49" s="178">
        <f>'قیمت‌ها و مفروضات'!$B$3+'قیمت‌ها و مفروضات'!$B$4</f>
        <v/>
      </c>
      <c r="T49" s="178">
        <f>R49+S49</f>
        <v/>
      </c>
      <c r="U49" s="178">
        <f>IF(COUNTIF($E$2:E49,E49)&gt;1,"بله (تکراری)","خیر")</f>
        <v/>
      </c>
      <c r="V49" s="178">
        <f>IF(U49="بله (تکراری)",S49,0)</f>
        <v/>
      </c>
      <c r="W49" s="208" t="inlineStr"/>
      <c r="X49" s="208" t="inlineStr"/>
    </row>
    <row r="50" ht="58.5" customHeight="1" s="151">
      <c r="A50" s="176" t="n">
        <v>510018492</v>
      </c>
      <c r="B50" s="124">
        <f>CHOOSE(_xlfn.NUMBERVALUE(MID(H50,6,2)),"فروردین","اردیبهشت","خرداد","تیر","مرداد","شهریور","مهر","آبان","آذر","دی","بهمن","اسفند")</f>
        <v/>
      </c>
      <c r="C50" s="176" t="inlineStr">
        <is>
          <t>ماشين ظرفشويي</t>
        </is>
      </c>
      <c r="D50" s="176" t="inlineStr">
        <is>
          <t>CDW-H15V</t>
        </is>
      </c>
      <c r="E50" s="176" t="inlineStr">
        <is>
          <t>52220002N02794</t>
        </is>
      </c>
      <c r="F50" s="173" t="inlineStr">
        <is>
          <t>بسته نشدن درب اياب و ذهاب به عهده شرکت</t>
        </is>
      </c>
      <c r="G50" s="173" t="inlineStr">
        <is>
          <t>خرابي قلاب ميکروسوئيچ</t>
        </is>
      </c>
      <c r="H50" s="176" t="inlineStr">
        <is>
          <t>1405/01/18</t>
        </is>
      </c>
      <c r="I50" s="124" t="inlineStr">
        <is>
          <t>1404/08/28</t>
        </is>
      </c>
      <c r="J50" s="171" t="inlineStr">
        <is>
          <t>1404/12/09</t>
        </is>
      </c>
      <c r="K50" s="177">
        <f>IFERROR(VLOOKUP(LEFT(H50,7),'تبدیل تاریخ'!$A$2:$B$73,2,FALSE())+VALUE(RIGHT(H50,2))-1,"")</f>
        <v/>
      </c>
      <c r="L50" s="177">
        <f>IFERROR(VLOOKUP(LEFT(I50,7),'تبدیل تاریخ'!$A$2:$B$73,2,FALSE())+VALUE(RIGHT(I50,2))-1,"")</f>
        <v/>
      </c>
      <c r="M50" s="177">
        <f>IF(J50="","",IFERROR(VLOOKUP(LEFT(J50,7),'تبدیل تاریخ'!$A$2:$B$73,2,FALSE())+VALUE(RIGHT(J50,2))-1,""))</f>
        <v/>
      </c>
      <c r="N50" s="124">
        <f>IF(OR(K50="",M50=""),"",CEILING((K50-M50)/30,1))</f>
        <v/>
      </c>
      <c r="O50" s="124">
        <f>IF(OR(ISNUMBER(SEARCH("بدون مورد",G50)),ISNUMBER(SEARCH("غير گارانتي",G50)),ISNUMBER(SEARCH("غیر گارانتی",G50)),ISNUMBER(SEARCH("بدون اجرت",G50)),ISNUMBER(SEARCH("فيلتر",G50)),ISNUMBER(SEARCH("فیلتر",G50))),"غیرگارانتی/بدون قطعه",IF(OR(ISNUMBER(SEARCH("ريست",G50)),ISNUMBER(SEARCH("ریست",G50))),"ریست نرم‌افزاری (بدون قطعه)",IF(OR(ISNUMBER(SEARCH("تعویض محصول",G50)),ISNUMBER(SEARCH("تعویض دستگاه",G50))),"تعویض کامل دستگاه (Replacement)",IF(ISNUMBER(SEARCH("پمپ",G50)),IF(ISNUMBER(SEARCH("نشت",G50)),"نشتی - پمپ تخلیه (تعمیر/آب‌بندی)","خرابی - پمپ تخلیه (تعویض)"),IF(ISNUMBER(SEARCH("کمپرسور",G50)),"خرابی - کمپرسور (تعویض)",IF(ISNUMBER(SEARCH("کمک فنر",G50)),"خرابی - کمک فنر (تعویض)",IF(ISNUMBER(SEARCH("لولا",G50)),"مکانیزم درب - لولا (تعویض)",IF(OR(ISNUMBER(SEARCH("قلاب",G50)),ISNUMBER(SEARCH("ميکروسوئيچ",G50)),ISNUMBER(SEARCH("میکروسوئیچ",G50))),"مکانیزم درب - میکروسوئیچ/قلاب (تعویض/تنظیم)",IF(ISNUMBER(SEARCH("زبانه",G50)),"مکانیزم درب - زبانه (تعویض)",IF(OR(ISNUMBER(SEARCH("شيلنگ",G50)),ISNUMBER(SEARCH("شیلنگ",G50))),IF(OR(ISNUMBER(SEARCH("نشتی",G50)),ISNUMBER(SEARCH("نشتي",G50))),"نشتی - شیلنگ (تعمیر/آب‌بندی)",IF(OR(ISNUMBER(SEARCH("يخ",G50)),ISNUMBER(SEARCH("یخ",G50))),"شیلنگ یخساز - یخ‌زدگی (بازبینی)","شیلنگ - برخورد/لهیدگی (بازبینی)")),IF(OR(ISNUMBER(SEARCH("تنظيم ديسپل",G50)),ISNUMBER(SEARCH("تنظیم دیسپل",G50)),ISNUMBER(SEARCH("تنظيم صفحه نمايش",G50)),ISNUMBER(SEARCH("تنظیم صفحه نمایش",G50))),"تنظیم - تنظیمات دستگاه/دیسپلی (تعمیر)",IF(OR(ISNUMBER(SEARCH("برد",G50)),ISNUMBER(SEARCH("سوکت",G50)),ISNUMBER(SEARCH("ديسپل",G50)),ISNUMBER(SEARCH("دیسپل",G50))),"خرابی - برد الکترونیک (تعویض)",IF(OR(ISNUMBER(SEARCH("يخساز",G50)),ISNUMBER(SEARCH("یخساز",G50)),ISNUMBER(SEARCH("دمپر",G50))),IF(OR(ISNUMBER(SEARCH("خرابی",G50)),ISNUMBER(SEARCH("خراب",G50)),ISNUMBER(SEARCH("عدم کارکرد",G50)),ISNUMBER(SEARCH("عدم عملکرد",G50))),"یخساز - خرابی موتور/سنسور/برد (تعویض)","یخساز - تنظیم/عایق (تعمیر)"),IF(OR(ISNUMBER(SEARCH("لاستيک",G50)),ISNUMBER(SEARCH("لاستیک",G50))),"لاستیک درزگیر - دفرمگی/پارگی (تعویض)",IF(OR(ISNUMBER(SEARCH("گسکت",G50)),ISNUMBER(SEARCH("گسگت",G50))),"لاستیک درزگیر - دفرمگی/پارگی (تعویض)",IF(ISNUMBER(SEARCH("مخزن نمک",G50)),"نشتی - درب مخزن نمک (تعمیر/آب‌بندی)",IF(ISNUMBER(SEARCH("براکت",G50)),"نشتی - براکت ریل (تعمیر/آب‌بندی)",IF(ISNUMBER(SEARCH("جاپودر",G50)),"نشتی - جاپودری (تعمیر/آب‌بندی)",IF(ISNUMBER(SEARCH("مقسم",G50)),"نشتی - مقسم آب (تعمیر/آب‌بندی)",IF(OR(ISNUMBER(SEARCH("سنسور دما",G50)),ISNUMBER(SEARCH("ترموستات",G50))),"خرابی - ترموستات (تعویض)",IF(OR(ISNUMBER(SEARCH("هيدروستات",G50)),ISNUMBER(SEARCH("هیدروستات",G50))),"خرابی - هیدروستات (تعویض)",IF(OR(ISNUMBER(SEARCH("بلبرينگ",G50)),ISNUMBER(SEARCH("بلبرینگ",G50))),"خرابی - بلبرینگ (تعویض)",IF(OR(ISNUMBER(SEARCH("شيربرق",G50)),ISNUMBER(SEARCH("شیربرق",G50))),"خرابی - شیربرقی (تعویض)",IF(OR(ISNUMBER(SEARCH("واتر جت",G50)),ISNUMBER(SEARCH("واترجت",G50))),"خرابی - واترجت (تعویض)",IF(OR(ISNUMBER(SEARCH("سيم",G50)),ISNUMBER(SEARCH("سیم",G50)),ISNUMBER(SEARCH("اتصال",G50))),"سیم‌کشی/اتصالات (تعویض/بازبینی)",IF(OR(ISNUMBER(SEARCH("تصوير",G50)),ISNUMBER(SEARCH("تصویر",G50))),"برد نمایش تلویزیون (تعویض)",IF(OR(ISNUMBER(SEARCH("ريموت",G50)),ISNUMBER(SEARCH("ریموت",G50))),"ریموت کنترل (تعویض/تعمیر)",IF(OR(ISNUMBER(SEARCH("ال اي دي",G50)),ISNUMBER(SEARCH("ال ای دی",G50)),ISNUMBER(SEARCH("LED",G50))),"خرابی - لامپ/LED داخلی (تعویض)",IF(ISNUMBER(SEARCH("زنگ زدگ",G50)),"زنگ‌زدگی بدنه/قطعه (تعویض)",IF(OR(ISNUMBER(SEARCH("قطعات تزئين",G50)),ISNUMBER(SEARCH("قطعات تزئین",G50))),"قطعات تزئینی - شکستگی/کسری (تعویض)",IF(ISNUMBER(SEARCH("سبد",G50)),"سبد ظرفشویی - شکستگی (تعویض)",IF(ISNUMBER(SEARCH("تاب درام",G50)),"خرابی - تاب برداشتن درام (تعویض)",IF(ISNUMBER(SEARCH("درام",G50)),"خرابی - سایر ایراد درام (تعویض)",IF(ISNUMBER(SEARCH("موتور",G50)),"خرابی - موتور (تعویض)",IF(ISNUMBER(SEARCH("تسمه",G50)),"خرابی - تسمه (تعویض)",IF(OR(ISNUMBER(SEARCH("پيچ ولوم",G50)),ISNUMBER(SEARCH("پیچ ولوم",G50))),"تنظیم - پیچ ولوم/دکمه (تعمیر)",IF(OR(ISNUMBER(SEARCH("کسري قطعات",G50)),ISNUMBER(SEARCH("کسری قطعات",G50))),"کسری قطعات تزئینی (تعویض)",IF(ISNUMBER(SEARCH("پرچ",G50)),"پرچ/بدنه کابین(تعمیر)",IF(OR(ISNUMBER(SEARCH("نشت",G50)),ISNUMBER(SEARCH("آبريزش",G50)),ISNUMBER(SEARCH("آبریزش",G50))),"نشتی آب - محل نامشخص (نیازمند بازدید)",IF(ISNUMBER(SEARCH("درب",G50)),"سایر اجزای درب (بازبینی)",IF(ISNUMBER(SEARCH("ضربه",G50)),"بدنه/کابین - ضربه (بازبینی/تعویض پنل)",IF(ISNUMBER(SEARCH("تراز",G50)),"تراز/لرزش - نصب (رگلاژ پایه)",IF(OR(ISNUMBER(SEARCH("تعویض",G50)),ISNUMBER(SEARCH("تعويض",G50))),"تعویض کامل دستگاه (Replacement)","سایر (نیازمند بررسی دستی)")))))))))))))))))))))))))))))))))))))))))))</f>
        <v/>
      </c>
      <c r="P50" s="124" t="inlineStr">
        <is>
          <t>میکروسوئیچ 15 نفره</t>
        </is>
      </c>
      <c r="Q50" s="124">
        <f>IF(ISNUMBER(SEARCH("عهده شرکت",F50)),"شرکت",IF(ISNUMBER(SEARCH("عهده مشتري",F50)),"مشتری",IF(ISNUMBER(SEARCH("عهده مشتری",F50)),"مشتری","نامشخص")))</f>
        <v/>
      </c>
      <c r="R50" s="178">
        <f>IF(O50="تعویض کامل دستگاه (Replacement)",IF(SUMIF('قیمت‌ها و مفروضات'!$A$9:$A$13,C50,'قیمت‌ها و مفروضات'!$C$9:$C$13)&lt;&gt;0,SUMIF('قیمت‌ها و مفروضات'!$A$9:$A$13,C50,'قیمت‌ها و مفروضات'!$C$9:$C$13),SUMIF('قیمت‌ها و مفروضات'!$A$9:$A$13,C50,'قیمت‌ها و مفروضات'!$B$9:$B$13)),IF(SUMIF('قیمت‌ها و مفروضات'!$A$18:$A$63,O50,'قیمت‌ها و مفروضات'!$C$18:$C$63)&lt;&gt;0,SUMIF('قیمت‌ها و مفروضات'!$A$18:$A$63,O50,'قیمت‌ها و مفروضات'!$C$18:$C$63),SUMIF('قیمت‌ها و مفروضات'!$A$18:$A$63,O50,'قیمت‌ها و مفروضات'!$B$18:$B$63)))</f>
        <v/>
      </c>
      <c r="S50" s="178">
        <f>'قیمت‌ها و مفروضات'!$B$3+'قیمت‌ها و مفروضات'!$B$4</f>
        <v/>
      </c>
      <c r="T50" s="178">
        <f>R50+S50</f>
        <v/>
      </c>
      <c r="U50" s="178">
        <f>IF(COUNTIF($E$2:E50,E50)&gt;1,"بله (تکراری)","خیر")</f>
        <v/>
      </c>
      <c r="V50" s="178">
        <f>IF(U50="بله (تکراری)",S50,0)</f>
        <v/>
      </c>
      <c r="W50" s="208" t="inlineStr"/>
      <c r="X50" s="208" t="inlineStr"/>
    </row>
    <row r="51" ht="58.5" customHeight="1" s="151">
      <c r="A51" s="176" t="n">
        <v>210010946</v>
      </c>
      <c r="B51" s="124">
        <f>CHOOSE(_xlfn.NUMBERVALUE(MID(H51,6,2)),"فروردین","اردیبهشت","خرداد","تیر","مرداد","شهریور","مهر","آبان","آذر","دی","بهمن","اسفند")</f>
        <v/>
      </c>
      <c r="C51" s="176" t="inlineStr">
        <is>
          <t>ماشين ظرفشويي</t>
        </is>
      </c>
      <c r="D51" s="176" t="inlineStr">
        <is>
          <t>CDW-H16T</t>
        </is>
      </c>
      <c r="E51" s="176" t="inlineStr">
        <is>
          <t>52220004N02580</t>
        </is>
      </c>
      <c r="F51" s="173" t="inlineStr">
        <is>
          <t>اياب و ذهاب به عهده شرکت ** بسته نشدن درب</t>
        </is>
      </c>
      <c r="G51" s="173" t="inlineStr">
        <is>
          <t>ريست دستگاه - ظرفشويي</t>
        </is>
      </c>
      <c r="H51" s="176" t="inlineStr">
        <is>
          <t>1405/01/19</t>
        </is>
      </c>
      <c r="I51" s="124" t="inlineStr">
        <is>
          <t>1404/02/05</t>
        </is>
      </c>
      <c r="J51" s="171" t="inlineStr">
        <is>
          <t>1403/10/30</t>
        </is>
      </c>
      <c r="K51" s="177">
        <f>IFERROR(VLOOKUP(LEFT(H51,7),'تبدیل تاریخ'!$A$2:$B$73,2,FALSE())+VALUE(RIGHT(H51,2))-1,"")</f>
        <v/>
      </c>
      <c r="L51" s="177">
        <f>IFERROR(VLOOKUP(LEFT(I51,7),'تبدیل تاریخ'!$A$2:$B$73,2,FALSE())+VALUE(RIGHT(I51,2))-1,"")</f>
        <v/>
      </c>
      <c r="M51" s="177">
        <f>IF(J51="","",IFERROR(VLOOKUP(LEFT(J51,7),'تبدیل تاریخ'!$A$2:$B$73,2,FALSE())+VALUE(RIGHT(J51,2))-1,""))</f>
        <v/>
      </c>
      <c r="N51" s="124">
        <f>IF(OR(K51="",M51=""),"",CEILING((K51-M51)/30,1))</f>
        <v/>
      </c>
      <c r="O51" s="124">
        <f>IF(OR(ISNUMBER(SEARCH("بدون مورد",G51)),ISNUMBER(SEARCH("غير گارانتي",G51)),ISNUMBER(SEARCH("غیر گارانتی",G51)),ISNUMBER(SEARCH("بدون اجرت",G51)),ISNUMBER(SEARCH("فيلتر",G51)),ISNUMBER(SEARCH("فیلتر",G51))),"غیرگارانتی/بدون قطعه",IF(OR(ISNUMBER(SEARCH("ريست",G51)),ISNUMBER(SEARCH("ریست",G51))),"ریست نرم‌افزاری (بدون قطعه)",IF(OR(ISNUMBER(SEARCH("تعویض محصول",G51)),ISNUMBER(SEARCH("تعویض دستگاه",G51))),"تعویض کامل دستگاه (Replacement)",IF(ISNUMBER(SEARCH("پمپ",G51)),IF(ISNUMBER(SEARCH("نشت",G51)),"نشتی - پمپ تخلیه (تعمیر/آب‌بندی)","خرابی - پمپ تخلیه (تعویض)"),IF(ISNUMBER(SEARCH("کمپرسور",G51)),"خرابی - کمپرسور (تعویض)",IF(ISNUMBER(SEARCH("کمک فنر",G51)),"خرابی - کمک فنر (تعویض)",IF(ISNUMBER(SEARCH("لولا",G51)),"مکانیزم درب - لولا (تعویض)",IF(OR(ISNUMBER(SEARCH("قلاب",G51)),ISNUMBER(SEARCH("ميکروسوئيچ",G51)),ISNUMBER(SEARCH("میکروسوئیچ",G51))),"مکانیزم درب - میکروسوئیچ/قلاب (تعویض/تنظیم)",IF(ISNUMBER(SEARCH("زبانه",G51)),"مکانیزم درب - زبانه (تعویض)",IF(OR(ISNUMBER(SEARCH("شيلنگ",G51)),ISNUMBER(SEARCH("شیلنگ",G51))),IF(OR(ISNUMBER(SEARCH("نشتی",G51)),ISNUMBER(SEARCH("نشتي",G51))),"نشتی - شیلنگ (تعمیر/آب‌بندی)",IF(OR(ISNUMBER(SEARCH("يخ",G51)),ISNUMBER(SEARCH("یخ",G51))),"شیلنگ یخساز - یخ‌زدگی (بازبینی)","شیلنگ - برخورد/لهیدگی (بازبینی)")),IF(OR(ISNUMBER(SEARCH("تنظيم ديسپل",G51)),ISNUMBER(SEARCH("تنظیم دیسپل",G51)),ISNUMBER(SEARCH("تنظيم صفحه نمايش",G51)),ISNUMBER(SEARCH("تنظیم صفحه نمایش",G51))),"تنظیم - تنظیمات دستگاه/دیسپلی (تعمیر)",IF(OR(ISNUMBER(SEARCH("برد",G51)),ISNUMBER(SEARCH("سوکت",G51)),ISNUMBER(SEARCH("ديسپل",G51)),ISNUMBER(SEARCH("دیسپل",G51))),"خرابی - برد الکترونیک (تعویض)",IF(OR(ISNUMBER(SEARCH("يخساز",G51)),ISNUMBER(SEARCH("یخساز",G51)),ISNUMBER(SEARCH("دمپر",G51))),IF(OR(ISNUMBER(SEARCH("خرابی",G51)),ISNUMBER(SEARCH("خراب",G51)),ISNUMBER(SEARCH("عدم کارکرد",G51)),ISNUMBER(SEARCH("عدم عملکرد",G51))),"یخساز - خرابی موتور/سنسور/برد (تعویض)","یخساز - تنظیم/عایق (تعمیر)"),IF(OR(ISNUMBER(SEARCH("لاستيک",G51)),ISNUMBER(SEARCH("لاستیک",G51))),"لاستیک درزگیر - دفرمگی/پارگی (تعویض)",IF(OR(ISNUMBER(SEARCH("گسکت",G51)),ISNUMBER(SEARCH("گسگت",G51))),"لاستیک درزگیر - دفرمگی/پارگی (تعویض)",IF(ISNUMBER(SEARCH("مخزن نمک",G51)),"نشتی - درب مخزن نمک (تعمیر/آب‌بندی)",IF(ISNUMBER(SEARCH("براکت",G51)),"نشتی - براکت ریل (تعمیر/آب‌بندی)",IF(ISNUMBER(SEARCH("جاپودر",G51)),"نشتی - جاپودری (تعمیر/آب‌بندی)",IF(ISNUMBER(SEARCH("مقسم",G51)),"نشتی - مقسم آب (تعمیر/آب‌بندی)",IF(OR(ISNUMBER(SEARCH("سنسور دما",G51)),ISNUMBER(SEARCH("ترموستات",G51))),"خرابی - ترموستات (تعویض)",IF(OR(ISNUMBER(SEARCH("هيدروستات",G51)),ISNUMBER(SEARCH("هیدروستات",G51))),"خرابی - هیدروستات (تعویض)",IF(OR(ISNUMBER(SEARCH("بلبرينگ",G51)),ISNUMBER(SEARCH("بلبرینگ",G51))),"خرابی - بلبرینگ (تعویض)",IF(OR(ISNUMBER(SEARCH("شيربرق",G51)),ISNUMBER(SEARCH("شیربرق",G51))),"خرابی - شیربرقی (تعویض)",IF(OR(ISNUMBER(SEARCH("واتر جت",G51)),ISNUMBER(SEARCH("واترجت",G51))),"خرابی - واترجت (تعویض)",IF(OR(ISNUMBER(SEARCH("سيم",G51)),ISNUMBER(SEARCH("سیم",G51)),ISNUMBER(SEARCH("اتصال",G51))),"سیم‌کشی/اتصالات (تعویض/بازبینی)",IF(OR(ISNUMBER(SEARCH("تصوير",G51)),ISNUMBER(SEARCH("تصویر",G51))),"برد نمایش تلویزیون (تعویض)",IF(OR(ISNUMBER(SEARCH("ريموت",G51)),ISNUMBER(SEARCH("ریموت",G51))),"ریموت کنترل (تعویض/تعمیر)",IF(OR(ISNUMBER(SEARCH("ال اي دي",G51)),ISNUMBER(SEARCH("ال ای دی",G51)),ISNUMBER(SEARCH("LED",G51))),"خرابی - لامپ/LED داخلی (تعویض)",IF(ISNUMBER(SEARCH("زنگ زدگ",G51)),"زنگ‌زدگی بدنه/قطعه (تعویض)",IF(OR(ISNUMBER(SEARCH("قطعات تزئين",G51)),ISNUMBER(SEARCH("قطعات تزئین",G51))),"قطعات تزئینی - شکستگی/کسری (تعویض)",IF(ISNUMBER(SEARCH("سبد",G51)),"سبد ظرفشویی - شکستگی (تعویض)",IF(ISNUMBER(SEARCH("تاب درام",G51)),"خرابی - تاب برداشتن درام (تعویض)",IF(ISNUMBER(SEARCH("درام",G51)),"خرابی - سایر ایراد درام (تعویض)",IF(ISNUMBER(SEARCH("موتور",G51)),"خرابی - موتور (تعویض)",IF(ISNUMBER(SEARCH("تسمه",G51)),"خرابی - تسمه (تعویض)",IF(OR(ISNUMBER(SEARCH("پيچ ولوم",G51)),ISNUMBER(SEARCH("پیچ ولوم",G51))),"تنظیم - پیچ ولوم/دکمه (تعمیر)",IF(OR(ISNUMBER(SEARCH("کسري قطعات",G51)),ISNUMBER(SEARCH("کسری قطعات",G51))),"کسری قطعات تزئینی (تعویض)",IF(ISNUMBER(SEARCH("پرچ",G51)),"پرچ/بدنه کابین(تعمیر)",IF(OR(ISNUMBER(SEARCH("نشت",G51)),ISNUMBER(SEARCH("آبريزش",G51)),ISNUMBER(SEARCH("آبریزش",G51))),"نشتی آب - محل نامشخص (نیازمند بازدید)",IF(ISNUMBER(SEARCH("درب",G51)),"سایر اجزای درب (بازبینی)",IF(ISNUMBER(SEARCH("ضربه",G51)),"بدنه/کابین - ضربه (بازبینی/تعویض پنل)",IF(ISNUMBER(SEARCH("تراز",G51)),"تراز/لرزش - نصب (رگلاژ پایه)",IF(OR(ISNUMBER(SEARCH("تعویض",G51)),ISNUMBER(SEARCH("تعويض",G51))),"تعویض کامل دستگاه (Replacement)","سایر (نیازمند بررسی دستی)")))))))))))))))))))))))))))))))))))))))))))</f>
        <v/>
      </c>
      <c r="P51" s="124" t="inlineStr">
        <is>
          <t>*</t>
        </is>
      </c>
      <c r="Q51" s="124">
        <f>IF(ISNUMBER(SEARCH("عهده شرکت",F51)),"شرکت",IF(ISNUMBER(SEARCH("عهده مشتري",F51)),"مشتری",IF(ISNUMBER(SEARCH("عهده مشتری",F51)),"مشتری","نامشخص")))</f>
        <v/>
      </c>
      <c r="R51" s="178">
        <f>IF(O51="تعویض کامل دستگاه (Replacement)",IF(SUMIF('قیمت‌ها و مفروضات'!$A$9:$A$13,C51,'قیمت‌ها و مفروضات'!$C$9:$C$13)&lt;&gt;0,SUMIF('قیمت‌ها و مفروضات'!$A$9:$A$13,C51,'قیمت‌ها و مفروضات'!$C$9:$C$13),SUMIF('قیمت‌ها و مفروضات'!$A$9:$A$13,C51,'قیمت‌ها و مفروضات'!$B$9:$B$13)),IF(SUMIF('قیمت‌ها و مفروضات'!$A$18:$A$63,O51,'قیمت‌ها و مفروضات'!$C$18:$C$63)&lt;&gt;0,SUMIF('قیمت‌ها و مفروضات'!$A$18:$A$63,O51,'قیمت‌ها و مفروضات'!$C$18:$C$63),SUMIF('قیمت‌ها و مفروضات'!$A$18:$A$63,O51,'قیمت‌ها و مفروضات'!$B$18:$B$63)))</f>
        <v/>
      </c>
      <c r="S51" s="178">
        <f>'قیمت‌ها و مفروضات'!$B$3+'قیمت‌ها و مفروضات'!$B$4</f>
        <v/>
      </c>
      <c r="T51" s="178">
        <f>R51+S51</f>
        <v/>
      </c>
      <c r="U51" s="178">
        <f>IF(COUNTIF($E$2:E51,E51)&gt;1,"بله (تکراری)","خیر")</f>
        <v/>
      </c>
      <c r="V51" s="178">
        <f>IF(U51="بله (تکراری)",S51,0)</f>
        <v/>
      </c>
      <c r="W51" s="208" t="inlineStr"/>
      <c r="X51" s="208" t="inlineStr"/>
    </row>
    <row r="52" ht="58.5" customHeight="1" s="151">
      <c r="A52" s="176" t="n">
        <v>130004793</v>
      </c>
      <c r="B52" s="124">
        <f>CHOOSE(_xlfn.NUMBERVALUE(MID(H52,6,2)),"فروردین","اردیبهشت","خرداد","تیر","مرداد","شهریور","مهر","آبان","آذر","دی","بهمن","اسفند")</f>
        <v/>
      </c>
      <c r="C52" s="176" t="inlineStr">
        <is>
          <t>ماشين ظرفشويي</t>
        </is>
      </c>
      <c r="D52" s="176" t="inlineStr">
        <is>
          <t>CDW-H15V</t>
        </is>
      </c>
      <c r="E52" s="176" t="inlineStr">
        <is>
          <t>52220002N02226</t>
        </is>
      </c>
      <c r="F52" s="173" t="inlineStr">
        <is>
          <t>جمع شدن آب زير محصول**اياب و ذهاب به عهده شرکت</t>
        </is>
      </c>
      <c r="G52" s="173" t="inlineStr">
        <is>
          <t>نشتي درب مخزن نمک</t>
        </is>
      </c>
      <c r="H52" s="176" t="inlineStr">
        <is>
          <t>1405/01/23</t>
        </is>
      </c>
      <c r="I52" s="124" t="inlineStr">
        <is>
          <t>1404/04/09</t>
        </is>
      </c>
      <c r="J52" s="179" t="inlineStr">
        <is>
          <t>1403/10/27</t>
        </is>
      </c>
      <c r="K52" s="177">
        <f>IFERROR(VLOOKUP(LEFT(H52,7),'تبدیل تاریخ'!$A$2:$B$73,2,FALSE())+VALUE(RIGHT(H52,2))-1,"")</f>
        <v/>
      </c>
      <c r="L52" s="177">
        <f>IFERROR(VLOOKUP(LEFT(I52,7),'تبدیل تاریخ'!$A$2:$B$73,2,FALSE())+VALUE(RIGHT(I52,2))-1,"")</f>
        <v/>
      </c>
      <c r="M52" s="177">
        <f>IF(J52="","",IFERROR(VLOOKUP(LEFT(J52,7),'تبدیل تاریخ'!$A$2:$B$73,2,FALSE())+VALUE(RIGHT(J52,2))-1,""))</f>
        <v/>
      </c>
      <c r="N52" s="124">
        <f>IF(OR(K52="",M52=""),"",CEILING((K52-M52)/30,1))</f>
        <v/>
      </c>
      <c r="O52" s="124">
        <f>IF(OR(ISNUMBER(SEARCH("بدون مورد",G52)),ISNUMBER(SEARCH("غير گارانتي",G52)),ISNUMBER(SEARCH("غیر گارانتی",G52)),ISNUMBER(SEARCH("بدون اجرت",G52)),ISNUMBER(SEARCH("فيلتر",G52)),ISNUMBER(SEARCH("فیلتر",G52))),"غیرگارانتی/بدون قطعه",IF(OR(ISNUMBER(SEARCH("ريست",G52)),ISNUMBER(SEARCH("ریست",G52))),"ریست نرم‌افزاری (بدون قطعه)",IF(OR(ISNUMBER(SEARCH("تعویض محصول",G52)),ISNUMBER(SEARCH("تعویض دستگاه",G52))),"تعویض کامل دستگاه (Replacement)",IF(ISNUMBER(SEARCH("پمپ",G52)),IF(ISNUMBER(SEARCH("نشت",G52)),"نشتی - پمپ تخلیه (تعمیر/آب‌بندی)","خرابی - پمپ تخلیه (تعویض)"),IF(ISNUMBER(SEARCH("کمپرسور",G52)),"خرابی - کمپرسور (تعویض)",IF(ISNUMBER(SEARCH("کمک فنر",G52)),"خرابی - کمک فنر (تعویض)",IF(ISNUMBER(SEARCH("لولا",G52)),"مکانیزم درب - لولا (تعویض)",IF(OR(ISNUMBER(SEARCH("قلاب",G52)),ISNUMBER(SEARCH("ميکروسوئيچ",G52)),ISNUMBER(SEARCH("میکروسوئیچ",G52))),"مکانیزم درب - میکروسوئیچ/قلاب (تعویض/تنظیم)",IF(ISNUMBER(SEARCH("زبانه",G52)),"مکانیزم درب - زبانه (تعویض)",IF(OR(ISNUMBER(SEARCH("شيلنگ",G52)),ISNUMBER(SEARCH("شیلنگ",G52))),IF(OR(ISNUMBER(SEARCH("نشتی",G52)),ISNUMBER(SEARCH("نشتي",G52))),"نشتی - شیلنگ (تعمیر/آب‌بندی)",IF(OR(ISNUMBER(SEARCH("يخ",G52)),ISNUMBER(SEARCH("یخ",G52))),"شیلنگ یخساز - یخ‌زدگی (بازبینی)","شیلنگ - برخورد/لهیدگی (بازبینی)")),IF(OR(ISNUMBER(SEARCH("تنظيم ديسپل",G52)),ISNUMBER(SEARCH("تنظیم دیسپل",G52)),ISNUMBER(SEARCH("تنظيم صفحه نمايش",G52)),ISNUMBER(SEARCH("تنظیم صفحه نمایش",G52))),"تنظیم - تنظیمات دستگاه/دیسپلی (تعمیر)",IF(OR(ISNUMBER(SEARCH("برد",G52)),ISNUMBER(SEARCH("سوکت",G52)),ISNUMBER(SEARCH("ديسپل",G52)),ISNUMBER(SEARCH("دیسپل",G52))),"خرابی - برد الکترونیک (تعویض)",IF(OR(ISNUMBER(SEARCH("يخساز",G52)),ISNUMBER(SEARCH("یخساز",G52)),ISNUMBER(SEARCH("دمپر",G52))),IF(OR(ISNUMBER(SEARCH("خرابی",G52)),ISNUMBER(SEARCH("خراب",G52)),ISNUMBER(SEARCH("عدم کارکرد",G52)),ISNUMBER(SEARCH("عدم عملکرد",G52))),"یخساز - خرابی موتور/سنسور/برد (تعویض)","یخساز - تنظیم/عایق (تعمیر)"),IF(OR(ISNUMBER(SEARCH("لاستيک",G52)),ISNUMBER(SEARCH("لاستیک",G52))),"لاستیک درزگیر - دفرمگی/پارگی (تعویض)",IF(OR(ISNUMBER(SEARCH("گسکت",G52)),ISNUMBER(SEARCH("گسگت",G52))),"لاستیک درزگیر - دفرمگی/پارگی (تعویض)",IF(ISNUMBER(SEARCH("مخزن نمک",G52)),"نشتی - درب مخزن نمک (تعمیر/آب‌بندی)",IF(ISNUMBER(SEARCH("براکت",G52)),"نشتی - براکت ریل (تعمیر/آب‌بندی)",IF(ISNUMBER(SEARCH("جاپودر",G52)),"نشتی - جاپودری (تعمیر/آب‌بندی)",IF(ISNUMBER(SEARCH("مقسم",G52)),"نشتی - مقسم آب (تعمیر/آب‌بندی)",IF(OR(ISNUMBER(SEARCH("سنسور دما",G52)),ISNUMBER(SEARCH("ترموستات",G52))),"خرابی - ترموستات (تعویض)",IF(OR(ISNUMBER(SEARCH("هيدروستات",G52)),ISNUMBER(SEARCH("هیدروستات",G52))),"خرابی - هیدروستات (تعویض)",IF(OR(ISNUMBER(SEARCH("بلبرينگ",G52)),ISNUMBER(SEARCH("بلبرینگ",G52))),"خرابی - بلبرینگ (تعویض)",IF(OR(ISNUMBER(SEARCH("شيربرق",G52)),ISNUMBER(SEARCH("شیربرق",G52))),"خرابی - شیربرقی (تعویض)",IF(OR(ISNUMBER(SEARCH("واتر جت",G52)),ISNUMBER(SEARCH("واترجت",G52))),"خرابی - واترجت (تعویض)",IF(OR(ISNUMBER(SEARCH("سيم",G52)),ISNUMBER(SEARCH("سیم",G52)),ISNUMBER(SEARCH("اتصال",G52))),"سیم‌کشی/اتصالات (تعویض/بازبینی)",IF(OR(ISNUMBER(SEARCH("تصوير",G52)),ISNUMBER(SEARCH("تصویر",G52))),"برد نمایش تلویزیون (تعویض)",IF(OR(ISNUMBER(SEARCH("ريموت",G52)),ISNUMBER(SEARCH("ریموت",G52))),"ریموت کنترل (تعویض/تعمیر)",IF(OR(ISNUMBER(SEARCH("ال اي دي",G52)),ISNUMBER(SEARCH("ال ای دی",G52)),ISNUMBER(SEARCH("LED",G52))),"خرابی - لامپ/LED داخلی (تعویض)",IF(ISNUMBER(SEARCH("زنگ زدگ",G52)),"زنگ‌زدگی بدنه/قطعه (تعویض)",IF(OR(ISNUMBER(SEARCH("قطعات تزئين",G52)),ISNUMBER(SEARCH("قطعات تزئین",G52))),"قطعات تزئینی - شکستگی/کسری (تعویض)",IF(ISNUMBER(SEARCH("سبد",G52)),"سبد ظرفشویی - شکستگی (تعویض)",IF(ISNUMBER(SEARCH("تاب درام",G52)),"خرابی - تاب برداشتن درام (تعویض)",IF(ISNUMBER(SEARCH("درام",G52)),"خرابی - سایر ایراد درام (تعویض)",IF(ISNUMBER(SEARCH("موتور",G52)),"خرابی - موتور (تعویض)",IF(ISNUMBER(SEARCH("تسمه",G52)),"خرابی - تسمه (تعویض)",IF(OR(ISNUMBER(SEARCH("پيچ ولوم",G52)),ISNUMBER(SEARCH("پیچ ولوم",G52))),"تنظیم - پیچ ولوم/دکمه (تعمیر)",IF(OR(ISNUMBER(SEARCH("کسري قطعات",G52)),ISNUMBER(SEARCH("کسری قطعات",G52))),"کسری قطعات تزئینی (تعویض)",IF(ISNUMBER(SEARCH("پرچ",G52)),"پرچ/بدنه کابین(تعمیر)",IF(OR(ISNUMBER(SEARCH("نشت",G52)),ISNUMBER(SEARCH("آبريزش",G52)),ISNUMBER(SEARCH("آبریزش",G52))),"نشتی آب - محل نامشخص (نیازمند بازدید)",IF(ISNUMBER(SEARCH("درب",G52)),"سایر اجزای درب (بازبینی)",IF(ISNUMBER(SEARCH("ضربه",G52)),"بدنه/کابین - ضربه (بازبینی/تعویض پنل)",IF(ISNUMBER(SEARCH("تراز",G52)),"تراز/لرزش - نصب (رگلاژ پایه)",IF(OR(ISNUMBER(SEARCH("تعویض",G52)),ISNUMBER(SEARCH("تعويض",G52))),"تعویض کامل دستگاه (Replacement)","سایر (نیازمند بررسی دستی)")))))))))))))))))))))))))))))))))))))))))))</f>
        <v/>
      </c>
      <c r="P52" s="124" t="inlineStr">
        <is>
          <t>*</t>
        </is>
      </c>
      <c r="Q52" s="124">
        <f>IF(ISNUMBER(SEARCH("عهده شرکت",F52)),"شرکت",IF(ISNUMBER(SEARCH("عهده مشتري",F52)),"مشتری",IF(ISNUMBER(SEARCH("عهده مشتری",F52)),"مشتری","نامشخص")))</f>
        <v/>
      </c>
      <c r="R52" s="178">
        <f>IF(O52="تعویض کامل دستگاه (Replacement)",IF(SUMIF('قیمت‌ها و مفروضات'!$A$9:$A$13,C52,'قیمت‌ها و مفروضات'!$C$9:$C$13)&lt;&gt;0,SUMIF('قیمت‌ها و مفروضات'!$A$9:$A$13,C52,'قیمت‌ها و مفروضات'!$C$9:$C$13),SUMIF('قیمت‌ها و مفروضات'!$A$9:$A$13,C52,'قیمت‌ها و مفروضات'!$B$9:$B$13)),IF(SUMIF('قیمت‌ها و مفروضات'!$A$18:$A$63,O52,'قیمت‌ها و مفروضات'!$C$18:$C$63)&lt;&gt;0,SUMIF('قیمت‌ها و مفروضات'!$A$18:$A$63,O52,'قیمت‌ها و مفروضات'!$C$18:$C$63),SUMIF('قیمت‌ها و مفروضات'!$A$18:$A$63,O52,'قیمت‌ها و مفروضات'!$B$18:$B$63)))</f>
        <v/>
      </c>
      <c r="S52" s="178">
        <f>'قیمت‌ها و مفروضات'!$B$3+'قیمت‌ها و مفروضات'!$B$4</f>
        <v/>
      </c>
      <c r="T52" s="178">
        <f>R52+S52</f>
        <v/>
      </c>
      <c r="U52" s="178">
        <f>IF(COUNTIF($E$2:E52,E52)&gt;1,"بله (تکراری)","خیر")</f>
        <v/>
      </c>
      <c r="V52" s="178">
        <f>IF(U52="بله (تکراری)",S52,0)</f>
        <v/>
      </c>
      <c r="W52" s="208" t="inlineStr"/>
      <c r="X52" s="208" t="inlineStr"/>
    </row>
    <row r="53" ht="58.5" customHeight="1" s="151">
      <c r="A53" s="176" t="n">
        <v>210010892</v>
      </c>
      <c r="B53" s="124">
        <f>CHOOSE(_xlfn.NUMBERVALUE(MID(H53,6,2)),"فروردین","اردیبهشت","خرداد","تیر","مرداد","شهریور","مهر","آبان","آذر","دی","بهمن","اسفند")</f>
        <v/>
      </c>
      <c r="C53" s="176" t="inlineStr">
        <is>
          <t>ماشين لباسشويي</t>
        </is>
      </c>
      <c r="D53" s="176" t="inlineStr">
        <is>
          <t>CWM-BMW8T2</t>
        </is>
      </c>
      <c r="E53" s="176" t="inlineStr">
        <is>
          <t>52210009N01809</t>
        </is>
      </c>
      <c r="F53" s="173" t="inlineStr">
        <is>
          <t>دفرمگي نوار دور درب اياب و ذهاب به عهده شرکت</t>
        </is>
      </c>
      <c r="G53" s="173" t="inlineStr">
        <is>
          <t>دفرمگي لاستيک</t>
        </is>
      </c>
      <c r="H53" s="176" t="inlineStr">
        <is>
          <t>1405/01/26</t>
        </is>
      </c>
      <c r="I53" s="124" t="inlineStr">
        <is>
          <t>1404/05/21</t>
        </is>
      </c>
      <c r="J53" s="124" t="inlineStr">
        <is>
          <t>1404/05/21</t>
        </is>
      </c>
      <c r="K53" s="177">
        <f>IFERROR(VLOOKUP(LEFT(H53,7),'تبدیل تاریخ'!$A$2:$B$73,2,FALSE())+VALUE(RIGHT(H53,2))-1,"")</f>
        <v/>
      </c>
      <c r="L53" s="177">
        <f>IFERROR(VLOOKUP(LEFT(I53,7),'تبدیل تاریخ'!$A$2:$B$73,2,FALSE())+VALUE(RIGHT(I53,2))-1,"")</f>
        <v/>
      </c>
      <c r="M53" s="177">
        <f>IF(J53="","",IFERROR(VLOOKUP(LEFT(J53,7),'تبدیل تاریخ'!$A$2:$B$73,2,FALSE())+VALUE(RIGHT(J53,2))-1,""))</f>
        <v/>
      </c>
      <c r="N53" s="124">
        <f>IF(OR(K53="",M53=""),"",CEILING((K53-M53)/30,1))</f>
        <v/>
      </c>
      <c r="O53" s="124">
        <f>IF(OR(ISNUMBER(SEARCH("بدون مورد",G53)),ISNUMBER(SEARCH("غير گارانتي",G53)),ISNUMBER(SEARCH("غیر گارانتی",G53)),ISNUMBER(SEARCH("بدون اجرت",G53)),ISNUMBER(SEARCH("فيلتر",G53)),ISNUMBER(SEARCH("فیلتر",G53))),"غیرگارانتی/بدون قطعه",IF(OR(ISNUMBER(SEARCH("ريست",G53)),ISNUMBER(SEARCH("ریست",G53))),"ریست نرم‌افزاری (بدون قطعه)",IF(OR(ISNUMBER(SEARCH("تعویض محصول",G53)),ISNUMBER(SEARCH("تعویض دستگاه",G53))),"تعویض کامل دستگاه (Replacement)",IF(ISNUMBER(SEARCH("پمپ",G53)),IF(ISNUMBER(SEARCH("نشت",G53)),"نشتی - پمپ تخلیه (تعمیر/آب‌بندی)","خرابی - پمپ تخلیه (تعویض)"),IF(ISNUMBER(SEARCH("کمپرسور",G53)),"خرابی - کمپرسور (تعویض)",IF(ISNUMBER(SEARCH("کمک فنر",G53)),"خرابی - کمک فنر (تعویض)",IF(ISNUMBER(SEARCH("لولا",G53)),"مکانیزم درب - لولا (تعویض)",IF(OR(ISNUMBER(SEARCH("قلاب",G53)),ISNUMBER(SEARCH("ميکروسوئيچ",G53)),ISNUMBER(SEARCH("میکروسوئیچ",G53))),"مکانیزم درب - میکروسوئیچ/قلاب (تعویض/تنظیم)",IF(ISNUMBER(SEARCH("زبانه",G53)),"مکانیزم درب - زبانه (تعویض)",IF(OR(ISNUMBER(SEARCH("شيلنگ",G53)),ISNUMBER(SEARCH("شیلنگ",G53))),IF(OR(ISNUMBER(SEARCH("نشتی",G53)),ISNUMBER(SEARCH("نشتي",G53))),"نشتی - شیلنگ (تعمیر/آب‌بندی)",IF(OR(ISNUMBER(SEARCH("يخ",G53)),ISNUMBER(SEARCH("یخ",G53))),"شیلنگ یخساز - یخ‌زدگی (بازبینی)","شیلنگ - برخورد/لهیدگی (بازبینی)")),IF(OR(ISNUMBER(SEARCH("تنظيم ديسپل",G53)),ISNUMBER(SEARCH("تنظیم دیسپل",G53)),ISNUMBER(SEARCH("تنظيم صفحه نمايش",G53)),ISNUMBER(SEARCH("تنظیم صفحه نمایش",G53))),"تنظیم - تنظیمات دستگاه/دیسپلی (تعمیر)",IF(OR(ISNUMBER(SEARCH("برد",G53)),ISNUMBER(SEARCH("سوکت",G53)),ISNUMBER(SEARCH("ديسپل",G53)),ISNUMBER(SEARCH("دیسپل",G53))),"خرابی - برد الکترونیک (تعویض)",IF(OR(ISNUMBER(SEARCH("يخساز",G53)),ISNUMBER(SEARCH("یخساز",G53)),ISNUMBER(SEARCH("دمپر",G53))),IF(OR(ISNUMBER(SEARCH("خرابی",G53)),ISNUMBER(SEARCH("خراب",G53)),ISNUMBER(SEARCH("عدم کارکرد",G53)),ISNUMBER(SEARCH("عدم عملکرد",G53))),"یخساز - خرابی موتور/سنسور/برد (تعویض)","یخساز - تنظیم/عایق (تعمیر)"),IF(OR(ISNUMBER(SEARCH("لاستيک",G53)),ISNUMBER(SEARCH("لاستیک",G53))),"لاستیک درزگیر - دفرمگی/پارگی (تعویض)",IF(OR(ISNUMBER(SEARCH("گسکت",G53)),ISNUMBER(SEARCH("گسگت",G53))),"لاستیک درزگیر - دفرمگی/پارگی (تعویض)",IF(ISNUMBER(SEARCH("مخزن نمک",G53)),"نشتی - درب مخزن نمک (تعمیر/آب‌بندی)",IF(ISNUMBER(SEARCH("براکت",G53)),"نشتی - براکت ریل (تعمیر/آب‌بندی)",IF(ISNUMBER(SEARCH("جاپودر",G53)),"نشتی - جاپودری (تعمیر/آب‌بندی)",IF(ISNUMBER(SEARCH("مقسم",G53)),"نشتی - مقسم آب (تعمیر/آب‌بندی)",IF(OR(ISNUMBER(SEARCH("سنسور دما",G53)),ISNUMBER(SEARCH("ترموستات",G53))),"خرابی - ترموستات (تعویض)",IF(OR(ISNUMBER(SEARCH("هيدروستات",G53)),ISNUMBER(SEARCH("هیدروستات",G53))),"خرابی - هیدروستات (تعویض)",IF(OR(ISNUMBER(SEARCH("بلبرينگ",G53)),ISNUMBER(SEARCH("بلبرینگ",G53))),"خرابی - بلبرینگ (تعویض)",IF(OR(ISNUMBER(SEARCH("شيربرق",G53)),ISNUMBER(SEARCH("شیربرق",G53))),"خرابی - شیربرقی (تعویض)",IF(OR(ISNUMBER(SEARCH("واتر جت",G53)),ISNUMBER(SEARCH("واترجت",G53))),"خرابی - واترجت (تعویض)",IF(OR(ISNUMBER(SEARCH("سيم",G53)),ISNUMBER(SEARCH("سیم",G53)),ISNUMBER(SEARCH("اتصال",G53))),"سیم‌کشی/اتصالات (تعویض/بازبینی)",IF(OR(ISNUMBER(SEARCH("تصوير",G53)),ISNUMBER(SEARCH("تصویر",G53))),"برد نمایش تلویزیون (تعویض)",IF(OR(ISNUMBER(SEARCH("ريموت",G53)),ISNUMBER(SEARCH("ریموت",G53))),"ریموت کنترل (تعویض/تعمیر)",IF(OR(ISNUMBER(SEARCH("ال اي دي",G53)),ISNUMBER(SEARCH("ال ای دی",G53)),ISNUMBER(SEARCH("LED",G53))),"خرابی - لامپ/LED داخلی (تعویض)",IF(ISNUMBER(SEARCH("زنگ زدگ",G53)),"زنگ‌زدگی بدنه/قطعه (تعویض)",IF(OR(ISNUMBER(SEARCH("قطعات تزئين",G53)),ISNUMBER(SEARCH("قطعات تزئین",G53))),"قطعات تزئینی - شکستگی/کسری (تعویض)",IF(ISNUMBER(SEARCH("سبد",G53)),"سبد ظرفشویی - شکستگی (تعویض)",IF(ISNUMBER(SEARCH("تاب درام",G53)),"خرابی - تاب برداشتن درام (تعویض)",IF(ISNUMBER(SEARCH("درام",G53)),"خرابی - سایر ایراد درام (تعویض)",IF(ISNUMBER(SEARCH("موتور",G53)),"خرابی - موتور (تعویض)",IF(ISNUMBER(SEARCH("تسمه",G53)),"خرابی - تسمه (تعویض)",IF(OR(ISNUMBER(SEARCH("پيچ ولوم",G53)),ISNUMBER(SEARCH("پیچ ولوم",G53))),"تنظیم - پیچ ولوم/دکمه (تعمیر)",IF(OR(ISNUMBER(SEARCH("کسري قطعات",G53)),ISNUMBER(SEARCH("کسری قطعات",G53))),"کسری قطعات تزئینی (تعویض)",IF(ISNUMBER(SEARCH("پرچ",G53)),"پرچ/بدنه کابین(تعمیر)",IF(OR(ISNUMBER(SEARCH("نشت",G53)),ISNUMBER(SEARCH("آبريزش",G53)),ISNUMBER(SEARCH("آبریزش",G53))),"نشتی آب - محل نامشخص (نیازمند بازدید)",IF(ISNUMBER(SEARCH("درب",G53)),"سایر اجزای درب (بازبینی)",IF(ISNUMBER(SEARCH("ضربه",G53)),"بدنه/کابین - ضربه (بازبینی/تعویض پنل)",IF(ISNUMBER(SEARCH("تراز",G53)),"تراز/لرزش - نصب (رگلاژ پایه)",IF(OR(ISNUMBER(SEARCH("تعویض",G53)),ISNUMBER(SEARCH("تعويض",G53))),"تعویض کامل دستگاه (Replacement)","سایر (نیازمند بررسی دستی)")))))))))))))))))))))))))))))))))))))))))))</f>
        <v/>
      </c>
      <c r="P53" s="124" t="inlineStr">
        <is>
          <t>*</t>
        </is>
      </c>
      <c r="Q53" s="124">
        <f>IF(ISNUMBER(SEARCH("عهده شرکت",F53)),"شرکت",IF(ISNUMBER(SEARCH("عهده مشتري",F53)),"مشتری",IF(ISNUMBER(SEARCH("عهده مشتری",F53)),"مشتری","نامشخص")))</f>
        <v/>
      </c>
      <c r="R53" s="178">
        <f>IF(O53="تعویض کامل دستگاه (Replacement)",IF(SUMIF('قیمت‌ها و مفروضات'!$A$9:$A$13,C53,'قیمت‌ها و مفروضات'!$C$9:$C$13)&lt;&gt;0,SUMIF('قیمت‌ها و مفروضات'!$A$9:$A$13,C53,'قیمت‌ها و مفروضات'!$C$9:$C$13),SUMIF('قیمت‌ها و مفروضات'!$A$9:$A$13,C53,'قیمت‌ها و مفروضات'!$B$9:$B$13)),IF(SUMIF('قیمت‌ها و مفروضات'!$A$18:$A$63,O53,'قیمت‌ها و مفروضات'!$C$18:$C$63)&lt;&gt;0,SUMIF('قیمت‌ها و مفروضات'!$A$18:$A$63,O53,'قیمت‌ها و مفروضات'!$C$18:$C$63),SUMIF('قیمت‌ها و مفروضات'!$A$18:$A$63,O53,'قیمت‌ها و مفروضات'!$B$18:$B$63)))</f>
        <v/>
      </c>
      <c r="S53" s="178">
        <f>'قیمت‌ها و مفروضات'!$B$3+'قیمت‌ها و مفروضات'!$B$4</f>
        <v/>
      </c>
      <c r="T53" s="178">
        <f>R53+S53</f>
        <v/>
      </c>
      <c r="U53" s="178">
        <f>IF(COUNTIF($E$2:E53,E53)&gt;1,"بله (تکراری)","خیر")</f>
        <v/>
      </c>
      <c r="V53" s="178">
        <f>IF(U53="بله (تکراری)",S53,0)</f>
        <v/>
      </c>
      <c r="W53" s="208" t="inlineStr"/>
      <c r="X53" s="208" t="inlineStr"/>
    </row>
    <row r="54" ht="58.5" customHeight="1" s="151">
      <c r="A54" s="176" t="n">
        <v>510018453</v>
      </c>
      <c r="B54" s="124">
        <f>CHOOSE(_xlfn.NUMBERVALUE(MID(H54,6,2)),"فروردین","اردیبهشت","خرداد","تیر","مرداد","شهریور","مهر","آبان","آذر","دی","بهمن","اسفند")</f>
        <v/>
      </c>
      <c r="C54" s="176" t="inlineStr">
        <is>
          <t>ماشين ظرفشويي</t>
        </is>
      </c>
      <c r="D54" s="176" t="inlineStr">
        <is>
          <t>CDW-H16T</t>
        </is>
      </c>
      <c r="E54" s="176" t="inlineStr">
        <is>
          <t>52220004N01583</t>
        </is>
      </c>
      <c r="F54" s="173" t="inlineStr">
        <is>
          <t>تعويض لوگو**اياب و ذهاب به عهده شرکت</t>
        </is>
      </c>
      <c r="G54" s="173" t="inlineStr">
        <is>
          <t>کسري قطعات تزئيني داخل کابين - ظرفشويي</t>
        </is>
      </c>
      <c r="H54" s="176" t="inlineStr">
        <is>
          <t>1405/01/27</t>
        </is>
      </c>
      <c r="I54" s="124" t="inlineStr">
        <is>
          <t>1403/12/04</t>
        </is>
      </c>
      <c r="J54" s="171" t="inlineStr">
        <is>
          <t>1405/02/13</t>
        </is>
      </c>
      <c r="K54" s="177">
        <f>IFERROR(VLOOKUP(LEFT(H54,7),'تبدیل تاریخ'!$A$2:$B$73,2,FALSE())+VALUE(RIGHT(H54,2))-1,"")</f>
        <v/>
      </c>
      <c r="L54" s="177">
        <f>IFERROR(VLOOKUP(LEFT(I54,7),'تبدیل تاریخ'!$A$2:$B$73,2,FALSE())+VALUE(RIGHT(I54,2))-1,"")</f>
        <v/>
      </c>
      <c r="M54" s="177">
        <f>IF(J54="","",IFERROR(VLOOKUP(LEFT(J54,7),'تبدیل تاریخ'!$A$2:$B$73,2,FALSE())+VALUE(RIGHT(J54,2))-1,""))</f>
        <v/>
      </c>
      <c r="N54" s="124">
        <f>IF(OR(K54="",M54=""),"",CEILING((K54-M54)/30,1))</f>
        <v/>
      </c>
      <c r="O54" s="124">
        <f>IF(OR(ISNUMBER(SEARCH("بدون مورد",G54)),ISNUMBER(SEARCH("غير گارانتي",G54)),ISNUMBER(SEARCH("غیر گارانتی",G54)),ISNUMBER(SEARCH("بدون اجرت",G54)),ISNUMBER(SEARCH("فيلتر",G54)),ISNUMBER(SEARCH("فیلتر",G54))),"غیرگارانتی/بدون قطعه",IF(OR(ISNUMBER(SEARCH("ريست",G54)),ISNUMBER(SEARCH("ریست",G54))),"ریست نرم‌افزاری (بدون قطعه)",IF(OR(ISNUMBER(SEARCH("تعویض محصول",G54)),ISNUMBER(SEARCH("تعویض دستگاه",G54))),"تعویض کامل دستگاه (Replacement)",IF(ISNUMBER(SEARCH("پمپ",G54)),IF(ISNUMBER(SEARCH("نشت",G54)),"نشتی - پمپ تخلیه (تعمیر/آب‌بندی)","خرابی - پمپ تخلیه (تعویض)"),IF(ISNUMBER(SEARCH("کمپرسور",G54)),"خرابی - کمپرسور (تعویض)",IF(ISNUMBER(SEARCH("کمک فنر",G54)),"خرابی - کمک فنر (تعویض)",IF(ISNUMBER(SEARCH("لولا",G54)),"مکانیزم درب - لولا (تعویض)",IF(OR(ISNUMBER(SEARCH("قلاب",G54)),ISNUMBER(SEARCH("ميکروسوئيچ",G54)),ISNUMBER(SEARCH("میکروسوئیچ",G54))),"مکانیزم درب - میکروسوئیچ/قلاب (تعویض/تنظیم)",IF(ISNUMBER(SEARCH("زبانه",G54)),"مکانیزم درب - زبانه (تعویض)",IF(OR(ISNUMBER(SEARCH("شيلنگ",G54)),ISNUMBER(SEARCH("شیلنگ",G54))),IF(OR(ISNUMBER(SEARCH("نشتی",G54)),ISNUMBER(SEARCH("نشتي",G54))),"نشتی - شیلنگ (تعمیر/آب‌بندی)",IF(OR(ISNUMBER(SEARCH("يخ",G54)),ISNUMBER(SEARCH("یخ",G54))),"شیلنگ یخساز - یخ‌زدگی (بازبینی)","شیلنگ - برخورد/لهیدگی (بازبینی)")),IF(OR(ISNUMBER(SEARCH("تنظيم ديسپل",G54)),ISNUMBER(SEARCH("تنظیم دیسپل",G54)),ISNUMBER(SEARCH("تنظيم صفحه نمايش",G54)),ISNUMBER(SEARCH("تنظیم صفحه نمایش",G54))),"تنظیم - تنظیمات دستگاه/دیسپلی (تعمیر)",IF(OR(ISNUMBER(SEARCH("برد",G54)),ISNUMBER(SEARCH("سوکت",G54)),ISNUMBER(SEARCH("ديسپل",G54)),ISNUMBER(SEARCH("دیسپل",G54))),"خرابی - برد الکترونیک (تعویض)",IF(OR(ISNUMBER(SEARCH("يخساز",G54)),ISNUMBER(SEARCH("یخساز",G54)),ISNUMBER(SEARCH("دمپر",G54))),IF(OR(ISNUMBER(SEARCH("خرابی",G54)),ISNUMBER(SEARCH("خراب",G54)),ISNUMBER(SEARCH("عدم کارکرد",G54)),ISNUMBER(SEARCH("عدم عملکرد",G54))),"یخساز - خرابی موتور/سنسور/برد (تعویض)","یخساز - تنظیم/عایق (تعمیر)"),IF(OR(ISNUMBER(SEARCH("لاستيک",G54)),ISNUMBER(SEARCH("لاستیک",G54))),"لاستیک درزگیر - دفرمگی/پارگی (تعویض)",IF(OR(ISNUMBER(SEARCH("گسکت",G54)),ISNUMBER(SEARCH("گسگت",G54))),"لاستیک درزگیر - دفرمگی/پارگی (تعویض)",IF(ISNUMBER(SEARCH("مخزن نمک",G54)),"نشتی - درب مخزن نمک (تعمیر/آب‌بندی)",IF(ISNUMBER(SEARCH("براکت",G54)),"نشتی - براکت ریل (تعمیر/آب‌بندی)",IF(ISNUMBER(SEARCH("جاپودر",G54)),"نشتی - جاپودری (تعمیر/آب‌بندی)",IF(ISNUMBER(SEARCH("مقسم",G54)),"نشتی - مقسم آب (تعمیر/آب‌بندی)",IF(OR(ISNUMBER(SEARCH("سنسور دما",G54)),ISNUMBER(SEARCH("ترموستات",G54))),"خرابی - ترموستات (تعویض)",IF(OR(ISNUMBER(SEARCH("هيدروستات",G54)),ISNUMBER(SEARCH("هیدروستات",G54))),"خرابی - هیدروستات (تعویض)",IF(OR(ISNUMBER(SEARCH("بلبرينگ",G54)),ISNUMBER(SEARCH("بلبرینگ",G54))),"خرابی - بلبرینگ (تعویض)",IF(OR(ISNUMBER(SEARCH("شيربرق",G54)),ISNUMBER(SEARCH("شیربرق",G54))),"خرابی - شیربرقی (تعویض)",IF(OR(ISNUMBER(SEARCH("واتر جت",G54)),ISNUMBER(SEARCH("واترجت",G54))),"خرابی - واترجت (تعویض)",IF(OR(ISNUMBER(SEARCH("سيم",G54)),ISNUMBER(SEARCH("سیم",G54)),ISNUMBER(SEARCH("اتصال",G54))),"سیم‌کشی/اتصالات (تعویض/بازبینی)",IF(OR(ISNUMBER(SEARCH("تصوير",G54)),ISNUMBER(SEARCH("تصویر",G54))),"برد نمایش تلویزیون (تعویض)",IF(OR(ISNUMBER(SEARCH("ريموت",G54)),ISNUMBER(SEARCH("ریموت",G54))),"ریموت کنترل (تعویض/تعمیر)",IF(OR(ISNUMBER(SEARCH("ال اي دي",G54)),ISNUMBER(SEARCH("ال ای دی",G54)),ISNUMBER(SEARCH("LED",G54))),"خرابی - لامپ/LED داخلی (تعویض)",IF(ISNUMBER(SEARCH("زنگ زدگ",G54)),"زنگ‌زدگی بدنه/قطعه (تعویض)",IF(OR(ISNUMBER(SEARCH("قطعات تزئين",G54)),ISNUMBER(SEARCH("قطعات تزئین",G54))),"قطعات تزئینی - شکستگی/کسری (تعویض)",IF(ISNUMBER(SEARCH("سبد",G54)),"سبد ظرفشویی - شکستگی (تعویض)",IF(ISNUMBER(SEARCH("تاب درام",G54)),"خرابی - تاب برداشتن درام (تعویض)",IF(ISNUMBER(SEARCH("درام",G54)),"خرابی - سایر ایراد درام (تعویض)",IF(ISNUMBER(SEARCH("موتور",G54)),"خرابی - موتور (تعویض)",IF(ISNUMBER(SEARCH("تسمه",G54)),"خرابی - تسمه (تعویض)",IF(OR(ISNUMBER(SEARCH("پيچ ولوم",G54)),ISNUMBER(SEARCH("پیچ ولوم",G54))),"تنظیم - پیچ ولوم/دکمه (تعمیر)",IF(OR(ISNUMBER(SEARCH("کسري قطعات",G54)),ISNUMBER(SEARCH("کسری قطعات",G54))),"کسری قطعات تزئینی (تعویض)",IF(ISNUMBER(SEARCH("پرچ",G54)),"پرچ/بدنه کابین(تعمیر)",IF(OR(ISNUMBER(SEARCH("نشت",G54)),ISNUMBER(SEARCH("آبريزش",G54)),ISNUMBER(SEARCH("آبریزش",G54))),"نشتی آب - محل نامشخص (نیازمند بازدید)",IF(ISNUMBER(SEARCH("درب",G54)),"سایر اجزای درب (بازبینی)",IF(ISNUMBER(SEARCH("ضربه",G54)),"بدنه/کابین - ضربه (بازبینی/تعویض پنل)",IF(ISNUMBER(SEARCH("تراز",G54)),"تراز/لرزش - نصب (رگلاژ پایه)",IF(OR(ISNUMBER(SEARCH("تعویض",G54)),ISNUMBER(SEARCH("تعويض",G54))),"تعویض کامل دستگاه (Replacement)","سایر (نیازمند بررسی دستی)")))))))))))))))))))))))))))))))))))))))))))</f>
        <v/>
      </c>
      <c r="P54" s="124" t="inlineStr">
        <is>
          <t>*</t>
        </is>
      </c>
      <c r="Q54" s="124">
        <f>IF(ISNUMBER(SEARCH("عهده شرکت",F54)),"شرکت",IF(ISNUMBER(SEARCH("عهده مشتري",F54)),"مشتری",IF(ISNUMBER(SEARCH("عهده مشتری",F54)),"مشتری","نامشخص")))</f>
        <v/>
      </c>
      <c r="R54" s="178">
        <f>IF(O54="تعویض کامل دستگاه (Replacement)",IF(SUMIF('قیمت‌ها و مفروضات'!$A$9:$A$13,C54,'قیمت‌ها و مفروضات'!$C$9:$C$13)&lt;&gt;0,SUMIF('قیمت‌ها و مفروضات'!$A$9:$A$13,C54,'قیمت‌ها و مفروضات'!$C$9:$C$13),SUMIF('قیمت‌ها و مفروضات'!$A$9:$A$13,C54,'قیمت‌ها و مفروضات'!$B$9:$B$13)),IF(SUMIF('قیمت‌ها و مفروضات'!$A$18:$A$63,O54,'قیمت‌ها و مفروضات'!$C$18:$C$63)&lt;&gt;0,SUMIF('قیمت‌ها و مفروضات'!$A$18:$A$63,O54,'قیمت‌ها و مفروضات'!$C$18:$C$63),SUMIF('قیمت‌ها و مفروضات'!$A$18:$A$63,O54,'قیمت‌ها و مفروضات'!$B$18:$B$63)))</f>
        <v/>
      </c>
      <c r="S54" s="178">
        <f>'قیمت‌ها و مفروضات'!$B$3+'قیمت‌ها و مفروضات'!$B$4</f>
        <v/>
      </c>
      <c r="T54" s="178">
        <f>R54+S54</f>
        <v/>
      </c>
      <c r="U54" s="178">
        <f>IF(COUNTIF($E$2:E54,E54)&gt;1,"بله (تکراری)","خیر")</f>
        <v/>
      </c>
      <c r="V54" s="178">
        <f>IF(U54="بله (تکراری)",S54,0)</f>
        <v/>
      </c>
      <c r="W54" s="208" t="inlineStr"/>
      <c r="X54" s="208" t="inlineStr"/>
    </row>
    <row r="55" ht="58.5" customHeight="1" s="151">
      <c r="A55" s="176" t="n">
        <v>710002117</v>
      </c>
      <c r="B55" s="124">
        <f>CHOOSE(_xlfn.NUMBERVALUE(MID(H55,6,2)),"فروردین","اردیبهشت","خرداد","تیر","مرداد","شهریور","مهر","آبان","آذر","دی","بهمن","اسفند")</f>
        <v/>
      </c>
      <c r="C55" s="176" t="inlineStr">
        <is>
          <t>ماشين ظرفشويي</t>
        </is>
      </c>
      <c r="D55" s="176" t="inlineStr">
        <is>
          <t>CDW-H13V</t>
        </is>
      </c>
      <c r="E55" s="176" t="inlineStr">
        <is>
          <t>210140001N00091</t>
        </is>
      </c>
      <c r="F55" s="173" t="inlineStr">
        <is>
          <t>خطاي F54 اياب و ذهاب به عهده مشتري</t>
        </is>
      </c>
      <c r="G55" s="173" t="inlineStr">
        <is>
          <t>نشتي از جا قرصي</t>
        </is>
      </c>
      <c r="H55" s="176" t="inlineStr">
        <is>
          <t>1405/01/16</t>
        </is>
      </c>
      <c r="I55" s="124" t="inlineStr">
        <is>
          <t>1402/10/21</t>
        </is>
      </c>
      <c r="J55" s="179" t="inlineStr">
        <is>
          <t>1403/02/04</t>
        </is>
      </c>
      <c r="K55" s="177">
        <f>IFERROR(VLOOKUP(LEFT(H55,7),'تبدیل تاریخ'!$A$2:$B$73,2,FALSE())+VALUE(RIGHT(H55,2))-1,"")</f>
        <v/>
      </c>
      <c r="L55" s="177">
        <f>IFERROR(VLOOKUP(LEFT(I55,7),'تبدیل تاریخ'!$A$2:$B$73,2,FALSE())+VALUE(RIGHT(I55,2))-1,"")</f>
        <v/>
      </c>
      <c r="M55" s="177">
        <f>IF(J55="","",IFERROR(VLOOKUP(LEFT(J55,7),'تبدیل تاریخ'!$A$2:$B$73,2,FALSE())+VALUE(RIGHT(J55,2))-1,""))</f>
        <v/>
      </c>
      <c r="N55" s="124">
        <f>IF(OR(K55="",M55=""),"",CEILING((K55-M55)/30,1))</f>
        <v/>
      </c>
      <c r="O55" s="124">
        <f>IF(OR(ISNUMBER(SEARCH("بدون مورد",G55)),ISNUMBER(SEARCH("غير گارانتي",G55)),ISNUMBER(SEARCH("غیر گارانتی",G55)),ISNUMBER(SEARCH("بدون اجرت",G55)),ISNUMBER(SEARCH("فيلتر",G55)),ISNUMBER(SEARCH("فیلتر",G55))),"غیرگارانتی/بدون قطعه",IF(OR(ISNUMBER(SEARCH("ريست",G55)),ISNUMBER(SEARCH("ریست",G55))),"ریست نرم‌افزاری (بدون قطعه)",IF(OR(ISNUMBER(SEARCH("تعویض محصول",G55)),ISNUMBER(SEARCH("تعویض دستگاه",G55))),"تعویض کامل دستگاه (Replacement)",IF(ISNUMBER(SEARCH("پمپ",G55)),IF(ISNUMBER(SEARCH("نشت",G55)),"نشتی - پمپ تخلیه (تعمیر/آب‌بندی)","خرابی - پمپ تخلیه (تعویض)"),IF(ISNUMBER(SEARCH("کمپرسور",G55)),"خرابی - کمپرسور (تعویض)",IF(ISNUMBER(SEARCH("کمک فنر",G55)),"خرابی - کمک فنر (تعویض)",IF(ISNUMBER(SEARCH("لولا",G55)),"مکانیزم درب - لولا (تعویض)",IF(OR(ISNUMBER(SEARCH("قلاب",G55)),ISNUMBER(SEARCH("ميکروسوئيچ",G55)),ISNUMBER(SEARCH("میکروسوئیچ",G55))),"مکانیزم درب - میکروسوئیچ/قلاب (تعویض/تنظیم)",IF(ISNUMBER(SEARCH("زبانه",G55)),"مکانیزم درب - زبانه (تعویض)",IF(OR(ISNUMBER(SEARCH("شيلنگ",G55)),ISNUMBER(SEARCH("شیلنگ",G55))),IF(OR(ISNUMBER(SEARCH("نشتی",G55)),ISNUMBER(SEARCH("نشتي",G55))),"نشتی - شیلنگ (تعمیر/آب‌بندی)",IF(OR(ISNUMBER(SEARCH("يخ",G55)),ISNUMBER(SEARCH("یخ",G55))),"شیلنگ یخساز - یخ‌زدگی (بازبینی)","شیلنگ - برخورد/لهیدگی (بازبینی)")),IF(OR(ISNUMBER(SEARCH("تنظيم ديسپل",G55)),ISNUMBER(SEARCH("تنظیم دیسپل",G55)),ISNUMBER(SEARCH("تنظيم صفحه نمايش",G55)),ISNUMBER(SEARCH("تنظیم صفحه نمایش",G55))),"تنظیم - تنظیمات دستگاه/دیسپلی (تعمیر)",IF(OR(ISNUMBER(SEARCH("برد",G55)),ISNUMBER(SEARCH("سوکت",G55)),ISNUMBER(SEARCH("ديسپل",G55)),ISNUMBER(SEARCH("دیسپل",G55))),"خرابی - برد الکترونیک (تعویض)",IF(OR(ISNUMBER(SEARCH("يخساز",G55)),ISNUMBER(SEARCH("یخساز",G55)),ISNUMBER(SEARCH("دمپر",G55))),IF(OR(ISNUMBER(SEARCH("خرابی",G55)),ISNUMBER(SEARCH("خراب",G55)),ISNUMBER(SEARCH("عدم کارکرد",G55)),ISNUMBER(SEARCH("عدم عملکرد",G55))),"یخساز - خرابی موتور/سنسور/برد (تعویض)","یخساز - تنظیم/عایق (تعمیر)"),IF(OR(ISNUMBER(SEARCH("لاستيک",G55)),ISNUMBER(SEARCH("لاستیک",G55))),"لاستیک درزگیر - دفرمگی/پارگی (تعویض)",IF(OR(ISNUMBER(SEARCH("گسکت",G55)),ISNUMBER(SEARCH("گسگت",G55))),"لاستیک درزگیر - دفرمگی/پارگی (تعویض)",IF(ISNUMBER(SEARCH("مخزن نمک",G55)),"نشتی - درب مخزن نمک (تعمیر/آب‌بندی)",IF(ISNUMBER(SEARCH("براکت",G55)),"نشتی - براکت ریل (تعمیر/آب‌بندی)",IF(ISNUMBER(SEARCH("جاپودر",G55)),"نشتی - جاپودری (تعمیر/آب‌بندی)",IF(ISNUMBER(SEARCH("مقسم",G55)),"نشتی - مقسم آب (تعمیر/آب‌بندی)",IF(OR(ISNUMBER(SEARCH("سنسور دما",G55)),ISNUMBER(SEARCH("ترموستات",G55))),"خرابی - ترموستات (تعویض)",IF(OR(ISNUMBER(SEARCH("هيدروستات",G55)),ISNUMBER(SEARCH("هیدروستات",G55))),"خرابی - هیدروستات (تعویض)",IF(OR(ISNUMBER(SEARCH("بلبرينگ",G55)),ISNUMBER(SEARCH("بلبرینگ",G55))),"خرابی - بلبرینگ (تعویض)",IF(OR(ISNUMBER(SEARCH("شيربرق",G55)),ISNUMBER(SEARCH("شیربرق",G55))),"خرابی - شیربرقی (تعویض)",IF(OR(ISNUMBER(SEARCH("واتر جت",G55)),ISNUMBER(SEARCH("واترجت",G55))),"خرابی - واترجت (تعویض)",IF(OR(ISNUMBER(SEARCH("سيم",G55)),ISNUMBER(SEARCH("سیم",G55)),ISNUMBER(SEARCH("اتصال",G55))),"سیم‌کشی/اتصالات (تعویض/بازبینی)",IF(OR(ISNUMBER(SEARCH("تصوير",G55)),ISNUMBER(SEARCH("تصویر",G55))),"برد نمایش تلویزیون (تعویض)",IF(OR(ISNUMBER(SEARCH("ريموت",G55)),ISNUMBER(SEARCH("ریموت",G55))),"ریموت کنترل (تعویض/تعمیر)",IF(OR(ISNUMBER(SEARCH("ال اي دي",G55)),ISNUMBER(SEARCH("ال ای دی",G55)),ISNUMBER(SEARCH("LED",G55))),"خرابی - لامپ/LED داخلی (تعویض)",IF(ISNUMBER(SEARCH("زنگ زدگ",G55)),"زنگ‌زدگی بدنه/قطعه (تعویض)",IF(OR(ISNUMBER(SEARCH("قطعات تزئين",G55)),ISNUMBER(SEARCH("قطعات تزئین",G55))),"قطعات تزئینی - شکستگی/کسری (تعویض)",IF(ISNUMBER(SEARCH("سبد",G55)),"سبد ظرفشویی - شکستگی (تعویض)",IF(ISNUMBER(SEARCH("تاب درام",G55)),"خرابی - تاب برداشتن درام (تعویض)",IF(ISNUMBER(SEARCH("درام",G55)),"خرابی - سایر ایراد درام (تعویض)",IF(ISNUMBER(SEARCH("موتور",G55)),"خرابی - موتور (تعویض)",IF(ISNUMBER(SEARCH("تسمه",G55)),"خرابی - تسمه (تعویض)",IF(OR(ISNUMBER(SEARCH("پيچ ولوم",G55)),ISNUMBER(SEARCH("پیچ ولوم",G55))),"تنظیم - پیچ ولوم/دکمه (تعمیر)",IF(OR(ISNUMBER(SEARCH("کسري قطعات",G55)),ISNUMBER(SEARCH("کسری قطعات",G55))),"کسری قطعات تزئینی (تعویض)",IF(ISNUMBER(SEARCH("پرچ",G55)),"پرچ/بدنه کابین(تعمیر)",IF(OR(ISNUMBER(SEARCH("نشت",G55)),ISNUMBER(SEARCH("آبريزش",G55)),ISNUMBER(SEARCH("آبریزش",G55))),"نشتی آب - محل نامشخص (نیازمند بازدید)",IF(ISNUMBER(SEARCH("درب",G55)),"سایر اجزای درب (بازبینی)",IF(ISNUMBER(SEARCH("ضربه",G55)),"بدنه/کابین - ضربه (بازبینی/تعویض پنل)",IF(ISNUMBER(SEARCH("تراز",G55)),"تراز/لرزش - نصب (رگلاژ پایه)",IF(OR(ISNUMBER(SEARCH("تعویض",G55)),ISNUMBER(SEARCH("تعويض",G55))),"تعویض کامل دستگاه (Replacement)","سایر (نیازمند بررسی دستی)")))))))))))))))))))))))))))))))))))))))))))</f>
        <v/>
      </c>
      <c r="P55" s="124" t="inlineStr">
        <is>
          <t>*</t>
        </is>
      </c>
      <c r="Q55" s="124">
        <f>IF(ISNUMBER(SEARCH("عهده شرکت",F55)),"شرکت",IF(ISNUMBER(SEARCH("عهده مشتري",F55)),"مشتری",IF(ISNUMBER(SEARCH("عهده مشتری",F55)),"مشتری","نامشخص")))</f>
        <v/>
      </c>
      <c r="R55" s="178">
        <f>IF(O55="تعویض کامل دستگاه (Replacement)",IF(SUMIF('قیمت‌ها و مفروضات'!$A$9:$A$13,C55,'قیمت‌ها و مفروضات'!$C$9:$C$13)&lt;&gt;0,SUMIF('قیمت‌ها و مفروضات'!$A$9:$A$13,C55,'قیمت‌ها و مفروضات'!$C$9:$C$13),SUMIF('قیمت‌ها و مفروضات'!$A$9:$A$13,C55,'قیمت‌ها و مفروضات'!$B$9:$B$13)),IF(SUMIF('قیمت‌ها و مفروضات'!$A$18:$A$63,O55,'قیمت‌ها و مفروضات'!$C$18:$C$63)&lt;&gt;0,SUMIF('قیمت‌ها و مفروضات'!$A$18:$A$63,O55,'قیمت‌ها و مفروضات'!$C$18:$C$63),SUMIF('قیمت‌ها و مفروضات'!$A$18:$A$63,O55,'قیمت‌ها و مفروضات'!$B$18:$B$63)))</f>
        <v/>
      </c>
      <c r="S55" s="178">
        <f>'قیمت‌ها و مفروضات'!$B$3+'قیمت‌ها و مفروضات'!$B$4</f>
        <v/>
      </c>
      <c r="T55" s="178">
        <f>R55+S55</f>
        <v/>
      </c>
      <c r="U55" s="178">
        <f>IF(COUNTIF($E$2:E55,E55)&gt;1,"بله (تکراری)","خیر")</f>
        <v/>
      </c>
      <c r="V55" s="178">
        <f>IF(U55="بله (تکراری)",S55,0)</f>
        <v/>
      </c>
      <c r="W55" s="208" t="inlineStr"/>
      <c r="X55" s="208" t="inlineStr"/>
    </row>
    <row r="56" ht="58.5" customHeight="1" s="151">
      <c r="A56" s="176" t="n">
        <v>810003215</v>
      </c>
      <c r="B56" s="124">
        <f>CHOOSE(_xlfn.NUMBERVALUE(MID(H56,6,2)),"فروردین","اردیبهشت","خرداد","تیر","مرداد","شهریور","مهر","آبان","آذر","دی","بهمن","اسفند")</f>
        <v/>
      </c>
      <c r="C56" s="176" t="inlineStr">
        <is>
          <t>ماشين ظرفشويي</t>
        </is>
      </c>
      <c r="D56" s="176" t="inlineStr">
        <is>
          <t>CDW-H16T</t>
        </is>
      </c>
      <c r="E56" s="176" t="inlineStr">
        <is>
          <t>52220005N04785</t>
        </is>
      </c>
      <c r="F56" s="173" t="inlineStr">
        <is>
          <t>خطاي F11**اياب و ذهاب به عهده مشتري</t>
        </is>
      </c>
      <c r="G56" s="173" t="inlineStr">
        <is>
          <t xml:space="preserve">گرفتگی پمپ تخلیه - غیر گارانتی </t>
        </is>
      </c>
      <c r="H56" s="176" t="inlineStr">
        <is>
          <t>1405/01/16</t>
        </is>
      </c>
      <c r="I56" s="124" t="inlineStr">
        <is>
          <t>1404/08/22</t>
        </is>
      </c>
      <c r="J56" s="179" t="inlineStr">
        <is>
          <t>1404/03/07</t>
        </is>
      </c>
      <c r="K56" s="177">
        <f>IFERROR(VLOOKUP(LEFT(H56,7),'تبدیل تاریخ'!$A$2:$B$73,2,FALSE())+VALUE(RIGHT(H56,2))-1,"")</f>
        <v/>
      </c>
      <c r="L56" s="177">
        <f>IFERROR(VLOOKUP(LEFT(I56,7),'تبدیل تاریخ'!$A$2:$B$73,2,FALSE())+VALUE(RIGHT(I56,2))-1,"")</f>
        <v/>
      </c>
      <c r="M56" s="177">
        <f>IF(J56="","",IFERROR(VLOOKUP(LEFT(J56,7),'تبدیل تاریخ'!$A$2:$B$73,2,FALSE())+VALUE(RIGHT(J56,2))-1,""))</f>
        <v/>
      </c>
      <c r="N56" s="124">
        <f>IF(OR(K56="",M56=""),"",CEILING((K56-M56)/30,1))</f>
        <v/>
      </c>
      <c r="O56" s="124">
        <f>IF(OR(ISNUMBER(SEARCH("بدون مورد",G56)),ISNUMBER(SEARCH("غير گارانتي",G56)),ISNUMBER(SEARCH("غیر گارانتی",G56)),ISNUMBER(SEARCH("بدون اجرت",G56)),ISNUMBER(SEARCH("فيلتر",G56)),ISNUMBER(SEARCH("فیلتر",G56))),"غیرگارانتی/بدون قطعه",IF(OR(ISNUMBER(SEARCH("ريست",G56)),ISNUMBER(SEARCH("ریست",G56))),"ریست نرم‌افزاری (بدون قطعه)",IF(OR(ISNUMBER(SEARCH("تعویض محصول",G56)),ISNUMBER(SEARCH("تعویض دستگاه",G56))),"تعویض کامل دستگاه (Replacement)",IF(ISNUMBER(SEARCH("پمپ",G56)),IF(ISNUMBER(SEARCH("نشت",G56)),"نشتی - پمپ تخلیه (تعمیر/آب‌بندی)","خرابی - پمپ تخلیه (تعویض)"),IF(ISNUMBER(SEARCH("کمپرسور",G56)),"خرابی - کمپرسور (تعویض)",IF(ISNUMBER(SEARCH("کمک فنر",G56)),"خرابی - کمک فنر (تعویض)",IF(ISNUMBER(SEARCH("لولا",G56)),"مکانیزم درب - لولا (تعویض)",IF(OR(ISNUMBER(SEARCH("قلاب",G56)),ISNUMBER(SEARCH("ميکروسوئيچ",G56)),ISNUMBER(SEARCH("میکروسوئیچ",G56))),"مکانیزم درب - میکروسوئیچ/قلاب (تعویض/تنظیم)",IF(ISNUMBER(SEARCH("زبانه",G56)),"مکانیزم درب - زبانه (تعویض)",IF(OR(ISNUMBER(SEARCH("شيلنگ",G56)),ISNUMBER(SEARCH("شیلنگ",G56))),IF(OR(ISNUMBER(SEARCH("نشتی",G56)),ISNUMBER(SEARCH("نشتي",G56))),"نشتی - شیلنگ (تعمیر/آب‌بندی)",IF(OR(ISNUMBER(SEARCH("يخ",G56)),ISNUMBER(SEARCH("یخ",G56))),"شیلنگ یخساز - یخ‌زدگی (بازبینی)","شیلنگ - برخورد/لهیدگی (بازبینی)")),IF(OR(ISNUMBER(SEARCH("تنظيم ديسپل",G56)),ISNUMBER(SEARCH("تنظیم دیسپل",G56)),ISNUMBER(SEARCH("تنظيم صفحه نمايش",G56)),ISNUMBER(SEARCH("تنظیم صفحه نمایش",G56))),"تنظیم - تنظیمات دستگاه/دیسپلی (تعمیر)",IF(OR(ISNUMBER(SEARCH("برد",G56)),ISNUMBER(SEARCH("سوکت",G56)),ISNUMBER(SEARCH("ديسپل",G56)),ISNUMBER(SEARCH("دیسپل",G56))),"خرابی - برد الکترونیک (تعویض)",IF(OR(ISNUMBER(SEARCH("يخساز",G56)),ISNUMBER(SEARCH("یخساز",G56)),ISNUMBER(SEARCH("دمپر",G56))),IF(OR(ISNUMBER(SEARCH("خرابی",G56)),ISNUMBER(SEARCH("خراب",G56)),ISNUMBER(SEARCH("عدم کارکرد",G56)),ISNUMBER(SEARCH("عدم عملکرد",G56))),"یخساز - خرابی موتور/سنسور/برد (تعویض)","یخساز - تنظیم/عایق (تعمیر)"),IF(OR(ISNUMBER(SEARCH("لاستيک",G56)),ISNUMBER(SEARCH("لاستیک",G56))),"لاستیک درزگیر - دفرمگی/پارگی (تعویض)",IF(OR(ISNUMBER(SEARCH("گسکت",G56)),ISNUMBER(SEARCH("گسگت",G56))),"لاستیک درزگیر - دفرمگی/پارگی (تعویض)",IF(ISNUMBER(SEARCH("مخزن نمک",G56)),"نشتی - درب مخزن نمک (تعمیر/آب‌بندی)",IF(ISNUMBER(SEARCH("براکت",G56)),"نشتی - براکت ریل (تعمیر/آب‌بندی)",IF(ISNUMBER(SEARCH("جاپودر",G56)),"نشتی - جاپودری (تعمیر/آب‌بندی)",IF(ISNUMBER(SEARCH("مقسم",G56)),"نشتی - مقسم آب (تعمیر/آب‌بندی)",IF(OR(ISNUMBER(SEARCH("سنسور دما",G56)),ISNUMBER(SEARCH("ترموستات",G56))),"خرابی - ترموستات (تعویض)",IF(OR(ISNUMBER(SEARCH("هيدروستات",G56)),ISNUMBER(SEARCH("هیدروستات",G56))),"خرابی - هیدروستات (تعویض)",IF(OR(ISNUMBER(SEARCH("بلبرينگ",G56)),ISNUMBER(SEARCH("بلبرینگ",G56))),"خرابی - بلبرینگ (تعویض)",IF(OR(ISNUMBER(SEARCH("شيربرق",G56)),ISNUMBER(SEARCH("شیربرق",G56))),"خرابی - شیربرقی (تعویض)",IF(OR(ISNUMBER(SEARCH("واتر جت",G56)),ISNUMBER(SEARCH("واترجت",G56))),"خرابی - واترجت (تعویض)",IF(OR(ISNUMBER(SEARCH("سيم",G56)),ISNUMBER(SEARCH("سیم",G56)),ISNUMBER(SEARCH("اتصال",G56))),"سیم‌کشی/اتصالات (تعویض/بازبینی)",IF(OR(ISNUMBER(SEARCH("تصوير",G56)),ISNUMBER(SEARCH("تصویر",G56))),"برد نمایش تلویزیون (تعویض)",IF(OR(ISNUMBER(SEARCH("ريموت",G56)),ISNUMBER(SEARCH("ریموت",G56))),"ریموت کنترل (تعویض/تعمیر)",IF(OR(ISNUMBER(SEARCH("ال اي دي",G56)),ISNUMBER(SEARCH("ال ای دی",G56)),ISNUMBER(SEARCH("LED",G56))),"خرابی - لامپ/LED داخلی (تعویض)",IF(ISNUMBER(SEARCH("زنگ زدگ",G56)),"زنگ‌زدگی بدنه/قطعه (تعویض)",IF(OR(ISNUMBER(SEARCH("قطعات تزئين",G56)),ISNUMBER(SEARCH("قطعات تزئین",G56))),"قطعات تزئینی - شکستگی/کسری (تعویض)",IF(ISNUMBER(SEARCH("سبد",G56)),"سبد ظرفشویی - شکستگی (تعویض)",IF(ISNUMBER(SEARCH("تاب درام",G56)),"خرابی - تاب برداشتن درام (تعویض)",IF(ISNUMBER(SEARCH("درام",G56)),"خرابی - سایر ایراد درام (تعویض)",IF(ISNUMBER(SEARCH("موتور",G56)),"خرابی - موتور (تعویض)",IF(ISNUMBER(SEARCH("تسمه",G56)),"خرابی - تسمه (تعویض)",IF(OR(ISNUMBER(SEARCH("پيچ ولوم",G56)),ISNUMBER(SEARCH("پیچ ولوم",G56))),"تنظیم - پیچ ولوم/دکمه (تعمیر)",IF(OR(ISNUMBER(SEARCH("کسري قطعات",G56)),ISNUMBER(SEARCH("کسری قطعات",G56))),"کسری قطعات تزئینی (تعویض)",IF(ISNUMBER(SEARCH("پرچ",G56)),"پرچ/بدنه کابین(تعمیر)",IF(OR(ISNUMBER(SEARCH("نشت",G56)),ISNUMBER(SEARCH("آبريزش",G56)),ISNUMBER(SEARCH("آبریزش",G56))),"نشتی آب - محل نامشخص (نیازمند بازدید)",IF(ISNUMBER(SEARCH("درب",G56)),"سایر اجزای درب (بازبینی)",IF(ISNUMBER(SEARCH("ضربه",G56)),"بدنه/کابین - ضربه (بازبینی/تعویض پنل)",IF(ISNUMBER(SEARCH("تراز",G56)),"تراز/لرزش - نصب (رگلاژ پایه)",IF(OR(ISNUMBER(SEARCH("تعویض",G56)),ISNUMBER(SEARCH("تعويض",G56))),"تعویض کامل دستگاه (Replacement)","سایر (نیازمند بررسی دستی)")))))))))))))))))))))))))))))))))))))))))))</f>
        <v/>
      </c>
      <c r="P56" s="124" t="inlineStr">
        <is>
          <t>*</t>
        </is>
      </c>
      <c r="Q56" s="124">
        <f>IF(ISNUMBER(SEARCH("عهده شرکت",F56)),"شرکت",IF(ISNUMBER(SEARCH("عهده مشتري",F56)),"مشتری",IF(ISNUMBER(SEARCH("عهده مشتری",F56)),"مشتری","نامشخص")))</f>
        <v/>
      </c>
      <c r="R56" s="178">
        <f>IF(O56="تعویض کامل دستگاه (Replacement)",IF(SUMIF('قیمت‌ها و مفروضات'!$A$9:$A$13,C56,'قیمت‌ها و مفروضات'!$C$9:$C$13)&lt;&gt;0,SUMIF('قیمت‌ها و مفروضات'!$A$9:$A$13,C56,'قیمت‌ها و مفروضات'!$C$9:$C$13),SUMIF('قیمت‌ها و مفروضات'!$A$9:$A$13,C56,'قیمت‌ها و مفروضات'!$B$9:$B$13)),IF(SUMIF('قیمت‌ها و مفروضات'!$A$18:$A$63,O56,'قیمت‌ها و مفروضات'!$C$18:$C$63)&lt;&gt;0,SUMIF('قیمت‌ها و مفروضات'!$A$18:$A$63,O56,'قیمت‌ها و مفروضات'!$C$18:$C$63),SUMIF('قیمت‌ها و مفروضات'!$A$18:$A$63,O56,'قیمت‌ها و مفروضات'!$B$18:$B$63)))</f>
        <v/>
      </c>
      <c r="S56" s="178">
        <f>'قیمت‌ها و مفروضات'!$B$3+'قیمت‌ها و مفروضات'!$B$4</f>
        <v/>
      </c>
      <c r="T56" s="178">
        <f>R56+S56</f>
        <v/>
      </c>
      <c r="U56" s="178">
        <f>IF(COUNTIF($E$2:E56,E56)&gt;1,"بله (تکراری)","خیر")</f>
        <v/>
      </c>
      <c r="V56" s="178">
        <f>IF(U56="بله (تکراری)",S56,0)</f>
        <v/>
      </c>
      <c r="W56" s="208" t="inlineStr"/>
      <c r="X56" s="208" t="inlineStr"/>
    </row>
    <row r="57" ht="58.5" customHeight="1" s="151">
      <c r="A57" s="176" t="n">
        <v>130006543</v>
      </c>
      <c r="B57" s="124">
        <f>CHOOSE(_xlfn.NUMBERVALUE(MID(H57,6,2)),"فروردین","اردیبهشت","خرداد","تیر","مرداد","شهریور","مهر","آبان","آذر","دی","بهمن","اسفند")</f>
        <v/>
      </c>
      <c r="C57" s="176" t="inlineStr">
        <is>
          <t>ماشين ظرفشويي</t>
        </is>
      </c>
      <c r="D57" s="176" t="inlineStr">
        <is>
          <t>CDW-H15V</t>
        </is>
      </c>
      <c r="E57" s="176" t="inlineStr">
        <is>
          <t>52220002N02241</t>
        </is>
      </c>
      <c r="F57" s="173" t="inlineStr">
        <is>
          <t>خطاي F54 ** اياب و ذهاب به عهده شرکت</t>
        </is>
      </c>
      <c r="G57" s="173" t="inlineStr">
        <is>
          <t>نشتي اورينگ مخزن نمک</t>
        </is>
      </c>
      <c r="H57" s="176" t="inlineStr">
        <is>
          <t>1405/01/16</t>
        </is>
      </c>
      <c r="I57" s="124" t="inlineStr">
        <is>
          <t>1404/04/09</t>
        </is>
      </c>
      <c r="J57" s="124" t="inlineStr">
        <is>
          <t>1404/04/09</t>
        </is>
      </c>
      <c r="K57" s="177">
        <f>IFERROR(VLOOKUP(LEFT(H57,7),'تبدیل تاریخ'!$A$2:$B$73,2,FALSE())+VALUE(RIGHT(H57,2))-1,"")</f>
        <v/>
      </c>
      <c r="L57" s="177">
        <f>IFERROR(VLOOKUP(LEFT(I57,7),'تبدیل تاریخ'!$A$2:$B$73,2,FALSE())+VALUE(RIGHT(I57,2))-1,"")</f>
        <v/>
      </c>
      <c r="M57" s="177">
        <f>IF(J57="","",IFERROR(VLOOKUP(LEFT(J57,7),'تبدیل تاریخ'!$A$2:$B$73,2,FALSE())+VALUE(RIGHT(J57,2))-1,""))</f>
        <v/>
      </c>
      <c r="N57" s="124">
        <f>IF(OR(K57="",M57=""),"",CEILING((K57-M57)/30,1))</f>
        <v/>
      </c>
      <c r="O57" s="124">
        <f>IF(OR(ISNUMBER(SEARCH("بدون مورد",G57)),ISNUMBER(SEARCH("غير گارانتي",G57)),ISNUMBER(SEARCH("غیر گارانتی",G57)),ISNUMBER(SEARCH("بدون اجرت",G57)),ISNUMBER(SEARCH("فيلتر",G57)),ISNUMBER(SEARCH("فیلتر",G57))),"غیرگارانتی/بدون قطعه",IF(OR(ISNUMBER(SEARCH("ريست",G57)),ISNUMBER(SEARCH("ریست",G57))),"ریست نرم‌افزاری (بدون قطعه)",IF(OR(ISNUMBER(SEARCH("تعویض محصول",G57)),ISNUMBER(SEARCH("تعویض دستگاه",G57))),"تعویض کامل دستگاه (Replacement)",IF(ISNUMBER(SEARCH("پمپ",G57)),IF(ISNUMBER(SEARCH("نشت",G57)),"نشتی - پمپ تخلیه (تعمیر/آب‌بندی)","خرابی - پمپ تخلیه (تعویض)"),IF(ISNUMBER(SEARCH("کمپرسور",G57)),"خرابی - کمپرسور (تعویض)",IF(ISNUMBER(SEARCH("کمک فنر",G57)),"خرابی - کمک فنر (تعویض)",IF(ISNUMBER(SEARCH("لولا",G57)),"مکانیزم درب - لولا (تعویض)",IF(OR(ISNUMBER(SEARCH("قلاب",G57)),ISNUMBER(SEARCH("ميکروسوئيچ",G57)),ISNUMBER(SEARCH("میکروسوئیچ",G57))),"مکانیزم درب - میکروسوئیچ/قلاب (تعویض/تنظیم)",IF(ISNUMBER(SEARCH("زبانه",G57)),"مکانیزم درب - زبانه (تعویض)",IF(OR(ISNUMBER(SEARCH("شيلنگ",G57)),ISNUMBER(SEARCH("شیلنگ",G57))),IF(OR(ISNUMBER(SEARCH("نشتی",G57)),ISNUMBER(SEARCH("نشتي",G57))),"نشتی - شیلنگ (تعمیر/آب‌بندی)",IF(OR(ISNUMBER(SEARCH("يخ",G57)),ISNUMBER(SEARCH("یخ",G57))),"شیلنگ یخساز - یخ‌زدگی (بازبینی)","شیلنگ - برخورد/لهیدگی (بازبینی)")),IF(OR(ISNUMBER(SEARCH("تنظيم ديسپل",G57)),ISNUMBER(SEARCH("تنظیم دیسپل",G57)),ISNUMBER(SEARCH("تنظيم صفحه نمايش",G57)),ISNUMBER(SEARCH("تنظیم صفحه نمایش",G57))),"تنظیم - تنظیمات دستگاه/دیسپلی (تعمیر)",IF(OR(ISNUMBER(SEARCH("برد",G57)),ISNUMBER(SEARCH("سوکت",G57)),ISNUMBER(SEARCH("ديسپل",G57)),ISNUMBER(SEARCH("دیسپل",G57))),"خرابی - برد الکترونیک (تعویض)",IF(OR(ISNUMBER(SEARCH("يخساز",G57)),ISNUMBER(SEARCH("یخساز",G57)),ISNUMBER(SEARCH("دمپر",G57))),IF(OR(ISNUMBER(SEARCH("خرابی",G57)),ISNUMBER(SEARCH("خراب",G57)),ISNUMBER(SEARCH("عدم کارکرد",G57)),ISNUMBER(SEARCH("عدم عملکرد",G57))),"یخساز - خرابی موتور/سنسور/برد (تعویض)","یخساز - تنظیم/عایق (تعمیر)"),IF(OR(ISNUMBER(SEARCH("لاستيک",G57)),ISNUMBER(SEARCH("لاستیک",G57))),"لاستیک درزگیر - دفرمگی/پارگی (تعویض)",IF(OR(ISNUMBER(SEARCH("گسکت",G57)),ISNUMBER(SEARCH("گسگت",G57))),"لاستیک درزگیر - دفرمگی/پارگی (تعویض)",IF(ISNUMBER(SEARCH("مخزن نمک",G57)),"نشتی - درب مخزن نمک (تعمیر/آب‌بندی)",IF(ISNUMBER(SEARCH("براکت",G57)),"نشتی - براکت ریل (تعمیر/آب‌بندی)",IF(ISNUMBER(SEARCH("جاپودر",G57)),"نشتی - جاپودری (تعمیر/آب‌بندی)",IF(ISNUMBER(SEARCH("مقسم",G57)),"نشتی - مقسم آب (تعمیر/آب‌بندی)",IF(OR(ISNUMBER(SEARCH("سنسور دما",G57)),ISNUMBER(SEARCH("ترموستات",G57))),"خرابی - ترموستات (تعویض)",IF(OR(ISNUMBER(SEARCH("هيدروستات",G57)),ISNUMBER(SEARCH("هیدروستات",G57))),"خرابی - هیدروستات (تعویض)",IF(OR(ISNUMBER(SEARCH("بلبرينگ",G57)),ISNUMBER(SEARCH("بلبرینگ",G57))),"خرابی - بلبرینگ (تعویض)",IF(OR(ISNUMBER(SEARCH("شيربرق",G57)),ISNUMBER(SEARCH("شیربرق",G57))),"خرابی - شیربرقی (تعویض)",IF(OR(ISNUMBER(SEARCH("واتر جت",G57)),ISNUMBER(SEARCH("واترجت",G57))),"خرابی - واترجت (تعویض)",IF(OR(ISNUMBER(SEARCH("سيم",G57)),ISNUMBER(SEARCH("سیم",G57)),ISNUMBER(SEARCH("اتصال",G57))),"سیم‌کشی/اتصالات (تعویض/بازبینی)",IF(OR(ISNUMBER(SEARCH("تصوير",G57)),ISNUMBER(SEARCH("تصویر",G57))),"برد نمایش تلویزیون (تعویض)",IF(OR(ISNUMBER(SEARCH("ريموت",G57)),ISNUMBER(SEARCH("ریموت",G57))),"ریموت کنترل (تعویض/تعمیر)",IF(OR(ISNUMBER(SEARCH("ال اي دي",G57)),ISNUMBER(SEARCH("ال ای دی",G57)),ISNUMBER(SEARCH("LED",G57))),"خرابی - لامپ/LED داخلی (تعویض)",IF(ISNUMBER(SEARCH("زنگ زدگ",G57)),"زنگ‌زدگی بدنه/قطعه (تعویض)",IF(OR(ISNUMBER(SEARCH("قطعات تزئين",G57)),ISNUMBER(SEARCH("قطعات تزئین",G57))),"قطعات تزئینی - شکستگی/کسری (تعویض)",IF(ISNUMBER(SEARCH("سبد",G57)),"سبد ظرفشویی - شکستگی (تعویض)",IF(ISNUMBER(SEARCH("تاب درام",G57)),"خرابی - تاب برداشتن درام (تعویض)",IF(ISNUMBER(SEARCH("درام",G57)),"خرابی - سایر ایراد درام (تعویض)",IF(ISNUMBER(SEARCH("موتور",G57)),"خرابی - موتور (تعویض)",IF(ISNUMBER(SEARCH("تسمه",G57)),"خرابی - تسمه (تعویض)",IF(OR(ISNUMBER(SEARCH("پيچ ولوم",G57)),ISNUMBER(SEARCH("پیچ ولوم",G57))),"تنظیم - پیچ ولوم/دکمه (تعمیر)",IF(OR(ISNUMBER(SEARCH("کسري قطعات",G57)),ISNUMBER(SEARCH("کسری قطعات",G57))),"کسری قطعات تزئینی (تعویض)",IF(ISNUMBER(SEARCH("پرچ",G57)),"پرچ/بدنه کابین(تعمیر)",IF(OR(ISNUMBER(SEARCH("نشت",G57)),ISNUMBER(SEARCH("آبريزش",G57)),ISNUMBER(SEARCH("آبریزش",G57))),"نشتی آب - محل نامشخص (نیازمند بازدید)",IF(ISNUMBER(SEARCH("درب",G57)),"سایر اجزای درب (بازبینی)",IF(ISNUMBER(SEARCH("ضربه",G57)),"بدنه/کابین - ضربه (بازبینی/تعویض پنل)",IF(ISNUMBER(SEARCH("تراز",G57)),"تراز/لرزش - نصب (رگلاژ پایه)",IF(OR(ISNUMBER(SEARCH("تعویض",G57)),ISNUMBER(SEARCH("تعويض",G57))),"تعویض کامل دستگاه (Replacement)","سایر (نیازمند بررسی دستی)")))))))))))))))))))))))))))))))))))))))))))</f>
        <v/>
      </c>
      <c r="P57" s="124" t="inlineStr">
        <is>
          <t>*</t>
        </is>
      </c>
      <c r="Q57" s="124">
        <f>IF(ISNUMBER(SEARCH("عهده شرکت",F57)),"شرکت",IF(ISNUMBER(SEARCH("عهده مشتري",F57)),"مشتری",IF(ISNUMBER(SEARCH("عهده مشتری",F57)),"مشتری","نامشخص")))</f>
        <v/>
      </c>
      <c r="R57" s="178">
        <f>IF(O57="تعویض کامل دستگاه (Replacement)",IF(SUMIF('قیمت‌ها و مفروضات'!$A$9:$A$13,C57,'قیمت‌ها و مفروضات'!$C$9:$C$13)&lt;&gt;0,SUMIF('قیمت‌ها و مفروضات'!$A$9:$A$13,C57,'قیمت‌ها و مفروضات'!$C$9:$C$13),SUMIF('قیمت‌ها و مفروضات'!$A$9:$A$13,C57,'قیمت‌ها و مفروضات'!$B$9:$B$13)),IF(SUMIF('قیمت‌ها و مفروضات'!$A$18:$A$63,O57,'قیمت‌ها و مفروضات'!$C$18:$C$63)&lt;&gt;0,SUMIF('قیمت‌ها و مفروضات'!$A$18:$A$63,O57,'قیمت‌ها و مفروضات'!$C$18:$C$63),SUMIF('قیمت‌ها و مفروضات'!$A$18:$A$63,O57,'قیمت‌ها و مفروضات'!$B$18:$B$63)))</f>
        <v/>
      </c>
      <c r="S57" s="178">
        <f>'قیمت‌ها و مفروضات'!$B$3+'قیمت‌ها و مفروضات'!$B$4</f>
        <v/>
      </c>
      <c r="T57" s="178">
        <f>R57+S57</f>
        <v/>
      </c>
      <c r="U57" s="178">
        <f>IF(COUNTIF($E$2:E57,E57)&gt;1,"بله (تکراری)","خیر")</f>
        <v/>
      </c>
      <c r="V57" s="178">
        <f>IF(U57="بله (تکراری)",S57,0)</f>
        <v/>
      </c>
      <c r="W57" s="208" t="inlineStr"/>
      <c r="X57" s="208" t="inlineStr"/>
    </row>
    <row r="58" ht="58.5" customHeight="1" s="151">
      <c r="A58" s="176" t="n">
        <v>210011141</v>
      </c>
      <c r="B58" s="124">
        <f>CHOOSE(_xlfn.NUMBERVALUE(MID(H58,6,2)),"فروردین","اردیبهشت","خرداد","تیر","مرداد","شهریور","مهر","آبان","آذر","دی","بهمن","اسفند")</f>
        <v/>
      </c>
      <c r="C58" s="176" t="inlineStr">
        <is>
          <t>ماشين ظرفشويي</t>
        </is>
      </c>
      <c r="D58" s="176" t="inlineStr">
        <is>
          <t>CDW-H16T</t>
        </is>
      </c>
      <c r="E58" s="176" t="inlineStr">
        <is>
          <t>52220005N00355</t>
        </is>
      </c>
      <c r="F58" s="173" t="inlineStr">
        <is>
          <t>خطاي F11**اياب و ذهاب به عهده مشتري</t>
        </is>
      </c>
      <c r="G58" s="173" t="inlineStr">
        <is>
          <t xml:space="preserve">گرفتگی پمپ تخلیه - غیر گارانتی </t>
        </is>
      </c>
      <c r="H58" s="176" t="inlineStr">
        <is>
          <t>1405/01/16</t>
        </is>
      </c>
      <c r="I58" s="124" t="inlineStr">
        <is>
          <t>1403/07/27</t>
        </is>
      </c>
      <c r="J58" s="124" t="inlineStr">
        <is>
          <t>1403/07/27</t>
        </is>
      </c>
      <c r="K58" s="177">
        <f>IFERROR(VLOOKUP(LEFT(H58,7),'تبدیل تاریخ'!$A$2:$B$73,2,FALSE())+VALUE(RIGHT(H58,2))-1,"")</f>
        <v/>
      </c>
      <c r="L58" s="177">
        <f>IFERROR(VLOOKUP(LEFT(I58,7),'تبدیل تاریخ'!$A$2:$B$73,2,FALSE())+VALUE(RIGHT(I58,2))-1,"")</f>
        <v/>
      </c>
      <c r="M58" s="177">
        <f>IF(J58="","",IFERROR(VLOOKUP(LEFT(J58,7),'تبدیل تاریخ'!$A$2:$B$73,2,FALSE())+VALUE(RIGHT(J58,2))-1,""))</f>
        <v/>
      </c>
      <c r="N58" s="124">
        <f>IF(OR(K58="",M58=""),"",CEILING((K58-M58)/30,1))</f>
        <v/>
      </c>
      <c r="O58" s="124">
        <f>IF(OR(ISNUMBER(SEARCH("بدون مورد",G58)),ISNUMBER(SEARCH("غير گارانتي",G58)),ISNUMBER(SEARCH("غیر گارانتی",G58)),ISNUMBER(SEARCH("بدون اجرت",G58)),ISNUMBER(SEARCH("فيلتر",G58)),ISNUMBER(SEARCH("فیلتر",G58))),"غیرگارانتی/بدون قطعه",IF(OR(ISNUMBER(SEARCH("ريست",G58)),ISNUMBER(SEARCH("ریست",G58))),"ریست نرم‌افزاری (بدون قطعه)",IF(OR(ISNUMBER(SEARCH("تعویض محصول",G58)),ISNUMBER(SEARCH("تعویض دستگاه",G58))),"تعویض کامل دستگاه (Replacement)",IF(ISNUMBER(SEARCH("پمپ",G58)),IF(ISNUMBER(SEARCH("نشت",G58)),"نشتی - پمپ تخلیه (تعمیر/آب‌بندی)","خرابی - پمپ تخلیه (تعویض)"),IF(ISNUMBER(SEARCH("کمپرسور",G58)),"خرابی - کمپرسور (تعویض)",IF(ISNUMBER(SEARCH("کمک فنر",G58)),"خرابی - کمک فنر (تعویض)",IF(ISNUMBER(SEARCH("لولا",G58)),"مکانیزم درب - لولا (تعویض)",IF(OR(ISNUMBER(SEARCH("قلاب",G58)),ISNUMBER(SEARCH("ميکروسوئيچ",G58)),ISNUMBER(SEARCH("میکروسوئیچ",G58))),"مکانیزم درب - میکروسوئیچ/قلاب (تعویض/تنظیم)",IF(ISNUMBER(SEARCH("زبانه",G58)),"مکانیزم درب - زبانه (تعویض)",IF(OR(ISNUMBER(SEARCH("شيلنگ",G58)),ISNUMBER(SEARCH("شیلنگ",G58))),IF(OR(ISNUMBER(SEARCH("نشتی",G58)),ISNUMBER(SEARCH("نشتي",G58))),"نشتی - شیلنگ (تعمیر/آب‌بندی)",IF(OR(ISNUMBER(SEARCH("يخ",G58)),ISNUMBER(SEARCH("یخ",G58))),"شیلنگ یخساز - یخ‌زدگی (بازبینی)","شیلنگ - برخورد/لهیدگی (بازبینی)")),IF(OR(ISNUMBER(SEARCH("تنظيم ديسپل",G58)),ISNUMBER(SEARCH("تنظیم دیسپل",G58)),ISNUMBER(SEARCH("تنظيم صفحه نمايش",G58)),ISNUMBER(SEARCH("تنظیم صفحه نمایش",G58))),"تنظیم - تنظیمات دستگاه/دیسپلی (تعمیر)",IF(OR(ISNUMBER(SEARCH("برد",G58)),ISNUMBER(SEARCH("سوکت",G58)),ISNUMBER(SEARCH("ديسپل",G58)),ISNUMBER(SEARCH("دیسپل",G58))),"خرابی - برد الکترونیک (تعویض)",IF(OR(ISNUMBER(SEARCH("يخساز",G58)),ISNUMBER(SEARCH("یخساز",G58)),ISNUMBER(SEARCH("دمپر",G58))),IF(OR(ISNUMBER(SEARCH("خرابی",G58)),ISNUMBER(SEARCH("خراب",G58)),ISNUMBER(SEARCH("عدم کارکرد",G58)),ISNUMBER(SEARCH("عدم عملکرد",G58))),"یخساز - خرابی موتور/سنسور/برد (تعویض)","یخساز - تنظیم/عایق (تعمیر)"),IF(OR(ISNUMBER(SEARCH("لاستيک",G58)),ISNUMBER(SEARCH("لاستیک",G58))),"لاستیک درزگیر - دفرمگی/پارگی (تعویض)",IF(OR(ISNUMBER(SEARCH("گسکت",G58)),ISNUMBER(SEARCH("گسگت",G58))),"لاستیک درزگیر - دفرمگی/پارگی (تعویض)",IF(ISNUMBER(SEARCH("مخزن نمک",G58)),"نشتی - درب مخزن نمک (تعمیر/آب‌بندی)",IF(ISNUMBER(SEARCH("براکت",G58)),"نشتی - براکت ریل (تعمیر/آب‌بندی)",IF(ISNUMBER(SEARCH("جاپودر",G58)),"نشتی - جاپودری (تعمیر/آب‌بندی)",IF(ISNUMBER(SEARCH("مقسم",G58)),"نشتی - مقسم آب (تعمیر/آب‌بندی)",IF(OR(ISNUMBER(SEARCH("سنسور دما",G58)),ISNUMBER(SEARCH("ترموستات",G58))),"خرابی - ترموستات (تعویض)",IF(OR(ISNUMBER(SEARCH("هيدروستات",G58)),ISNUMBER(SEARCH("هیدروستات",G58))),"خرابی - هیدروستات (تعویض)",IF(OR(ISNUMBER(SEARCH("بلبرينگ",G58)),ISNUMBER(SEARCH("بلبرینگ",G58))),"خرابی - بلبرینگ (تعویض)",IF(OR(ISNUMBER(SEARCH("شيربرق",G58)),ISNUMBER(SEARCH("شیربرق",G58))),"خرابی - شیربرقی (تعویض)",IF(OR(ISNUMBER(SEARCH("واتر جت",G58)),ISNUMBER(SEARCH("واترجت",G58))),"خرابی - واترجت (تعویض)",IF(OR(ISNUMBER(SEARCH("سيم",G58)),ISNUMBER(SEARCH("سیم",G58)),ISNUMBER(SEARCH("اتصال",G58))),"سیم‌کشی/اتصالات (تعویض/بازبینی)",IF(OR(ISNUMBER(SEARCH("تصوير",G58)),ISNUMBER(SEARCH("تصویر",G58))),"برد نمایش تلویزیون (تعویض)",IF(OR(ISNUMBER(SEARCH("ريموت",G58)),ISNUMBER(SEARCH("ریموت",G58))),"ریموت کنترل (تعویض/تعمیر)",IF(OR(ISNUMBER(SEARCH("ال اي دي",G58)),ISNUMBER(SEARCH("ال ای دی",G58)),ISNUMBER(SEARCH("LED",G58))),"خرابی - لامپ/LED داخلی (تعویض)",IF(ISNUMBER(SEARCH("زنگ زدگ",G58)),"زنگ‌زدگی بدنه/قطعه (تعویض)",IF(OR(ISNUMBER(SEARCH("قطعات تزئين",G58)),ISNUMBER(SEARCH("قطعات تزئین",G58))),"قطعات تزئینی - شکستگی/کسری (تعویض)",IF(ISNUMBER(SEARCH("سبد",G58)),"سبد ظرفشویی - شکستگی (تعویض)",IF(ISNUMBER(SEARCH("تاب درام",G58)),"خرابی - تاب برداشتن درام (تعویض)",IF(ISNUMBER(SEARCH("درام",G58)),"خرابی - سایر ایراد درام (تعویض)",IF(ISNUMBER(SEARCH("موتور",G58)),"خرابی - موتور (تعویض)",IF(ISNUMBER(SEARCH("تسمه",G58)),"خرابی - تسمه (تعویض)",IF(OR(ISNUMBER(SEARCH("پيچ ولوم",G58)),ISNUMBER(SEARCH("پیچ ولوم",G58))),"تنظیم - پیچ ولوم/دکمه (تعمیر)",IF(OR(ISNUMBER(SEARCH("کسري قطعات",G58)),ISNUMBER(SEARCH("کسری قطعات",G58))),"کسری قطعات تزئینی (تعویض)",IF(ISNUMBER(SEARCH("پرچ",G58)),"پرچ/بدنه کابین(تعمیر)",IF(OR(ISNUMBER(SEARCH("نشت",G58)),ISNUMBER(SEARCH("آبريزش",G58)),ISNUMBER(SEARCH("آبریزش",G58))),"نشتی آب - محل نامشخص (نیازمند بازدید)",IF(ISNUMBER(SEARCH("درب",G58)),"سایر اجزای درب (بازبینی)",IF(ISNUMBER(SEARCH("ضربه",G58)),"بدنه/کابین - ضربه (بازبینی/تعویض پنل)",IF(ISNUMBER(SEARCH("تراز",G58)),"تراز/لرزش - نصب (رگلاژ پایه)",IF(OR(ISNUMBER(SEARCH("تعویض",G58)),ISNUMBER(SEARCH("تعويض",G58))),"تعویض کامل دستگاه (Replacement)","سایر (نیازمند بررسی دستی)")))))))))))))))))))))))))))))))))))))))))))</f>
        <v/>
      </c>
      <c r="P58" s="124" t="inlineStr">
        <is>
          <t>*</t>
        </is>
      </c>
      <c r="Q58" s="124">
        <f>IF(ISNUMBER(SEARCH("عهده شرکت",F58)),"شرکت",IF(ISNUMBER(SEARCH("عهده مشتري",F58)),"مشتری",IF(ISNUMBER(SEARCH("عهده مشتری",F58)),"مشتری","نامشخص")))</f>
        <v/>
      </c>
      <c r="R58" s="178">
        <f>IF(O58="تعویض کامل دستگاه (Replacement)",IF(SUMIF('قیمت‌ها و مفروضات'!$A$9:$A$13,C58,'قیمت‌ها و مفروضات'!$C$9:$C$13)&lt;&gt;0,SUMIF('قیمت‌ها و مفروضات'!$A$9:$A$13,C58,'قیمت‌ها و مفروضات'!$C$9:$C$13),SUMIF('قیمت‌ها و مفروضات'!$A$9:$A$13,C58,'قیمت‌ها و مفروضات'!$B$9:$B$13)),IF(SUMIF('قیمت‌ها و مفروضات'!$A$18:$A$63,O58,'قیمت‌ها و مفروضات'!$C$18:$C$63)&lt;&gt;0,SUMIF('قیمت‌ها و مفروضات'!$A$18:$A$63,O58,'قیمت‌ها و مفروضات'!$C$18:$C$63),SUMIF('قیمت‌ها و مفروضات'!$A$18:$A$63,O58,'قیمت‌ها و مفروضات'!$B$18:$B$63)))</f>
        <v/>
      </c>
      <c r="S58" s="178">
        <f>'قیمت‌ها و مفروضات'!$B$3+'قیمت‌ها و مفروضات'!$B$4</f>
        <v/>
      </c>
      <c r="T58" s="178">
        <f>R58+S58</f>
        <v/>
      </c>
      <c r="U58" s="178">
        <f>IF(COUNTIF($E$2:E58,E58)&gt;1,"بله (تکراری)","خیر")</f>
        <v/>
      </c>
      <c r="V58" s="178">
        <f>IF(U58="بله (تکراری)",S58,0)</f>
        <v/>
      </c>
      <c r="W58" s="208" t="inlineStr"/>
      <c r="X58" s="208" t="inlineStr"/>
    </row>
    <row r="59" ht="58.5" customHeight="1" s="151">
      <c r="A59" s="176" t="n">
        <v>210011071</v>
      </c>
      <c r="B59" s="124">
        <f>CHOOSE(_xlfn.NUMBERVALUE(MID(H59,6,2)),"فروردین","اردیبهشت","خرداد","تیر","مرداد","شهریور","مهر","آبان","آذر","دی","بهمن","اسفند")</f>
        <v/>
      </c>
      <c r="C59" s="176" t="inlineStr">
        <is>
          <t>ماشين لباسشويي</t>
        </is>
      </c>
      <c r="D59" s="176" t="inlineStr">
        <is>
          <t>CWM-BMW8T1</t>
        </is>
      </c>
      <c r="E59" s="176" t="inlineStr">
        <is>
          <t>52210006N00699</t>
        </is>
      </c>
      <c r="F59" s="173" t="inlineStr">
        <is>
          <t>بسته نشدن درب**اياب و ذهاب به عهده مشتري</t>
        </is>
      </c>
      <c r="G59" s="173" t="inlineStr">
        <is>
          <t>عدم قرارگيري مهره درب</t>
        </is>
      </c>
      <c r="H59" s="176" t="inlineStr">
        <is>
          <t>1405/01/16</t>
        </is>
      </c>
      <c r="I59" s="124" t="inlineStr">
        <is>
          <t>1403/02/05</t>
        </is>
      </c>
      <c r="J59" s="179" t="inlineStr">
        <is>
          <t>1403/12/09</t>
        </is>
      </c>
      <c r="K59" s="177">
        <f>IFERROR(VLOOKUP(LEFT(H59,7),'تبدیل تاریخ'!$A$2:$B$73,2,FALSE())+VALUE(RIGHT(H59,2))-1,"")</f>
        <v/>
      </c>
      <c r="L59" s="177">
        <f>IFERROR(VLOOKUP(LEFT(I59,7),'تبدیل تاریخ'!$A$2:$B$73,2,FALSE())+VALUE(RIGHT(I59,2))-1,"")</f>
        <v/>
      </c>
      <c r="M59" s="177">
        <f>IF(J59="","",IFERROR(VLOOKUP(LEFT(J59,7),'تبدیل تاریخ'!$A$2:$B$73,2,FALSE())+VALUE(RIGHT(J59,2))-1,""))</f>
        <v/>
      </c>
      <c r="N59" s="124">
        <f>IF(OR(K59="",M59=""),"",CEILING((K59-M59)/30,1))</f>
        <v/>
      </c>
      <c r="O59" s="124">
        <f>IF(OR(ISNUMBER(SEARCH("بدون مورد",G59)),ISNUMBER(SEARCH("غير گارانتي",G59)),ISNUMBER(SEARCH("غیر گارانتی",G59)),ISNUMBER(SEARCH("بدون اجرت",G59)),ISNUMBER(SEARCH("فيلتر",G59)),ISNUMBER(SEARCH("فیلتر",G59))),"غیرگارانتی/بدون قطعه",IF(OR(ISNUMBER(SEARCH("ريست",G59)),ISNUMBER(SEARCH("ریست",G59))),"ریست نرم‌افزاری (بدون قطعه)",IF(OR(ISNUMBER(SEARCH("تعویض محصول",G59)),ISNUMBER(SEARCH("تعویض دستگاه",G59))),"تعویض کامل دستگاه (Replacement)",IF(ISNUMBER(SEARCH("پمپ",G59)),IF(ISNUMBER(SEARCH("نشت",G59)),"نشتی - پمپ تخلیه (تعمیر/آب‌بندی)","خرابی - پمپ تخلیه (تعویض)"),IF(ISNUMBER(SEARCH("کمپرسور",G59)),"خرابی - کمپرسور (تعویض)",IF(ISNUMBER(SEARCH("کمک فنر",G59)),"خرابی - کمک فنر (تعویض)",IF(ISNUMBER(SEARCH("لولا",G59)),"مکانیزم درب - لولا (تعویض)",IF(OR(ISNUMBER(SEARCH("قلاب",G59)),ISNUMBER(SEARCH("ميکروسوئيچ",G59)),ISNUMBER(SEARCH("میکروسوئیچ",G59))),"مکانیزم درب - میکروسوئیچ/قلاب (تعویض/تنظیم)",IF(ISNUMBER(SEARCH("زبانه",G59)),"مکانیزم درب - زبانه (تعویض)",IF(OR(ISNUMBER(SEARCH("شيلنگ",G59)),ISNUMBER(SEARCH("شیلنگ",G59))),IF(OR(ISNUMBER(SEARCH("نشتی",G59)),ISNUMBER(SEARCH("نشتي",G59))),"نشتی - شیلنگ (تعمیر/آب‌بندی)",IF(OR(ISNUMBER(SEARCH("يخ",G59)),ISNUMBER(SEARCH("یخ",G59))),"شیلنگ یخساز - یخ‌زدگی (بازبینی)","شیلنگ - برخورد/لهیدگی (بازبینی)")),IF(OR(ISNUMBER(SEARCH("تنظيم ديسپل",G59)),ISNUMBER(SEARCH("تنظیم دیسپل",G59)),ISNUMBER(SEARCH("تنظيم صفحه نمايش",G59)),ISNUMBER(SEARCH("تنظیم صفحه نمایش",G59))),"تنظیم - تنظیمات دستگاه/دیسپلی (تعمیر)",IF(OR(ISNUMBER(SEARCH("برد",G59)),ISNUMBER(SEARCH("سوکت",G59)),ISNUMBER(SEARCH("ديسپل",G59)),ISNUMBER(SEARCH("دیسپل",G59))),"خرابی - برد الکترونیک (تعویض)",IF(OR(ISNUMBER(SEARCH("يخساز",G59)),ISNUMBER(SEARCH("یخساز",G59)),ISNUMBER(SEARCH("دمپر",G59))),IF(OR(ISNUMBER(SEARCH("خرابی",G59)),ISNUMBER(SEARCH("خراب",G59)),ISNUMBER(SEARCH("عدم کارکرد",G59)),ISNUMBER(SEARCH("عدم عملکرد",G59))),"یخساز - خرابی موتور/سنسور/برد (تعویض)","یخساز - تنظیم/عایق (تعمیر)"),IF(OR(ISNUMBER(SEARCH("لاستيک",G59)),ISNUMBER(SEARCH("لاستیک",G59))),"لاستیک درزگیر - دفرمگی/پارگی (تعویض)",IF(OR(ISNUMBER(SEARCH("گسکت",G59)),ISNUMBER(SEARCH("گسگت",G59))),"لاستیک درزگیر - دفرمگی/پارگی (تعویض)",IF(ISNUMBER(SEARCH("مخزن نمک",G59)),"نشتی - درب مخزن نمک (تعمیر/آب‌بندی)",IF(ISNUMBER(SEARCH("براکت",G59)),"نشتی - براکت ریل (تعمیر/آب‌بندی)",IF(ISNUMBER(SEARCH("جاپودر",G59)),"نشتی - جاپودری (تعمیر/آب‌بندی)",IF(ISNUMBER(SEARCH("مقسم",G59)),"نشتی - مقسم آب (تعمیر/آب‌بندی)",IF(OR(ISNUMBER(SEARCH("سنسور دما",G59)),ISNUMBER(SEARCH("ترموستات",G59))),"خرابی - ترموستات (تعویض)",IF(OR(ISNUMBER(SEARCH("هيدروستات",G59)),ISNUMBER(SEARCH("هیدروستات",G59))),"خرابی - هیدروستات (تعویض)",IF(OR(ISNUMBER(SEARCH("بلبرينگ",G59)),ISNUMBER(SEARCH("بلبرینگ",G59))),"خرابی - بلبرینگ (تعویض)",IF(OR(ISNUMBER(SEARCH("شيربرق",G59)),ISNUMBER(SEARCH("شیربرق",G59))),"خرابی - شیربرقی (تعویض)",IF(OR(ISNUMBER(SEARCH("واتر جت",G59)),ISNUMBER(SEARCH("واترجت",G59))),"خرابی - واترجت (تعویض)",IF(OR(ISNUMBER(SEARCH("سيم",G59)),ISNUMBER(SEARCH("سیم",G59)),ISNUMBER(SEARCH("اتصال",G59))),"سیم‌کشی/اتصالات (تعویض/بازبینی)",IF(OR(ISNUMBER(SEARCH("تصوير",G59)),ISNUMBER(SEARCH("تصویر",G59))),"برد نمایش تلویزیون (تعویض)",IF(OR(ISNUMBER(SEARCH("ريموت",G59)),ISNUMBER(SEARCH("ریموت",G59))),"ریموت کنترل (تعویض/تعمیر)",IF(OR(ISNUMBER(SEARCH("ال اي دي",G59)),ISNUMBER(SEARCH("ال ای دی",G59)),ISNUMBER(SEARCH("LED",G59))),"خرابی - لامپ/LED داخلی (تعویض)",IF(ISNUMBER(SEARCH("زنگ زدگ",G59)),"زنگ‌زدگی بدنه/قطعه (تعویض)",IF(OR(ISNUMBER(SEARCH("قطعات تزئين",G59)),ISNUMBER(SEARCH("قطعات تزئین",G59))),"قطعات تزئینی - شکستگی/کسری (تعویض)",IF(ISNUMBER(SEARCH("سبد",G59)),"سبد ظرفشویی - شکستگی (تعویض)",IF(ISNUMBER(SEARCH("تاب درام",G59)),"خرابی - تاب برداشتن درام (تعویض)",IF(ISNUMBER(SEARCH("درام",G59)),"خرابی - سایر ایراد درام (تعویض)",IF(ISNUMBER(SEARCH("موتور",G59)),"خرابی - موتور (تعویض)",IF(ISNUMBER(SEARCH("تسمه",G59)),"خرابی - تسمه (تعویض)",IF(OR(ISNUMBER(SEARCH("پيچ ولوم",G59)),ISNUMBER(SEARCH("پیچ ولوم",G59))),"تنظیم - پیچ ولوم/دکمه (تعمیر)",IF(OR(ISNUMBER(SEARCH("کسري قطعات",G59)),ISNUMBER(SEARCH("کسری قطعات",G59))),"کسری قطعات تزئینی (تعویض)",IF(ISNUMBER(SEARCH("پرچ",G59)),"پرچ/بدنه کابین(تعمیر)",IF(OR(ISNUMBER(SEARCH("نشت",G59)),ISNUMBER(SEARCH("آبريزش",G59)),ISNUMBER(SEARCH("آبریزش",G59))),"نشتی آب - محل نامشخص (نیازمند بازدید)",IF(ISNUMBER(SEARCH("درب",G59)),"سایر اجزای درب (بازبینی)",IF(ISNUMBER(SEARCH("ضربه",G59)),"بدنه/کابین - ضربه (بازبینی/تعویض پنل)",IF(ISNUMBER(SEARCH("تراز",G59)),"تراز/لرزش - نصب (رگلاژ پایه)",IF(OR(ISNUMBER(SEARCH("تعویض",G59)),ISNUMBER(SEARCH("تعويض",G59))),"تعویض کامل دستگاه (Replacement)","سایر (نیازمند بررسی دستی)")))))))))))))))))))))))))))))))))))))))))))</f>
        <v/>
      </c>
      <c r="P59" s="124" t="inlineStr">
        <is>
          <t>*</t>
        </is>
      </c>
      <c r="Q59" s="124">
        <f>IF(ISNUMBER(SEARCH("عهده شرکت",F59)),"شرکت",IF(ISNUMBER(SEARCH("عهده مشتري",F59)),"مشتری",IF(ISNUMBER(SEARCH("عهده مشتری",F59)),"مشتری","نامشخص")))</f>
        <v/>
      </c>
      <c r="R59" s="178">
        <f>IF(O59="تعویض کامل دستگاه (Replacement)",IF(SUMIF('قیمت‌ها و مفروضات'!$A$9:$A$13,C59,'قیمت‌ها و مفروضات'!$C$9:$C$13)&lt;&gt;0,SUMIF('قیمت‌ها و مفروضات'!$A$9:$A$13,C59,'قیمت‌ها و مفروضات'!$C$9:$C$13),SUMIF('قیمت‌ها و مفروضات'!$A$9:$A$13,C59,'قیمت‌ها و مفروضات'!$B$9:$B$13)),IF(SUMIF('قیمت‌ها و مفروضات'!$A$18:$A$63,O59,'قیمت‌ها و مفروضات'!$C$18:$C$63)&lt;&gt;0,SUMIF('قیمت‌ها و مفروضات'!$A$18:$A$63,O59,'قیمت‌ها و مفروضات'!$C$18:$C$63),SUMIF('قیمت‌ها و مفروضات'!$A$18:$A$63,O59,'قیمت‌ها و مفروضات'!$B$18:$B$63)))</f>
        <v/>
      </c>
      <c r="S59" s="178">
        <f>'قیمت‌ها و مفروضات'!$B$3+'قیمت‌ها و مفروضات'!$B$4</f>
        <v/>
      </c>
      <c r="T59" s="178">
        <f>R59+S59</f>
        <v/>
      </c>
      <c r="U59" s="178">
        <f>IF(COUNTIF($E$2:E59,E59)&gt;1,"بله (تکراری)","خیر")</f>
        <v/>
      </c>
      <c r="V59" s="178">
        <f>IF(U59="بله (تکراری)",S59,0)</f>
        <v/>
      </c>
      <c r="W59" s="208" t="inlineStr"/>
      <c r="X59" s="208" t="inlineStr"/>
    </row>
    <row r="60" ht="58.5" customHeight="1" s="151">
      <c r="A60" s="176" t="n">
        <v>130004825</v>
      </c>
      <c r="B60" s="124">
        <f>CHOOSE(_xlfn.NUMBERVALUE(MID(H60,6,2)),"فروردین","اردیبهشت","خرداد","تیر","مرداد","شهریور","مهر","آبان","آذر","دی","بهمن","اسفند")</f>
        <v/>
      </c>
      <c r="C60" s="176" t="inlineStr">
        <is>
          <t>ماشين لباسشويي</t>
        </is>
      </c>
      <c r="D60" s="176" t="inlineStr">
        <is>
          <t>CWM-BMW9T1</t>
        </is>
      </c>
      <c r="E60" s="176" t="inlineStr">
        <is>
          <t>52210007N01247</t>
        </is>
      </c>
      <c r="F60" s="173" t="inlineStr">
        <is>
          <t>جمع شدن آب زير محصول**اياب و ذهاب به عهده شرکت</t>
        </is>
      </c>
      <c r="G60" s="173" t="inlineStr">
        <is>
          <t>نشتي از لاستيک دور درب</t>
        </is>
      </c>
      <c r="H60" s="176" t="inlineStr">
        <is>
          <t>1405/01/18</t>
        </is>
      </c>
      <c r="I60" s="124" t="inlineStr">
        <is>
          <t>1404/05/09</t>
        </is>
      </c>
      <c r="J60" s="180" t="inlineStr">
        <is>
          <t>1404/09/27</t>
        </is>
      </c>
      <c r="K60" s="177">
        <f>IFERROR(VLOOKUP(LEFT(H60,7),'تبدیل تاریخ'!$A$2:$B$73,2,FALSE())+VALUE(RIGHT(H60,2))-1,"")</f>
        <v/>
      </c>
      <c r="L60" s="177">
        <f>IFERROR(VLOOKUP(LEFT(I60,7),'تبدیل تاریخ'!$A$2:$B$73,2,FALSE())+VALUE(RIGHT(I60,2))-1,"")</f>
        <v/>
      </c>
      <c r="M60" s="177">
        <f>IF(J60="","",IFERROR(VLOOKUP(LEFT(J60,7),'تبدیل تاریخ'!$A$2:$B$73,2,FALSE())+VALUE(RIGHT(J60,2))-1,""))</f>
        <v/>
      </c>
      <c r="N60" s="124">
        <f>IF(OR(K60="",M60=""),"",CEILING((K60-M60)/30,1))</f>
        <v/>
      </c>
      <c r="O60" s="124">
        <f>IF(OR(ISNUMBER(SEARCH("بدون مورد",G60)),ISNUMBER(SEARCH("غير گارانتي",G60)),ISNUMBER(SEARCH("غیر گارانتی",G60)),ISNUMBER(SEARCH("بدون اجرت",G60)),ISNUMBER(SEARCH("فيلتر",G60)),ISNUMBER(SEARCH("فیلتر",G60))),"غیرگارانتی/بدون قطعه",IF(OR(ISNUMBER(SEARCH("ريست",G60)),ISNUMBER(SEARCH("ریست",G60))),"ریست نرم‌افزاری (بدون قطعه)",IF(OR(ISNUMBER(SEARCH("تعویض محصول",G60)),ISNUMBER(SEARCH("تعویض دستگاه",G60))),"تعویض کامل دستگاه (Replacement)",IF(ISNUMBER(SEARCH("پمپ",G60)),IF(ISNUMBER(SEARCH("نشت",G60)),"نشتی - پمپ تخلیه (تعمیر/آب‌بندی)","خرابی - پمپ تخلیه (تعویض)"),IF(ISNUMBER(SEARCH("کمپرسور",G60)),"خرابی - کمپرسور (تعویض)",IF(ISNUMBER(SEARCH("کمک فنر",G60)),"خرابی - کمک فنر (تعویض)",IF(ISNUMBER(SEARCH("لولا",G60)),"مکانیزم درب - لولا (تعویض)",IF(OR(ISNUMBER(SEARCH("قلاب",G60)),ISNUMBER(SEARCH("ميکروسوئيچ",G60)),ISNUMBER(SEARCH("میکروسوئیچ",G60))),"مکانیزم درب - میکروسوئیچ/قلاب (تعویض/تنظیم)",IF(ISNUMBER(SEARCH("زبانه",G60)),"مکانیزم درب - زبانه (تعویض)",IF(OR(ISNUMBER(SEARCH("شيلنگ",G60)),ISNUMBER(SEARCH("شیلنگ",G60))),IF(OR(ISNUMBER(SEARCH("نشتی",G60)),ISNUMBER(SEARCH("نشتي",G60))),"نشتی - شیلنگ (تعمیر/آب‌بندی)",IF(OR(ISNUMBER(SEARCH("يخ",G60)),ISNUMBER(SEARCH("یخ",G60))),"شیلنگ یخساز - یخ‌زدگی (بازبینی)","شیلنگ - برخورد/لهیدگی (بازبینی)")),IF(OR(ISNUMBER(SEARCH("تنظيم ديسپل",G60)),ISNUMBER(SEARCH("تنظیم دیسپل",G60)),ISNUMBER(SEARCH("تنظيم صفحه نمايش",G60)),ISNUMBER(SEARCH("تنظیم صفحه نمایش",G60))),"تنظیم - تنظیمات دستگاه/دیسپلی (تعمیر)",IF(OR(ISNUMBER(SEARCH("برد",G60)),ISNUMBER(SEARCH("سوکت",G60)),ISNUMBER(SEARCH("ديسپل",G60)),ISNUMBER(SEARCH("دیسپل",G60))),"خرابی - برد الکترونیک (تعویض)",IF(OR(ISNUMBER(SEARCH("يخساز",G60)),ISNUMBER(SEARCH("یخساز",G60)),ISNUMBER(SEARCH("دمپر",G60))),IF(OR(ISNUMBER(SEARCH("خرابی",G60)),ISNUMBER(SEARCH("خراب",G60)),ISNUMBER(SEARCH("عدم کارکرد",G60)),ISNUMBER(SEARCH("عدم عملکرد",G60))),"یخساز - خرابی موتور/سنسور/برد (تعویض)","یخساز - تنظیم/عایق (تعمیر)"),IF(OR(ISNUMBER(SEARCH("لاستيک",G60)),ISNUMBER(SEARCH("لاستیک",G60))),"لاستیک درزگیر - دفرمگی/پارگی (تعویض)",IF(OR(ISNUMBER(SEARCH("گسکت",G60)),ISNUMBER(SEARCH("گسگت",G60))),"لاستیک درزگیر - دفرمگی/پارگی (تعویض)",IF(ISNUMBER(SEARCH("مخزن نمک",G60)),"نشتی - درب مخزن نمک (تعمیر/آب‌بندی)",IF(ISNUMBER(SEARCH("براکت",G60)),"نشتی - براکت ریل (تعمیر/آب‌بندی)",IF(ISNUMBER(SEARCH("جاپودر",G60)),"نشتی - جاپودری (تعمیر/آب‌بندی)",IF(ISNUMBER(SEARCH("مقسم",G60)),"نشتی - مقسم آب (تعمیر/آب‌بندی)",IF(OR(ISNUMBER(SEARCH("سنسور دما",G60)),ISNUMBER(SEARCH("ترموستات",G60))),"خرابی - ترموستات (تعویض)",IF(OR(ISNUMBER(SEARCH("هيدروستات",G60)),ISNUMBER(SEARCH("هیدروستات",G60))),"خرابی - هیدروستات (تعویض)",IF(OR(ISNUMBER(SEARCH("بلبرينگ",G60)),ISNUMBER(SEARCH("بلبرینگ",G60))),"خرابی - بلبرینگ (تعویض)",IF(OR(ISNUMBER(SEARCH("شيربرق",G60)),ISNUMBER(SEARCH("شیربرق",G60))),"خرابی - شیربرقی (تعویض)",IF(OR(ISNUMBER(SEARCH("واتر جت",G60)),ISNUMBER(SEARCH("واترجت",G60))),"خرابی - واترجت (تعویض)",IF(OR(ISNUMBER(SEARCH("سيم",G60)),ISNUMBER(SEARCH("سیم",G60)),ISNUMBER(SEARCH("اتصال",G60))),"سیم‌کشی/اتصالات (تعویض/بازبینی)",IF(OR(ISNUMBER(SEARCH("تصوير",G60)),ISNUMBER(SEARCH("تصویر",G60))),"برد نمایش تلویزیون (تعویض)",IF(OR(ISNUMBER(SEARCH("ريموت",G60)),ISNUMBER(SEARCH("ریموت",G60))),"ریموت کنترل (تعویض/تعمیر)",IF(OR(ISNUMBER(SEARCH("ال اي دي",G60)),ISNUMBER(SEARCH("ال ای دی",G60)),ISNUMBER(SEARCH("LED",G60))),"خرابی - لامپ/LED داخلی (تعویض)",IF(ISNUMBER(SEARCH("زنگ زدگ",G60)),"زنگ‌زدگی بدنه/قطعه (تعویض)",IF(OR(ISNUMBER(SEARCH("قطعات تزئين",G60)),ISNUMBER(SEARCH("قطعات تزئین",G60))),"قطعات تزئینی - شکستگی/کسری (تعویض)",IF(ISNUMBER(SEARCH("سبد",G60)),"سبد ظرفشویی - شکستگی (تعویض)",IF(ISNUMBER(SEARCH("تاب درام",G60)),"خرابی - تاب برداشتن درام (تعویض)",IF(ISNUMBER(SEARCH("درام",G60)),"خرابی - سایر ایراد درام (تعویض)",IF(ISNUMBER(SEARCH("موتور",G60)),"خرابی - موتور (تعویض)",IF(ISNUMBER(SEARCH("تسمه",G60)),"خرابی - تسمه (تعویض)",IF(OR(ISNUMBER(SEARCH("پيچ ولوم",G60)),ISNUMBER(SEARCH("پیچ ولوم",G60))),"تنظیم - پیچ ولوم/دکمه (تعمیر)",IF(OR(ISNUMBER(SEARCH("کسري قطعات",G60)),ISNUMBER(SEARCH("کسری قطعات",G60))),"کسری قطعات تزئینی (تعویض)",IF(ISNUMBER(SEARCH("پرچ",G60)),"پرچ/بدنه کابین(تعمیر)",IF(OR(ISNUMBER(SEARCH("نشت",G60)),ISNUMBER(SEARCH("آبريزش",G60)),ISNUMBER(SEARCH("آبریزش",G60))),"نشتی آب - محل نامشخص (نیازمند بازدید)",IF(ISNUMBER(SEARCH("درب",G60)),"سایر اجزای درب (بازبینی)",IF(ISNUMBER(SEARCH("ضربه",G60)),"بدنه/کابین - ضربه (بازبینی/تعویض پنل)",IF(ISNUMBER(SEARCH("تراز",G60)),"تراز/لرزش - نصب (رگلاژ پایه)",IF(OR(ISNUMBER(SEARCH("تعویض",G60)),ISNUMBER(SEARCH("تعويض",G60))),"تعویض کامل دستگاه (Replacement)","سایر (نیازمند بررسی دستی)")))))))))))))))))))))))))))))))))))))))))))</f>
        <v/>
      </c>
      <c r="P60" s="124" t="inlineStr">
        <is>
          <t>*</t>
        </is>
      </c>
      <c r="Q60" s="124">
        <f>IF(ISNUMBER(SEARCH("عهده شرکت",F60)),"شرکت",IF(ISNUMBER(SEARCH("عهده مشتري",F60)),"مشتری",IF(ISNUMBER(SEARCH("عهده مشتری",F60)),"مشتری","نامشخص")))</f>
        <v/>
      </c>
      <c r="R60" s="178">
        <f>IF(O60="تعویض کامل دستگاه (Replacement)",IF(SUMIF('قیمت‌ها و مفروضات'!$A$9:$A$13,C60,'قیمت‌ها و مفروضات'!$C$9:$C$13)&lt;&gt;0,SUMIF('قیمت‌ها و مفروضات'!$A$9:$A$13,C60,'قیمت‌ها و مفروضات'!$C$9:$C$13),SUMIF('قیمت‌ها و مفروضات'!$A$9:$A$13,C60,'قیمت‌ها و مفروضات'!$B$9:$B$13)),IF(SUMIF('قیمت‌ها و مفروضات'!$A$18:$A$63,O60,'قیمت‌ها و مفروضات'!$C$18:$C$63)&lt;&gt;0,SUMIF('قیمت‌ها و مفروضات'!$A$18:$A$63,O60,'قیمت‌ها و مفروضات'!$C$18:$C$63),SUMIF('قیمت‌ها و مفروضات'!$A$18:$A$63,O60,'قیمت‌ها و مفروضات'!$B$18:$B$63)))</f>
        <v/>
      </c>
      <c r="S60" s="178">
        <f>'قیمت‌ها و مفروضات'!$B$3+'قیمت‌ها و مفروضات'!$B$4</f>
        <v/>
      </c>
      <c r="T60" s="178">
        <f>R60+S60</f>
        <v/>
      </c>
      <c r="U60" s="178">
        <f>IF(COUNTIF($E$2:E60,E60)&gt;1,"بله (تکراری)","خیر")</f>
        <v/>
      </c>
      <c r="V60" s="178">
        <f>IF(U60="بله (تکراری)",S60,0)</f>
        <v/>
      </c>
      <c r="W60" s="208" t="inlineStr"/>
      <c r="X60" s="208" t="inlineStr"/>
    </row>
    <row r="61" ht="58.5" customHeight="1" s="151">
      <c r="A61" s="176" t="n">
        <v>130004237</v>
      </c>
      <c r="B61" s="124">
        <f>CHOOSE(_xlfn.NUMBERVALUE(MID(H61,6,2)),"فروردین","اردیبهشت","خرداد","تیر","مرداد","شهریور","مهر","آبان","آذر","دی","بهمن","اسفند")</f>
        <v/>
      </c>
      <c r="C61" s="176" t="inlineStr">
        <is>
          <t>ماشين ظرفشويي</t>
        </is>
      </c>
      <c r="D61" s="176" t="inlineStr">
        <is>
          <t>CDW-H16T</t>
        </is>
      </c>
      <c r="E61" s="176" t="inlineStr">
        <is>
          <t>52220005N04878</t>
        </is>
      </c>
      <c r="F61" s="173" t="inlineStr">
        <is>
          <t>عدم شست و شوي کامل ظروف**اياب و ذهاب به عهده شرکت</t>
        </is>
      </c>
      <c r="G61" s="173" t="inlineStr">
        <is>
          <t>خرابي واترجت</t>
        </is>
      </c>
      <c r="H61" s="176" t="inlineStr">
        <is>
          <t>1405/01/20</t>
        </is>
      </c>
      <c r="I61" s="124" t="inlineStr">
        <is>
          <t>1404/08/22</t>
        </is>
      </c>
      <c r="J61" s="124" t="inlineStr">
        <is>
          <t>1404/11/04</t>
        </is>
      </c>
      <c r="K61" s="177">
        <f>IFERROR(VLOOKUP(LEFT(H61,7),'تبدیل تاریخ'!$A$2:$B$73,2,FALSE())+VALUE(RIGHT(H61,2))-1,"")</f>
        <v/>
      </c>
      <c r="L61" s="177">
        <f>IFERROR(VLOOKUP(LEFT(I61,7),'تبدیل تاریخ'!$A$2:$B$73,2,FALSE())+VALUE(RIGHT(I61,2))-1,"")</f>
        <v/>
      </c>
      <c r="M61" s="177">
        <f>IF(J61="","",IFERROR(VLOOKUP(LEFT(J61,7),'تبدیل تاریخ'!$A$2:$B$73,2,FALSE())+VALUE(RIGHT(J61,2))-1,""))</f>
        <v/>
      </c>
      <c r="N61" s="124">
        <f>IF(OR(K61="",M61=""),"",CEILING((K61-M61)/30,1))</f>
        <v/>
      </c>
      <c r="O61" s="124">
        <f>IF(OR(ISNUMBER(SEARCH("بدون مورد",G61)),ISNUMBER(SEARCH("غير گارانتي",G61)),ISNUMBER(SEARCH("غیر گارانتی",G61)),ISNUMBER(SEARCH("بدون اجرت",G61)),ISNUMBER(SEARCH("فيلتر",G61)),ISNUMBER(SEARCH("فیلتر",G61))),"غیرگارانتی/بدون قطعه",IF(OR(ISNUMBER(SEARCH("ريست",G61)),ISNUMBER(SEARCH("ریست",G61))),"ریست نرم‌افزاری (بدون قطعه)",IF(OR(ISNUMBER(SEARCH("تعویض محصول",G61)),ISNUMBER(SEARCH("تعویض دستگاه",G61))),"تعویض کامل دستگاه (Replacement)",IF(ISNUMBER(SEARCH("پمپ",G61)),IF(ISNUMBER(SEARCH("نشت",G61)),"نشتی - پمپ تخلیه (تعمیر/آب‌بندی)","خرابی - پمپ تخلیه (تعویض)"),IF(ISNUMBER(SEARCH("کمپرسور",G61)),"خرابی - کمپرسور (تعویض)",IF(ISNUMBER(SEARCH("کمک فنر",G61)),"خرابی - کمک فنر (تعویض)",IF(ISNUMBER(SEARCH("لولا",G61)),"مکانیزم درب - لولا (تعویض)",IF(OR(ISNUMBER(SEARCH("قلاب",G61)),ISNUMBER(SEARCH("ميکروسوئيچ",G61)),ISNUMBER(SEARCH("میکروسوئیچ",G61))),"مکانیزم درب - میکروسوئیچ/قلاب (تعویض/تنظیم)",IF(ISNUMBER(SEARCH("زبانه",G61)),"مکانیزم درب - زبانه (تعویض)",IF(OR(ISNUMBER(SEARCH("شيلنگ",G61)),ISNUMBER(SEARCH("شیلنگ",G61))),IF(OR(ISNUMBER(SEARCH("نشتی",G61)),ISNUMBER(SEARCH("نشتي",G61))),"نشتی - شیلنگ (تعمیر/آب‌بندی)",IF(OR(ISNUMBER(SEARCH("يخ",G61)),ISNUMBER(SEARCH("یخ",G61))),"شیلنگ یخساز - یخ‌زدگی (بازبینی)","شیلنگ - برخورد/لهیدگی (بازبینی)")),IF(OR(ISNUMBER(SEARCH("تنظيم ديسپل",G61)),ISNUMBER(SEARCH("تنظیم دیسپل",G61)),ISNUMBER(SEARCH("تنظيم صفحه نمايش",G61)),ISNUMBER(SEARCH("تنظیم صفحه نمایش",G61))),"تنظیم - تنظیمات دستگاه/دیسپلی (تعمیر)",IF(OR(ISNUMBER(SEARCH("برد",G61)),ISNUMBER(SEARCH("سوکت",G61)),ISNUMBER(SEARCH("ديسپل",G61)),ISNUMBER(SEARCH("دیسپل",G61))),"خرابی - برد الکترونیک (تعویض)",IF(OR(ISNUMBER(SEARCH("يخساز",G61)),ISNUMBER(SEARCH("یخساز",G61)),ISNUMBER(SEARCH("دمپر",G61))),IF(OR(ISNUMBER(SEARCH("خرابی",G61)),ISNUMBER(SEARCH("خراب",G61)),ISNUMBER(SEARCH("عدم کارکرد",G61)),ISNUMBER(SEARCH("عدم عملکرد",G61))),"یخساز - خرابی موتور/سنسور/برد (تعویض)","یخساز - تنظیم/عایق (تعمیر)"),IF(OR(ISNUMBER(SEARCH("لاستيک",G61)),ISNUMBER(SEARCH("لاستیک",G61))),"لاستیک درزگیر - دفرمگی/پارگی (تعویض)",IF(OR(ISNUMBER(SEARCH("گسکت",G61)),ISNUMBER(SEARCH("گسگت",G61))),"لاستیک درزگیر - دفرمگی/پارگی (تعویض)",IF(ISNUMBER(SEARCH("مخزن نمک",G61)),"نشتی - درب مخزن نمک (تعمیر/آب‌بندی)",IF(ISNUMBER(SEARCH("براکت",G61)),"نشتی - براکت ریل (تعمیر/آب‌بندی)",IF(ISNUMBER(SEARCH("جاپودر",G61)),"نشتی - جاپودری (تعمیر/آب‌بندی)",IF(ISNUMBER(SEARCH("مقسم",G61)),"نشتی - مقسم آب (تعمیر/آب‌بندی)",IF(OR(ISNUMBER(SEARCH("سنسور دما",G61)),ISNUMBER(SEARCH("ترموستات",G61))),"خرابی - ترموستات (تعویض)",IF(OR(ISNUMBER(SEARCH("هيدروستات",G61)),ISNUMBER(SEARCH("هیدروستات",G61))),"خرابی - هیدروستات (تعویض)",IF(OR(ISNUMBER(SEARCH("بلبرينگ",G61)),ISNUMBER(SEARCH("بلبرینگ",G61))),"خرابی - بلبرینگ (تعویض)",IF(OR(ISNUMBER(SEARCH("شيربرق",G61)),ISNUMBER(SEARCH("شیربرق",G61))),"خرابی - شیربرقی (تعویض)",IF(OR(ISNUMBER(SEARCH("واتر جت",G61)),ISNUMBER(SEARCH("واترجت",G61))),"خرابی - واترجت (تعویض)",IF(OR(ISNUMBER(SEARCH("سيم",G61)),ISNUMBER(SEARCH("سیم",G61)),ISNUMBER(SEARCH("اتصال",G61))),"سیم‌کشی/اتصالات (تعویض/بازبینی)",IF(OR(ISNUMBER(SEARCH("تصوير",G61)),ISNUMBER(SEARCH("تصویر",G61))),"برد نمایش تلویزیون (تعویض)",IF(OR(ISNUMBER(SEARCH("ريموت",G61)),ISNUMBER(SEARCH("ریموت",G61))),"ریموت کنترل (تعویض/تعمیر)",IF(OR(ISNUMBER(SEARCH("ال اي دي",G61)),ISNUMBER(SEARCH("ال ای دی",G61)),ISNUMBER(SEARCH("LED",G61))),"خرابی - لامپ/LED داخلی (تعویض)",IF(ISNUMBER(SEARCH("زنگ زدگ",G61)),"زنگ‌زدگی بدنه/قطعه (تعویض)",IF(OR(ISNUMBER(SEARCH("قطعات تزئين",G61)),ISNUMBER(SEARCH("قطعات تزئین",G61))),"قطعات تزئینی - شکستگی/کسری (تعویض)",IF(ISNUMBER(SEARCH("سبد",G61)),"سبد ظرفشویی - شکستگی (تعویض)",IF(ISNUMBER(SEARCH("تاب درام",G61)),"خرابی - تاب برداشتن درام (تعویض)",IF(ISNUMBER(SEARCH("درام",G61)),"خرابی - سایر ایراد درام (تعویض)",IF(ISNUMBER(SEARCH("موتور",G61)),"خرابی - موتور (تعویض)",IF(ISNUMBER(SEARCH("تسمه",G61)),"خرابی - تسمه (تعویض)",IF(OR(ISNUMBER(SEARCH("پيچ ولوم",G61)),ISNUMBER(SEARCH("پیچ ولوم",G61))),"تنظیم - پیچ ولوم/دکمه (تعمیر)",IF(OR(ISNUMBER(SEARCH("کسري قطعات",G61)),ISNUMBER(SEARCH("کسری قطعات",G61))),"کسری قطعات تزئینی (تعویض)",IF(ISNUMBER(SEARCH("پرچ",G61)),"پرچ/بدنه کابین(تعمیر)",IF(OR(ISNUMBER(SEARCH("نشت",G61)),ISNUMBER(SEARCH("آبريزش",G61)),ISNUMBER(SEARCH("آبریزش",G61))),"نشتی آب - محل نامشخص (نیازمند بازدید)",IF(ISNUMBER(SEARCH("درب",G61)),"سایر اجزای درب (بازبینی)",IF(ISNUMBER(SEARCH("ضربه",G61)),"بدنه/کابین - ضربه (بازبینی/تعویض پنل)",IF(ISNUMBER(SEARCH("تراز",G61)),"تراز/لرزش - نصب (رگلاژ پایه)",IF(OR(ISNUMBER(SEARCH("تعویض",G61)),ISNUMBER(SEARCH("تعويض",G61))),"تعویض کامل دستگاه (Replacement)","سایر (نیازمند بررسی دستی)")))))))))))))))))))))))))))))))))))))))))))</f>
        <v/>
      </c>
      <c r="P61" s="124" t="inlineStr">
        <is>
          <t>واترجت ظرفشویی</t>
        </is>
      </c>
      <c r="Q61" s="124">
        <f>IF(ISNUMBER(SEARCH("عهده شرکت",F61)),"شرکت",IF(ISNUMBER(SEARCH("عهده مشتري",F61)),"مشتری",IF(ISNUMBER(SEARCH("عهده مشتری",F61)),"مشتری","نامشخص")))</f>
        <v/>
      </c>
      <c r="R61" s="178">
        <f>IF(O61="تعویض کامل دستگاه (Replacement)",IF(SUMIF('قیمت‌ها و مفروضات'!$A$9:$A$13,C61,'قیمت‌ها و مفروضات'!$C$9:$C$13)&lt;&gt;0,SUMIF('قیمت‌ها و مفروضات'!$A$9:$A$13,C61,'قیمت‌ها و مفروضات'!$C$9:$C$13),SUMIF('قیمت‌ها و مفروضات'!$A$9:$A$13,C61,'قیمت‌ها و مفروضات'!$B$9:$B$13)),IF(SUMIF('قیمت‌ها و مفروضات'!$A$18:$A$63,O61,'قیمت‌ها و مفروضات'!$C$18:$C$63)&lt;&gt;0,SUMIF('قیمت‌ها و مفروضات'!$A$18:$A$63,O61,'قیمت‌ها و مفروضات'!$C$18:$C$63),SUMIF('قیمت‌ها و مفروضات'!$A$18:$A$63,O61,'قیمت‌ها و مفروضات'!$B$18:$B$63)))</f>
        <v/>
      </c>
      <c r="S61" s="178">
        <f>'قیمت‌ها و مفروضات'!$B$3+'قیمت‌ها و مفروضات'!$B$4</f>
        <v/>
      </c>
      <c r="T61" s="178">
        <f>R61+S61</f>
        <v/>
      </c>
      <c r="U61" s="178">
        <f>IF(COUNTIF($E$2:E61,E61)&gt;1,"بله (تکراری)","خیر")</f>
        <v/>
      </c>
      <c r="V61" s="178">
        <f>IF(U61="بله (تکراری)",S61,0)</f>
        <v/>
      </c>
      <c r="W61" s="208" t="inlineStr"/>
      <c r="X61" s="208" t="inlineStr"/>
    </row>
    <row r="62" ht="58.5" customHeight="1" s="151">
      <c r="A62" s="176" t="n"/>
      <c r="B62" s="124" t="n"/>
      <c r="C62" s="176" t="n"/>
      <c r="D62" s="176" t="n"/>
      <c r="E62" s="176" t="n"/>
      <c r="H62" s="176" t="n"/>
      <c r="I62" s="124" t="n"/>
      <c r="J62" s="124" t="n"/>
      <c r="K62" s="177" t="n"/>
      <c r="L62" s="177" t="n"/>
      <c r="M62" s="177" t="n"/>
      <c r="N62" s="124" t="n"/>
      <c r="O62" s="124" t="n"/>
      <c r="P62" s="124" t="n"/>
      <c r="Q62" s="124" t="n"/>
      <c r="R62" s="178" t="n"/>
      <c r="S62" s="178" t="n"/>
      <c r="T62" s="178" t="n"/>
      <c r="U62" s="178" t="n"/>
      <c r="V62" s="178" t="n"/>
    </row>
    <row r="63" ht="58.5" customHeight="1" s="151">
      <c r="A63" s="176" t="n">
        <v>130006264</v>
      </c>
      <c r="B63" s="124">
        <f>CHOOSE(_xlfn.NUMBERVALUE(MID(H63,6,2)),"فروردین","اردیبهشت","خرداد","تیر","مرداد","شهریور","مهر","آبان","آذر","دی","بهمن","اسفند")</f>
        <v/>
      </c>
      <c r="C63" s="176" t="inlineStr">
        <is>
          <t>ماشين ظرفشويي</t>
        </is>
      </c>
      <c r="D63" s="176" t="inlineStr">
        <is>
          <t>CDW-H16T</t>
        </is>
      </c>
      <c r="E63" s="176" t="inlineStr">
        <is>
          <t>52220005N03807</t>
        </is>
      </c>
      <c r="F63" s="173" t="inlineStr">
        <is>
          <t>اياب و ذهاب به عهده شرکت ** بسته نشدن درب</t>
        </is>
      </c>
      <c r="G63" s="173" t="inlineStr">
        <is>
          <t>ريست دستگاه - ظرفشويي</t>
        </is>
      </c>
      <c r="H63" s="176" t="inlineStr">
        <is>
          <t>1405/01/22</t>
        </is>
      </c>
      <c r="I63" s="124" t="inlineStr">
        <is>
          <t>1404/07/07</t>
        </is>
      </c>
      <c r="J63" s="124" t="inlineStr">
        <is>
          <t>1404/08/13</t>
        </is>
      </c>
      <c r="K63" s="177">
        <f>IFERROR(VLOOKUP(LEFT(H63,7),'تبدیل تاریخ'!$A$2:$B$73,2,FALSE())+VALUE(RIGHT(H63,2))-1,"")</f>
        <v/>
      </c>
      <c r="L63" s="177">
        <f>IFERROR(VLOOKUP(LEFT(I63,7),'تبدیل تاریخ'!$A$2:$B$73,2,FALSE())+VALUE(RIGHT(I63,2))-1,"")</f>
        <v/>
      </c>
      <c r="M63" s="177">
        <f>IF(J63="","",IFERROR(VLOOKUP(LEFT(J63,7),'تبدیل تاریخ'!$A$2:$B$73,2,FALSE())+VALUE(RIGHT(J63,2))-1,""))</f>
        <v/>
      </c>
      <c r="N63" s="124">
        <f>IF(OR(K63="",M63=""),"",CEILING((K63-M63)/30,1))</f>
        <v/>
      </c>
      <c r="O63" s="124">
        <f>IF(OR(ISNUMBER(SEARCH("بدون مورد",G63)),ISNUMBER(SEARCH("غير گارانتي",G63)),ISNUMBER(SEARCH("غیر گارانتی",G63)),ISNUMBER(SEARCH("بدون اجرت",G63)),ISNUMBER(SEARCH("فيلتر",G63)),ISNUMBER(SEARCH("فیلتر",G63))),"غیرگارانتی/بدون قطعه",IF(OR(ISNUMBER(SEARCH("ريست",G63)),ISNUMBER(SEARCH("ریست",G63))),"ریست نرم‌افزاری (بدون قطعه)",IF(OR(ISNUMBER(SEARCH("تعویض محصول",G63)),ISNUMBER(SEARCH("تعویض دستگاه",G63))),"تعویض کامل دستگاه (Replacement)",IF(ISNUMBER(SEARCH("پمپ",G63)),IF(ISNUMBER(SEARCH("نشت",G63)),"نشتی - پمپ تخلیه (تعمیر/آب‌بندی)","خرابی - پمپ تخلیه (تعویض)"),IF(ISNUMBER(SEARCH("کمپرسور",G63)),"خرابی - کمپرسور (تعویض)",IF(ISNUMBER(SEARCH("کمک فنر",G63)),"خرابی - کمک فنر (تعویض)",IF(ISNUMBER(SEARCH("لولا",G63)),"مکانیزم درب - لولا (تعویض)",IF(OR(ISNUMBER(SEARCH("قلاب",G63)),ISNUMBER(SEARCH("ميکروسوئيچ",G63)),ISNUMBER(SEARCH("میکروسوئیچ",G63))),"مکانیزم درب - میکروسوئیچ/قلاب (تعویض/تنظیم)",IF(ISNUMBER(SEARCH("زبانه",G63)),"مکانیزم درب - زبانه (تعویض)",IF(OR(ISNUMBER(SEARCH("شيلنگ",G63)),ISNUMBER(SEARCH("شیلنگ",G63))),IF(OR(ISNUMBER(SEARCH("نشتی",G63)),ISNUMBER(SEARCH("نشتي",G63))),"نشتی - شیلنگ (تعمیر/آب‌بندی)",IF(OR(ISNUMBER(SEARCH("يخ",G63)),ISNUMBER(SEARCH("یخ",G63))),"شیلنگ یخساز - یخ‌زدگی (بازبینی)","شیلنگ - برخورد/لهیدگی (بازبینی)")),IF(OR(ISNUMBER(SEARCH("تنظيم ديسپل",G63)),ISNUMBER(SEARCH("تنظیم دیسپل",G63)),ISNUMBER(SEARCH("تنظيم صفحه نمايش",G63)),ISNUMBER(SEARCH("تنظیم صفحه نمایش",G63))),"تنظیم - تنظیمات دستگاه/دیسپلی (تعمیر)",IF(OR(ISNUMBER(SEARCH("برد",G63)),ISNUMBER(SEARCH("سوکت",G63)),ISNUMBER(SEARCH("ديسپل",G63)),ISNUMBER(SEARCH("دیسپل",G63))),"خرابی - برد الکترونیک (تعویض)",IF(OR(ISNUMBER(SEARCH("يخساز",G63)),ISNUMBER(SEARCH("یخساز",G63)),ISNUMBER(SEARCH("دمپر",G63))),IF(OR(ISNUMBER(SEARCH("خرابی",G63)),ISNUMBER(SEARCH("خراب",G63)),ISNUMBER(SEARCH("عدم کارکرد",G63)),ISNUMBER(SEARCH("عدم عملکرد",G63))),"یخساز - خرابی موتور/سنسور/برد (تعویض)","یخساز - تنظیم/عایق (تعمیر)"),IF(OR(ISNUMBER(SEARCH("لاستيک",G63)),ISNUMBER(SEARCH("لاستیک",G63))),"لاستیک درزگیر - دفرمگی/پارگی (تعویض)",IF(OR(ISNUMBER(SEARCH("گسکت",G63)),ISNUMBER(SEARCH("گسگت",G63))),"لاستیک درزگیر - دفرمگی/پارگی (تعویض)",IF(ISNUMBER(SEARCH("مخزن نمک",G63)),"نشتی - درب مخزن نمک (تعمیر/آب‌بندی)",IF(ISNUMBER(SEARCH("براکت",G63)),"نشتی - براکت ریل (تعمیر/آب‌بندی)",IF(ISNUMBER(SEARCH("جاپودر",G63)),"نشتی - جاپودری (تعمیر/آب‌بندی)",IF(ISNUMBER(SEARCH("مقسم",G63)),"نشتی - مقسم آب (تعمیر/آب‌بندی)",IF(OR(ISNUMBER(SEARCH("سنسور دما",G63)),ISNUMBER(SEARCH("ترموستات",G63))),"خرابی - ترموستات (تعویض)",IF(OR(ISNUMBER(SEARCH("هيدروستات",G63)),ISNUMBER(SEARCH("هیدروستات",G63))),"خرابی - هیدروستات (تعویض)",IF(OR(ISNUMBER(SEARCH("بلبرينگ",G63)),ISNUMBER(SEARCH("بلبرینگ",G63))),"خرابی - بلبرینگ (تعویض)",IF(OR(ISNUMBER(SEARCH("شيربرق",G63)),ISNUMBER(SEARCH("شیربرق",G63))),"خرابی - شیربرقی (تعویض)",IF(OR(ISNUMBER(SEARCH("واتر جت",G63)),ISNUMBER(SEARCH("واترجت",G63))),"خرابی - واترجت (تعویض)",IF(OR(ISNUMBER(SEARCH("سيم",G63)),ISNUMBER(SEARCH("سیم",G63)),ISNUMBER(SEARCH("اتصال",G63))),"سیم‌کشی/اتصالات (تعویض/بازبینی)",IF(OR(ISNUMBER(SEARCH("تصوير",G63)),ISNUMBER(SEARCH("تصویر",G63))),"برد نمایش تلویزیون (تعویض)",IF(OR(ISNUMBER(SEARCH("ريموت",G63)),ISNUMBER(SEARCH("ریموت",G63))),"ریموت کنترل (تعویض/تعمیر)",IF(OR(ISNUMBER(SEARCH("ال اي دي",G63)),ISNUMBER(SEARCH("ال ای دی",G63)),ISNUMBER(SEARCH("LED",G63))),"خرابی - لامپ/LED داخلی (تعویض)",IF(ISNUMBER(SEARCH("زنگ زدگ",G63)),"زنگ‌زدگی بدنه/قطعه (تعویض)",IF(OR(ISNUMBER(SEARCH("قطعات تزئين",G63)),ISNUMBER(SEARCH("قطعات تزئین",G63))),"قطعات تزئینی - شکستگی/کسری (تعویض)",IF(ISNUMBER(SEARCH("سبد",G63)),"سبد ظرفشویی - شکستگی (تعویض)",IF(ISNUMBER(SEARCH("تاب درام",G63)),"خرابی - تاب برداشتن درام (تعویض)",IF(ISNUMBER(SEARCH("درام",G63)),"خرابی - سایر ایراد درام (تعویض)",IF(ISNUMBER(SEARCH("موتور",G63)),"خرابی - موتور (تعویض)",IF(ISNUMBER(SEARCH("تسمه",G63)),"خرابی - تسمه (تعویض)",IF(OR(ISNUMBER(SEARCH("پيچ ولوم",G63)),ISNUMBER(SEARCH("پیچ ولوم",G63))),"تنظیم - پیچ ولوم/دکمه (تعمیر)",IF(OR(ISNUMBER(SEARCH("کسري قطعات",G63)),ISNUMBER(SEARCH("کسری قطعات",G63))),"کسری قطعات تزئینی (تعویض)",IF(ISNUMBER(SEARCH("پرچ",G63)),"پرچ/بدنه کابین(تعمیر)",IF(OR(ISNUMBER(SEARCH("نشت",G63)),ISNUMBER(SEARCH("آبريزش",G63)),ISNUMBER(SEARCH("آبریزش",G63))),"نشتی آب - محل نامشخص (نیازمند بازدید)",IF(ISNUMBER(SEARCH("درب",G63)),"سایر اجزای درب (بازبینی)",IF(ISNUMBER(SEARCH("ضربه",G63)),"بدنه/کابین - ضربه (بازبینی/تعویض پنل)",IF(ISNUMBER(SEARCH("تراز",G63)),"تراز/لرزش - نصب (رگلاژ پایه)",IF(OR(ISNUMBER(SEARCH("تعویض",G63)),ISNUMBER(SEARCH("تعويض",G63))),"تعویض کامل دستگاه (Replacement)","سایر (نیازمند بررسی دستی)")))))))))))))))))))))))))))))))))))))))))))</f>
        <v/>
      </c>
      <c r="P63" s="124" t="inlineStr">
        <is>
          <t>*</t>
        </is>
      </c>
      <c r="Q63" s="124">
        <f>IF(ISNUMBER(SEARCH("عهده شرکت",F63)),"شرکت",IF(ISNUMBER(SEARCH("عهده مشتري",F63)),"مشتری",IF(ISNUMBER(SEARCH("عهده مشتری",F63)),"مشتری","نامشخص")))</f>
        <v/>
      </c>
      <c r="R63" s="178">
        <f>IF(O63="تعویض کامل دستگاه (Replacement)",IF(SUMIF('قیمت‌ها و مفروضات'!$A$9:$A$13,C63,'قیمت‌ها و مفروضات'!$C$9:$C$13)&lt;&gt;0,SUMIF('قیمت‌ها و مفروضات'!$A$9:$A$13,C63,'قیمت‌ها و مفروضات'!$C$9:$C$13),SUMIF('قیمت‌ها و مفروضات'!$A$9:$A$13,C63,'قیمت‌ها و مفروضات'!$B$9:$B$13)),IF(SUMIF('قیمت‌ها و مفروضات'!$A$18:$A$63,O63,'قیمت‌ها و مفروضات'!$C$18:$C$63)&lt;&gt;0,SUMIF('قیمت‌ها و مفروضات'!$A$18:$A$63,O63,'قیمت‌ها و مفروضات'!$C$18:$C$63),SUMIF('قیمت‌ها و مفروضات'!$A$18:$A$63,O63,'قیمت‌ها و مفروضات'!$B$18:$B$63)))</f>
        <v/>
      </c>
      <c r="S63" s="178">
        <f>'قیمت‌ها و مفروضات'!$B$3+'قیمت‌ها و مفروضات'!$B$4</f>
        <v/>
      </c>
      <c r="T63" s="178">
        <f>R63+S63</f>
        <v/>
      </c>
      <c r="U63" s="178">
        <f>IF(COUNTIF($E$2:E63,E63)&gt;1,"بله (تکراری)","خیر")</f>
        <v/>
      </c>
      <c r="V63" s="178">
        <f>IF(U63="بله (تکراری)",S63,0)</f>
        <v/>
      </c>
      <c r="W63" s="208" t="inlineStr"/>
      <c r="X63" s="208" t="inlineStr"/>
    </row>
    <row r="64" ht="58.5" customHeight="1" s="151">
      <c r="A64" s="176" t="n">
        <v>810003208</v>
      </c>
      <c r="B64" s="124">
        <f>CHOOSE(_xlfn.NUMBERVALUE(MID(H64,6,2)),"فروردین","اردیبهشت","خرداد","تیر","مرداد","شهریور","مهر","آبان","آذر","دی","بهمن","اسفند")</f>
        <v/>
      </c>
      <c r="C64" s="176" t="inlineStr">
        <is>
          <t>ماشين ظرفشويي</t>
        </is>
      </c>
      <c r="D64" s="176" t="inlineStr">
        <is>
          <t>CDW-H15V</t>
        </is>
      </c>
      <c r="E64" s="176" t="inlineStr">
        <is>
          <t>52220002N01514</t>
        </is>
      </c>
      <c r="F64" s="173" t="inlineStr">
        <is>
          <t>باز شدن درب حين شست و شو اياب و ذهاب به عهده شرکت</t>
        </is>
      </c>
      <c r="G64" s="173" t="inlineStr">
        <is>
          <t>ريست دستگاه - ظرفشويي</t>
        </is>
      </c>
      <c r="H64" s="176" t="inlineStr">
        <is>
          <t>1405/01/22</t>
        </is>
      </c>
      <c r="I64" s="124" t="inlineStr">
        <is>
          <t>1403/11/01</t>
        </is>
      </c>
      <c r="J64" s="124" t="inlineStr">
        <is>
          <t>1404/09/02</t>
        </is>
      </c>
      <c r="K64" s="177">
        <f>IFERROR(VLOOKUP(LEFT(H64,7),'تبدیل تاریخ'!$A$2:$B$73,2,FALSE())+VALUE(RIGHT(H64,2))-1,"")</f>
        <v/>
      </c>
      <c r="L64" s="177">
        <f>IFERROR(VLOOKUP(LEFT(I64,7),'تبدیل تاریخ'!$A$2:$B$73,2,FALSE())+VALUE(RIGHT(I64,2))-1,"")</f>
        <v/>
      </c>
      <c r="M64" s="177">
        <f>IF(J64="","",IFERROR(VLOOKUP(LEFT(J64,7),'تبدیل تاریخ'!$A$2:$B$73,2,FALSE())+VALUE(RIGHT(J64,2))-1,""))</f>
        <v/>
      </c>
      <c r="N64" s="124">
        <f>IF(OR(K64="",M64=""),"",CEILING((K64-M64)/30,1))</f>
        <v/>
      </c>
      <c r="O64" s="124">
        <f>IF(OR(ISNUMBER(SEARCH("بدون مورد",G64)),ISNUMBER(SEARCH("غير گارانتي",G64)),ISNUMBER(SEARCH("غیر گارانتی",G64)),ISNUMBER(SEARCH("بدون اجرت",G64)),ISNUMBER(SEARCH("فيلتر",G64)),ISNUMBER(SEARCH("فیلتر",G64))),"غیرگارانتی/بدون قطعه",IF(OR(ISNUMBER(SEARCH("ريست",G64)),ISNUMBER(SEARCH("ریست",G64))),"ریست نرم‌افزاری (بدون قطعه)",IF(OR(ISNUMBER(SEARCH("تعویض محصول",G64)),ISNUMBER(SEARCH("تعویض دستگاه",G64))),"تعویض کامل دستگاه (Replacement)",IF(ISNUMBER(SEARCH("پمپ",G64)),IF(ISNUMBER(SEARCH("نشت",G64)),"نشتی - پمپ تخلیه (تعمیر/آب‌بندی)","خرابی - پمپ تخلیه (تعویض)"),IF(ISNUMBER(SEARCH("کمپرسور",G64)),"خرابی - کمپرسور (تعویض)",IF(ISNUMBER(SEARCH("کمک فنر",G64)),"خرابی - کمک فنر (تعویض)",IF(ISNUMBER(SEARCH("لولا",G64)),"مکانیزم درب - لولا (تعویض)",IF(OR(ISNUMBER(SEARCH("قلاب",G64)),ISNUMBER(SEARCH("ميکروسوئيچ",G64)),ISNUMBER(SEARCH("میکروسوئیچ",G64))),"مکانیزم درب - میکروسوئیچ/قلاب (تعویض/تنظیم)",IF(ISNUMBER(SEARCH("زبانه",G64)),"مکانیزم درب - زبانه (تعویض)",IF(OR(ISNUMBER(SEARCH("شيلنگ",G64)),ISNUMBER(SEARCH("شیلنگ",G64))),IF(OR(ISNUMBER(SEARCH("نشتی",G64)),ISNUMBER(SEARCH("نشتي",G64))),"نشتی - شیلنگ (تعمیر/آب‌بندی)",IF(OR(ISNUMBER(SEARCH("يخ",G64)),ISNUMBER(SEARCH("یخ",G64))),"شیلنگ یخساز - یخ‌زدگی (بازبینی)","شیلنگ - برخورد/لهیدگی (بازبینی)")),IF(OR(ISNUMBER(SEARCH("تنظيم ديسپل",G64)),ISNUMBER(SEARCH("تنظیم دیسپل",G64)),ISNUMBER(SEARCH("تنظيم صفحه نمايش",G64)),ISNUMBER(SEARCH("تنظیم صفحه نمایش",G64))),"تنظیم - تنظیمات دستگاه/دیسپلی (تعمیر)",IF(OR(ISNUMBER(SEARCH("برد",G64)),ISNUMBER(SEARCH("سوکت",G64)),ISNUMBER(SEARCH("ديسپل",G64)),ISNUMBER(SEARCH("دیسپل",G64))),"خرابی - برد الکترونیک (تعویض)",IF(OR(ISNUMBER(SEARCH("يخساز",G64)),ISNUMBER(SEARCH("یخساز",G64)),ISNUMBER(SEARCH("دمپر",G64))),IF(OR(ISNUMBER(SEARCH("خرابی",G64)),ISNUMBER(SEARCH("خراب",G64)),ISNUMBER(SEARCH("عدم کارکرد",G64)),ISNUMBER(SEARCH("عدم عملکرد",G64))),"یخساز - خرابی موتور/سنسور/برد (تعویض)","یخساز - تنظیم/عایق (تعمیر)"),IF(OR(ISNUMBER(SEARCH("لاستيک",G64)),ISNUMBER(SEARCH("لاستیک",G64))),"لاستیک درزگیر - دفرمگی/پارگی (تعویض)",IF(OR(ISNUMBER(SEARCH("گسکت",G64)),ISNUMBER(SEARCH("گسگت",G64))),"لاستیک درزگیر - دفرمگی/پارگی (تعویض)",IF(ISNUMBER(SEARCH("مخزن نمک",G64)),"نشتی - درب مخزن نمک (تعمیر/آب‌بندی)",IF(ISNUMBER(SEARCH("براکت",G64)),"نشتی - براکت ریل (تعمیر/آب‌بندی)",IF(ISNUMBER(SEARCH("جاپودر",G64)),"نشتی - جاپودری (تعمیر/آب‌بندی)",IF(ISNUMBER(SEARCH("مقسم",G64)),"نشتی - مقسم آب (تعمیر/آب‌بندی)",IF(OR(ISNUMBER(SEARCH("سنسور دما",G64)),ISNUMBER(SEARCH("ترموستات",G64))),"خرابی - ترموستات (تعویض)",IF(OR(ISNUMBER(SEARCH("هيدروستات",G64)),ISNUMBER(SEARCH("هیدروستات",G64))),"خرابی - هیدروستات (تعویض)",IF(OR(ISNUMBER(SEARCH("بلبرينگ",G64)),ISNUMBER(SEARCH("بلبرینگ",G64))),"خرابی - بلبرینگ (تعویض)",IF(OR(ISNUMBER(SEARCH("شيربرق",G64)),ISNUMBER(SEARCH("شیربرق",G64))),"خرابی - شیربرقی (تعویض)",IF(OR(ISNUMBER(SEARCH("واتر جت",G64)),ISNUMBER(SEARCH("واترجت",G64))),"خرابی - واترجت (تعویض)",IF(OR(ISNUMBER(SEARCH("سيم",G64)),ISNUMBER(SEARCH("سیم",G64)),ISNUMBER(SEARCH("اتصال",G64))),"سیم‌کشی/اتصالات (تعویض/بازبینی)",IF(OR(ISNUMBER(SEARCH("تصوير",G64)),ISNUMBER(SEARCH("تصویر",G64))),"برد نمایش تلویزیون (تعویض)",IF(OR(ISNUMBER(SEARCH("ريموت",G64)),ISNUMBER(SEARCH("ریموت",G64))),"ریموت کنترل (تعویض/تعمیر)",IF(OR(ISNUMBER(SEARCH("ال اي دي",G64)),ISNUMBER(SEARCH("ال ای دی",G64)),ISNUMBER(SEARCH("LED",G64))),"خرابی - لامپ/LED داخلی (تعویض)",IF(ISNUMBER(SEARCH("زنگ زدگ",G64)),"زنگ‌زدگی بدنه/قطعه (تعویض)",IF(OR(ISNUMBER(SEARCH("قطعات تزئين",G64)),ISNUMBER(SEARCH("قطعات تزئین",G64))),"قطعات تزئینی - شکستگی/کسری (تعویض)",IF(ISNUMBER(SEARCH("سبد",G64)),"سبد ظرفشویی - شکستگی (تعویض)",IF(ISNUMBER(SEARCH("تاب درام",G64)),"خرابی - تاب برداشتن درام (تعویض)",IF(ISNUMBER(SEARCH("درام",G64)),"خرابی - سایر ایراد درام (تعویض)",IF(ISNUMBER(SEARCH("موتور",G64)),"خرابی - موتور (تعویض)",IF(ISNUMBER(SEARCH("تسمه",G64)),"خرابی - تسمه (تعویض)",IF(OR(ISNUMBER(SEARCH("پيچ ولوم",G64)),ISNUMBER(SEARCH("پیچ ولوم",G64))),"تنظیم - پیچ ولوم/دکمه (تعمیر)",IF(OR(ISNUMBER(SEARCH("کسري قطعات",G64)),ISNUMBER(SEARCH("کسری قطعات",G64))),"کسری قطعات تزئینی (تعویض)",IF(ISNUMBER(SEARCH("پرچ",G64)),"پرچ/بدنه کابین(تعمیر)",IF(OR(ISNUMBER(SEARCH("نشت",G64)),ISNUMBER(SEARCH("آبريزش",G64)),ISNUMBER(SEARCH("آبریزش",G64))),"نشتی آب - محل نامشخص (نیازمند بازدید)",IF(ISNUMBER(SEARCH("درب",G64)),"سایر اجزای درب (بازبینی)",IF(ISNUMBER(SEARCH("ضربه",G64)),"بدنه/کابین - ضربه (بازبینی/تعویض پنل)",IF(ISNUMBER(SEARCH("تراز",G64)),"تراز/لرزش - نصب (رگلاژ پایه)",IF(OR(ISNUMBER(SEARCH("تعویض",G64)),ISNUMBER(SEARCH("تعويض",G64))),"تعویض کامل دستگاه (Replacement)","سایر (نیازمند بررسی دستی)")))))))))))))))))))))))))))))))))))))))))))</f>
        <v/>
      </c>
      <c r="P64" s="124" t="inlineStr">
        <is>
          <t>*</t>
        </is>
      </c>
      <c r="Q64" s="124">
        <f>IF(ISNUMBER(SEARCH("عهده شرکت",F64)),"شرکت",IF(ISNUMBER(SEARCH("عهده مشتري",F64)),"مشتری",IF(ISNUMBER(SEARCH("عهده مشتری",F64)),"مشتری","نامشخص")))</f>
        <v/>
      </c>
      <c r="R64" s="178">
        <f>IF(O64="تعویض کامل دستگاه (Replacement)",IF(SUMIF('قیمت‌ها و مفروضات'!$A$9:$A$13,C64,'قیمت‌ها و مفروضات'!$C$9:$C$13)&lt;&gt;0,SUMIF('قیمت‌ها و مفروضات'!$A$9:$A$13,C64,'قیمت‌ها و مفروضات'!$C$9:$C$13),SUMIF('قیمت‌ها و مفروضات'!$A$9:$A$13,C64,'قیمت‌ها و مفروضات'!$B$9:$B$13)),IF(SUMIF('قیمت‌ها و مفروضات'!$A$18:$A$63,O64,'قیمت‌ها و مفروضات'!$C$18:$C$63)&lt;&gt;0,SUMIF('قیمت‌ها و مفروضات'!$A$18:$A$63,O64,'قیمت‌ها و مفروضات'!$C$18:$C$63),SUMIF('قیمت‌ها و مفروضات'!$A$18:$A$63,O64,'قیمت‌ها و مفروضات'!$B$18:$B$63)))</f>
        <v/>
      </c>
      <c r="S64" s="178">
        <f>'قیمت‌ها و مفروضات'!$B$3+'قیمت‌ها و مفروضات'!$B$4</f>
        <v/>
      </c>
      <c r="T64" s="178">
        <f>R64+S64</f>
        <v/>
      </c>
      <c r="U64" s="178">
        <f>IF(COUNTIF($E$2:E64,E64)&gt;1,"بله (تکراری)","خیر")</f>
        <v/>
      </c>
      <c r="V64" s="178">
        <f>IF(U64="بله (تکراری)",S64,0)</f>
        <v/>
      </c>
      <c r="W64" s="208" t="inlineStr"/>
      <c r="X64" s="208" t="inlineStr"/>
    </row>
    <row r="65" ht="58.5" customHeight="1" s="151">
      <c r="A65" s="176" t="n">
        <v>510019989</v>
      </c>
      <c r="B65" s="124">
        <f>CHOOSE(_xlfn.NUMBERVALUE(MID(H65,6,2)),"فروردین","اردیبهشت","خرداد","تیر","مرداد","شهریور","مهر","آبان","آذر","دی","بهمن","اسفند")</f>
        <v/>
      </c>
      <c r="C65" s="176" t="inlineStr">
        <is>
          <t>ماشين ظرفشويي</t>
        </is>
      </c>
      <c r="D65" s="176" t="inlineStr">
        <is>
          <t>CDW-H15V</t>
        </is>
      </c>
      <c r="E65" s="176" t="inlineStr">
        <is>
          <t>52220002N02711</t>
        </is>
      </c>
      <c r="F65" s="173" t="inlineStr">
        <is>
          <t>بسته نشدن درب اياب و ذهاب به عهده شرکت</t>
        </is>
      </c>
      <c r="G65" s="173" t="inlineStr">
        <is>
          <t>خرابي قلاب ميکروسوئيچ</t>
        </is>
      </c>
      <c r="H65" s="176" t="inlineStr">
        <is>
          <t>1405/01/23</t>
        </is>
      </c>
      <c r="I65" s="124" t="inlineStr">
        <is>
          <t>1404/08/14</t>
        </is>
      </c>
      <c r="J65" s="124" t="inlineStr">
        <is>
          <t>1405/01/22</t>
        </is>
      </c>
      <c r="K65" s="177">
        <f>IFERROR(VLOOKUP(LEFT(H65,7),'تبدیل تاریخ'!$A$2:$B$73,2,FALSE())+VALUE(RIGHT(H65,2))-1,"")</f>
        <v/>
      </c>
      <c r="L65" s="177">
        <f>IFERROR(VLOOKUP(LEFT(I65,7),'تبدیل تاریخ'!$A$2:$B$73,2,FALSE())+VALUE(RIGHT(I65,2))-1,"")</f>
        <v/>
      </c>
      <c r="M65" s="177">
        <f>IF(J65="","",IFERROR(VLOOKUP(LEFT(J65,7),'تبدیل تاریخ'!$A$2:$B$73,2,FALSE())+VALUE(RIGHT(J65,2))-1,""))</f>
        <v/>
      </c>
      <c r="N65" s="124">
        <f>IF(OR(K65="",M65=""),"",CEILING((K65-M65)/30,1))</f>
        <v/>
      </c>
      <c r="O65" s="124">
        <f>IF(OR(ISNUMBER(SEARCH("بدون مورد",G65)),ISNUMBER(SEARCH("غير گارانتي",G65)),ISNUMBER(SEARCH("غیر گارانتی",G65)),ISNUMBER(SEARCH("بدون اجرت",G65)),ISNUMBER(SEARCH("فيلتر",G65)),ISNUMBER(SEARCH("فیلتر",G65))),"غیرگارانتی/بدون قطعه",IF(OR(ISNUMBER(SEARCH("ريست",G65)),ISNUMBER(SEARCH("ریست",G65))),"ریست نرم‌افزاری (بدون قطعه)",IF(OR(ISNUMBER(SEARCH("تعویض محصول",G65)),ISNUMBER(SEARCH("تعویض دستگاه",G65))),"تعویض کامل دستگاه (Replacement)",IF(ISNUMBER(SEARCH("پمپ",G65)),IF(ISNUMBER(SEARCH("نشت",G65)),"نشتی - پمپ تخلیه (تعمیر/آب‌بندی)","خرابی - پمپ تخلیه (تعویض)"),IF(ISNUMBER(SEARCH("کمپرسور",G65)),"خرابی - کمپرسور (تعویض)",IF(ISNUMBER(SEARCH("کمک فنر",G65)),"خرابی - کمک فنر (تعویض)",IF(ISNUMBER(SEARCH("لولا",G65)),"مکانیزم درب - لولا (تعویض)",IF(OR(ISNUMBER(SEARCH("قلاب",G65)),ISNUMBER(SEARCH("ميکروسوئيچ",G65)),ISNUMBER(SEARCH("میکروسوئیچ",G65))),"مکانیزم درب - میکروسوئیچ/قلاب (تعویض/تنظیم)",IF(ISNUMBER(SEARCH("زبانه",G65)),"مکانیزم درب - زبانه (تعویض)",IF(OR(ISNUMBER(SEARCH("شيلنگ",G65)),ISNUMBER(SEARCH("شیلنگ",G65))),IF(OR(ISNUMBER(SEARCH("نشتی",G65)),ISNUMBER(SEARCH("نشتي",G65))),"نشتی - شیلنگ (تعمیر/آب‌بندی)",IF(OR(ISNUMBER(SEARCH("يخ",G65)),ISNUMBER(SEARCH("یخ",G65))),"شیلنگ یخساز - یخ‌زدگی (بازبینی)","شیلنگ - برخورد/لهیدگی (بازبینی)")),IF(OR(ISNUMBER(SEARCH("تنظيم ديسپل",G65)),ISNUMBER(SEARCH("تنظیم دیسپل",G65)),ISNUMBER(SEARCH("تنظيم صفحه نمايش",G65)),ISNUMBER(SEARCH("تنظیم صفحه نمایش",G65))),"تنظیم - تنظیمات دستگاه/دیسپلی (تعمیر)",IF(OR(ISNUMBER(SEARCH("برد",G65)),ISNUMBER(SEARCH("سوکت",G65)),ISNUMBER(SEARCH("ديسپل",G65)),ISNUMBER(SEARCH("دیسپل",G65))),"خرابی - برد الکترونیک (تعویض)",IF(OR(ISNUMBER(SEARCH("يخساز",G65)),ISNUMBER(SEARCH("یخساز",G65)),ISNUMBER(SEARCH("دمپر",G65))),IF(OR(ISNUMBER(SEARCH("خرابی",G65)),ISNUMBER(SEARCH("خراب",G65)),ISNUMBER(SEARCH("عدم کارکرد",G65)),ISNUMBER(SEARCH("عدم عملکرد",G65))),"یخساز - خرابی موتور/سنسور/برد (تعویض)","یخساز - تنظیم/عایق (تعمیر)"),IF(OR(ISNUMBER(SEARCH("لاستيک",G65)),ISNUMBER(SEARCH("لاستیک",G65))),"لاستیک درزگیر - دفرمگی/پارگی (تعویض)",IF(OR(ISNUMBER(SEARCH("گسکت",G65)),ISNUMBER(SEARCH("گسگت",G65))),"لاستیک درزگیر - دفرمگی/پارگی (تعویض)",IF(ISNUMBER(SEARCH("مخزن نمک",G65)),"نشتی - درب مخزن نمک (تعمیر/آب‌بندی)",IF(ISNUMBER(SEARCH("براکت",G65)),"نشتی - براکت ریل (تعمیر/آب‌بندی)",IF(ISNUMBER(SEARCH("جاپودر",G65)),"نشتی - جاپودری (تعمیر/آب‌بندی)",IF(ISNUMBER(SEARCH("مقسم",G65)),"نشتی - مقسم آب (تعمیر/آب‌بندی)",IF(OR(ISNUMBER(SEARCH("سنسور دما",G65)),ISNUMBER(SEARCH("ترموستات",G65))),"خرابی - ترموستات (تعویض)",IF(OR(ISNUMBER(SEARCH("هيدروستات",G65)),ISNUMBER(SEARCH("هیدروستات",G65))),"خرابی - هیدروستات (تعویض)",IF(OR(ISNUMBER(SEARCH("بلبرينگ",G65)),ISNUMBER(SEARCH("بلبرینگ",G65))),"خرابی - بلبرینگ (تعویض)",IF(OR(ISNUMBER(SEARCH("شيربرق",G65)),ISNUMBER(SEARCH("شیربرق",G65))),"خرابی - شیربرقی (تعویض)",IF(OR(ISNUMBER(SEARCH("واتر جت",G65)),ISNUMBER(SEARCH("واترجت",G65))),"خرابی - واترجت (تعویض)",IF(OR(ISNUMBER(SEARCH("سيم",G65)),ISNUMBER(SEARCH("سیم",G65)),ISNUMBER(SEARCH("اتصال",G65))),"سیم‌کشی/اتصالات (تعویض/بازبینی)",IF(OR(ISNUMBER(SEARCH("تصوير",G65)),ISNUMBER(SEARCH("تصویر",G65))),"برد نمایش تلویزیون (تعویض)",IF(OR(ISNUMBER(SEARCH("ريموت",G65)),ISNUMBER(SEARCH("ریموت",G65))),"ریموت کنترل (تعویض/تعمیر)",IF(OR(ISNUMBER(SEARCH("ال اي دي",G65)),ISNUMBER(SEARCH("ال ای دی",G65)),ISNUMBER(SEARCH("LED",G65))),"خرابی - لامپ/LED داخلی (تعویض)",IF(ISNUMBER(SEARCH("زنگ زدگ",G65)),"زنگ‌زدگی بدنه/قطعه (تعویض)",IF(OR(ISNUMBER(SEARCH("قطعات تزئين",G65)),ISNUMBER(SEARCH("قطعات تزئین",G65))),"قطعات تزئینی - شکستگی/کسری (تعویض)",IF(ISNUMBER(SEARCH("سبد",G65)),"سبد ظرفشویی - شکستگی (تعویض)",IF(ISNUMBER(SEARCH("تاب درام",G65)),"خرابی - تاب برداشتن درام (تعویض)",IF(ISNUMBER(SEARCH("درام",G65)),"خرابی - سایر ایراد درام (تعویض)",IF(ISNUMBER(SEARCH("موتور",G65)),"خرابی - موتور (تعویض)",IF(ISNUMBER(SEARCH("تسمه",G65)),"خرابی - تسمه (تعویض)",IF(OR(ISNUMBER(SEARCH("پيچ ولوم",G65)),ISNUMBER(SEARCH("پیچ ولوم",G65))),"تنظیم - پیچ ولوم/دکمه (تعمیر)",IF(OR(ISNUMBER(SEARCH("کسري قطعات",G65)),ISNUMBER(SEARCH("کسری قطعات",G65))),"کسری قطعات تزئینی (تعویض)",IF(ISNUMBER(SEARCH("پرچ",G65)),"پرچ/بدنه کابین(تعمیر)",IF(OR(ISNUMBER(SEARCH("نشت",G65)),ISNUMBER(SEARCH("آبريزش",G65)),ISNUMBER(SEARCH("آبریزش",G65))),"نشتی آب - محل نامشخص (نیازمند بازدید)",IF(ISNUMBER(SEARCH("درب",G65)),"سایر اجزای درب (بازبینی)",IF(ISNUMBER(SEARCH("ضربه",G65)),"بدنه/کابین - ضربه (بازبینی/تعویض پنل)",IF(ISNUMBER(SEARCH("تراز",G65)),"تراز/لرزش - نصب (رگلاژ پایه)",IF(OR(ISNUMBER(SEARCH("تعویض",G65)),ISNUMBER(SEARCH("تعويض",G65))),"تعویض کامل دستگاه (Replacement)","سایر (نیازمند بررسی دستی)")))))))))))))))))))))))))))))))))))))))))))</f>
        <v/>
      </c>
      <c r="P65" s="124" t="inlineStr">
        <is>
          <t>میکروسوئیچ 15 نفره</t>
        </is>
      </c>
      <c r="Q65" s="124">
        <f>IF(ISNUMBER(SEARCH("عهده شرکت",F65)),"شرکت",IF(ISNUMBER(SEARCH("عهده مشتري",F65)),"مشتری",IF(ISNUMBER(SEARCH("عهده مشتری",F65)),"مشتری","نامشخص")))</f>
        <v/>
      </c>
      <c r="R65" s="178">
        <f>IF(O65="تعویض کامل دستگاه (Replacement)",IF(SUMIF('قیمت‌ها و مفروضات'!$A$9:$A$13,C65,'قیمت‌ها و مفروضات'!$C$9:$C$13)&lt;&gt;0,SUMIF('قیمت‌ها و مفروضات'!$A$9:$A$13,C65,'قیمت‌ها و مفروضات'!$C$9:$C$13),SUMIF('قیمت‌ها و مفروضات'!$A$9:$A$13,C65,'قیمت‌ها و مفروضات'!$B$9:$B$13)),IF(SUMIF('قیمت‌ها و مفروضات'!$A$18:$A$63,O65,'قیمت‌ها و مفروضات'!$C$18:$C$63)&lt;&gt;0,SUMIF('قیمت‌ها و مفروضات'!$A$18:$A$63,O65,'قیمت‌ها و مفروضات'!$C$18:$C$63),SUMIF('قیمت‌ها و مفروضات'!$A$18:$A$63,O65,'قیمت‌ها و مفروضات'!$B$18:$B$63)))</f>
        <v/>
      </c>
      <c r="S65" s="178">
        <f>'قیمت‌ها و مفروضات'!$B$3+'قیمت‌ها و مفروضات'!$B$4</f>
        <v/>
      </c>
      <c r="T65" s="178">
        <f>R65+S65</f>
        <v/>
      </c>
      <c r="U65" s="178">
        <f>IF(COUNTIF($E$2:E65,E65)&gt;1,"بله (تکراری)","خیر")</f>
        <v/>
      </c>
      <c r="V65" s="178">
        <f>IF(U65="بله (تکراری)",S65,0)</f>
        <v/>
      </c>
      <c r="W65" s="208" t="inlineStr"/>
      <c r="X65" s="208" t="inlineStr"/>
    </row>
    <row r="66" ht="58.5" customHeight="1" s="151">
      <c r="A66" s="176" t="n">
        <v>810003207</v>
      </c>
      <c r="B66" s="124">
        <f>CHOOSE(_xlfn.NUMBERVALUE(MID(H66,6,2)),"فروردین","اردیبهشت","خرداد","تیر","مرداد","شهریور","مهر","آبان","آذر","دی","بهمن","اسفند")</f>
        <v/>
      </c>
      <c r="C66" s="176" t="inlineStr">
        <is>
          <t>ماشين لباسشويي</t>
        </is>
      </c>
      <c r="D66" s="176" t="inlineStr">
        <is>
          <t>CWM-BMW9T1</t>
        </is>
      </c>
      <c r="E66" s="176" t="inlineStr">
        <is>
          <t>52210008N01023</t>
        </is>
      </c>
      <c r="F66" s="173" t="inlineStr">
        <is>
          <t>صداي غيرعادي هنگام خشک کن اياب و ذهاب به عهده شرکت</t>
        </is>
      </c>
      <c r="G66" s="173" t="inlineStr">
        <is>
          <t>برخورد شيلنگ رابط هوا به درام فلزي</t>
        </is>
      </c>
      <c r="H66" s="176" t="inlineStr">
        <is>
          <t>1405/01/24</t>
        </is>
      </c>
      <c r="I66" s="124" t="inlineStr">
        <is>
          <t>1404/04/12</t>
        </is>
      </c>
      <c r="J66" s="124" t="inlineStr">
        <is>
          <t>1404/08/20</t>
        </is>
      </c>
      <c r="K66" s="177">
        <f>IFERROR(VLOOKUP(LEFT(H66,7),'تبدیل تاریخ'!$A$2:$B$73,2,FALSE())+VALUE(RIGHT(H66,2))-1,"")</f>
        <v/>
      </c>
      <c r="L66" s="177">
        <f>IFERROR(VLOOKUP(LEFT(I66,7),'تبدیل تاریخ'!$A$2:$B$73,2,FALSE())+VALUE(RIGHT(I66,2))-1,"")</f>
        <v/>
      </c>
      <c r="M66" s="177">
        <f>IF(J66="","",IFERROR(VLOOKUP(LEFT(J66,7),'تبدیل تاریخ'!$A$2:$B$73,2,FALSE())+VALUE(RIGHT(J66,2))-1,""))</f>
        <v/>
      </c>
      <c r="N66" s="124">
        <f>IF(OR(K66="",M66=""),"",CEILING((K66-M66)/30,1))</f>
        <v/>
      </c>
      <c r="O66" s="124">
        <f>IF(OR(ISNUMBER(SEARCH("بدون مورد",G66)),ISNUMBER(SEARCH("غير گارانتي",G66)),ISNUMBER(SEARCH("غیر گارانتی",G66)),ISNUMBER(SEARCH("بدون اجرت",G66)),ISNUMBER(SEARCH("فيلتر",G66)),ISNUMBER(SEARCH("فیلتر",G66))),"غیرگارانتی/بدون قطعه",IF(OR(ISNUMBER(SEARCH("ريست",G66)),ISNUMBER(SEARCH("ریست",G66))),"ریست نرم‌افزاری (بدون قطعه)",IF(OR(ISNUMBER(SEARCH("تعویض محصول",G66)),ISNUMBER(SEARCH("تعویض دستگاه",G66))),"تعویض کامل دستگاه (Replacement)",IF(ISNUMBER(SEARCH("پمپ",G66)),IF(ISNUMBER(SEARCH("نشت",G66)),"نشتی - پمپ تخلیه (تعمیر/آب‌بندی)","خرابی - پمپ تخلیه (تعویض)"),IF(ISNUMBER(SEARCH("کمپرسور",G66)),"خرابی - کمپرسور (تعویض)",IF(ISNUMBER(SEARCH("کمک فنر",G66)),"خرابی - کمک فنر (تعویض)",IF(ISNUMBER(SEARCH("لولا",G66)),"مکانیزم درب - لولا (تعویض)",IF(OR(ISNUMBER(SEARCH("قلاب",G66)),ISNUMBER(SEARCH("ميکروسوئيچ",G66)),ISNUMBER(SEARCH("میکروسوئیچ",G66))),"مکانیزم درب - میکروسوئیچ/قلاب (تعویض/تنظیم)",IF(ISNUMBER(SEARCH("زبانه",G66)),"مکانیزم درب - زبانه (تعویض)",IF(OR(ISNUMBER(SEARCH("شيلنگ",G66)),ISNUMBER(SEARCH("شیلنگ",G66))),IF(OR(ISNUMBER(SEARCH("نشتی",G66)),ISNUMBER(SEARCH("نشتي",G66))),"نشتی - شیلنگ (تعمیر/آب‌بندی)",IF(OR(ISNUMBER(SEARCH("يخ",G66)),ISNUMBER(SEARCH("یخ",G66))),"شیلنگ یخساز - یخ‌زدگی (بازبینی)","شیلنگ - برخورد/لهیدگی (بازبینی)")),IF(OR(ISNUMBER(SEARCH("تنظيم ديسپل",G66)),ISNUMBER(SEARCH("تنظیم دیسپل",G66)),ISNUMBER(SEARCH("تنظيم صفحه نمايش",G66)),ISNUMBER(SEARCH("تنظیم صفحه نمایش",G66))),"تنظیم - تنظیمات دستگاه/دیسپلی (تعمیر)",IF(OR(ISNUMBER(SEARCH("برد",G66)),ISNUMBER(SEARCH("سوکت",G66)),ISNUMBER(SEARCH("ديسپل",G66)),ISNUMBER(SEARCH("دیسپل",G66))),"خرابی - برد الکترونیک (تعویض)",IF(OR(ISNUMBER(SEARCH("يخساز",G66)),ISNUMBER(SEARCH("یخساز",G66)),ISNUMBER(SEARCH("دمپر",G66))),IF(OR(ISNUMBER(SEARCH("خرابی",G66)),ISNUMBER(SEARCH("خراب",G66)),ISNUMBER(SEARCH("عدم کارکرد",G66)),ISNUMBER(SEARCH("عدم عملکرد",G66))),"یخساز - خرابی موتور/سنسور/برد (تعویض)","یخساز - تنظیم/عایق (تعمیر)"),IF(OR(ISNUMBER(SEARCH("لاستيک",G66)),ISNUMBER(SEARCH("لاستیک",G66))),"لاستیک درزگیر - دفرمگی/پارگی (تعویض)",IF(OR(ISNUMBER(SEARCH("گسکت",G66)),ISNUMBER(SEARCH("گسگت",G66))),"لاستیک درزگیر - دفرمگی/پارگی (تعویض)",IF(ISNUMBER(SEARCH("مخزن نمک",G66)),"نشتی - درب مخزن نمک (تعمیر/آب‌بندی)",IF(ISNUMBER(SEARCH("براکت",G66)),"نشتی - براکت ریل (تعمیر/آب‌بندی)",IF(ISNUMBER(SEARCH("جاپودر",G66)),"نشتی - جاپودری (تعمیر/آب‌بندی)",IF(ISNUMBER(SEARCH("مقسم",G66)),"نشتی - مقسم آب (تعمیر/آب‌بندی)",IF(OR(ISNUMBER(SEARCH("سنسور دما",G66)),ISNUMBER(SEARCH("ترموستات",G66))),"خرابی - ترموستات (تعویض)",IF(OR(ISNUMBER(SEARCH("هيدروستات",G66)),ISNUMBER(SEARCH("هیدروستات",G66))),"خرابی - هیدروستات (تعویض)",IF(OR(ISNUMBER(SEARCH("بلبرينگ",G66)),ISNUMBER(SEARCH("بلبرینگ",G66))),"خرابی - بلبرینگ (تعویض)",IF(OR(ISNUMBER(SEARCH("شيربرق",G66)),ISNUMBER(SEARCH("شیربرق",G66))),"خرابی - شیربرقی (تعویض)",IF(OR(ISNUMBER(SEARCH("واتر جت",G66)),ISNUMBER(SEARCH("واترجت",G66))),"خرابی - واترجت (تعویض)",IF(OR(ISNUMBER(SEARCH("سيم",G66)),ISNUMBER(SEARCH("سیم",G66)),ISNUMBER(SEARCH("اتصال",G66))),"سیم‌کشی/اتصالات (تعویض/بازبینی)",IF(OR(ISNUMBER(SEARCH("تصوير",G66)),ISNUMBER(SEARCH("تصویر",G66))),"برد نمایش تلویزیون (تعویض)",IF(OR(ISNUMBER(SEARCH("ريموت",G66)),ISNUMBER(SEARCH("ریموت",G66))),"ریموت کنترل (تعویض/تعمیر)",IF(OR(ISNUMBER(SEARCH("ال اي دي",G66)),ISNUMBER(SEARCH("ال ای دی",G66)),ISNUMBER(SEARCH("LED",G66))),"خرابی - لامپ/LED داخلی (تعویض)",IF(ISNUMBER(SEARCH("زنگ زدگ",G66)),"زنگ‌زدگی بدنه/قطعه (تعویض)",IF(OR(ISNUMBER(SEARCH("قطعات تزئين",G66)),ISNUMBER(SEARCH("قطعات تزئین",G66))),"قطعات تزئینی - شکستگی/کسری (تعویض)",IF(ISNUMBER(SEARCH("سبد",G66)),"سبد ظرفشویی - شکستگی (تعویض)",IF(ISNUMBER(SEARCH("تاب درام",G66)),"خرابی - تاب برداشتن درام (تعویض)",IF(ISNUMBER(SEARCH("درام",G66)),"خرابی - سایر ایراد درام (تعویض)",IF(ISNUMBER(SEARCH("موتور",G66)),"خرابی - موتور (تعویض)",IF(ISNUMBER(SEARCH("تسمه",G66)),"خرابی - تسمه (تعویض)",IF(OR(ISNUMBER(SEARCH("پيچ ولوم",G66)),ISNUMBER(SEARCH("پیچ ولوم",G66))),"تنظیم - پیچ ولوم/دکمه (تعمیر)",IF(OR(ISNUMBER(SEARCH("کسري قطعات",G66)),ISNUMBER(SEARCH("کسری قطعات",G66))),"کسری قطعات تزئینی (تعویض)",IF(ISNUMBER(SEARCH("پرچ",G66)),"پرچ/بدنه کابین(تعمیر)",IF(OR(ISNUMBER(SEARCH("نشت",G66)),ISNUMBER(SEARCH("آبريزش",G66)),ISNUMBER(SEARCH("آبریزش",G66))),"نشتی آب - محل نامشخص (نیازمند بازدید)",IF(ISNUMBER(SEARCH("درب",G66)),"سایر اجزای درب (بازبینی)",IF(ISNUMBER(SEARCH("ضربه",G66)),"بدنه/کابین - ضربه (بازبینی/تعویض پنل)",IF(ISNUMBER(SEARCH("تراز",G66)),"تراز/لرزش - نصب (رگلاژ پایه)",IF(OR(ISNUMBER(SEARCH("تعویض",G66)),ISNUMBER(SEARCH("تعويض",G66))),"تعویض کامل دستگاه (Replacement)","سایر (نیازمند بررسی دستی)")))))))))))))))))))))))))))))))))))))))))))</f>
        <v/>
      </c>
      <c r="P66" s="124" t="inlineStr">
        <is>
          <t>*</t>
        </is>
      </c>
      <c r="Q66" s="124">
        <f>IF(ISNUMBER(SEARCH("عهده شرکت",F66)),"شرکت",IF(ISNUMBER(SEARCH("عهده مشتري",F66)),"مشتری",IF(ISNUMBER(SEARCH("عهده مشتری",F66)),"مشتری","نامشخص")))</f>
        <v/>
      </c>
      <c r="R66" s="178">
        <f>IF(O66="تعویض کامل دستگاه (Replacement)",IF(SUMIF('قیمت‌ها و مفروضات'!$A$9:$A$13,C66,'قیمت‌ها و مفروضات'!$C$9:$C$13)&lt;&gt;0,SUMIF('قیمت‌ها و مفروضات'!$A$9:$A$13,C66,'قیمت‌ها و مفروضات'!$C$9:$C$13),SUMIF('قیمت‌ها و مفروضات'!$A$9:$A$13,C66,'قیمت‌ها و مفروضات'!$B$9:$B$13)),IF(SUMIF('قیمت‌ها و مفروضات'!$A$18:$A$63,O66,'قیمت‌ها و مفروضات'!$C$18:$C$63)&lt;&gt;0,SUMIF('قیمت‌ها و مفروضات'!$A$18:$A$63,O66,'قیمت‌ها و مفروضات'!$C$18:$C$63),SUMIF('قیمت‌ها و مفروضات'!$A$18:$A$63,O66,'قیمت‌ها و مفروضات'!$B$18:$B$63)))</f>
        <v/>
      </c>
      <c r="S66" s="178">
        <f>'قیمت‌ها و مفروضات'!$B$3+'قیمت‌ها و مفروضات'!$B$4</f>
        <v/>
      </c>
      <c r="T66" s="178">
        <f>R66+S66</f>
        <v/>
      </c>
      <c r="U66" s="178">
        <f>IF(COUNTIF($E$2:E66,E66)&gt;1,"بله (تکراری)","خیر")</f>
        <v/>
      </c>
      <c r="V66" s="178">
        <f>IF(U66="بله (تکراری)",S66,0)</f>
        <v/>
      </c>
      <c r="W66" s="208" t="inlineStr"/>
      <c r="X66" s="208" t="inlineStr"/>
    </row>
    <row r="67" ht="58.5" customHeight="1" s="151">
      <c r="A67" s="176" t="n">
        <v>510020027</v>
      </c>
      <c r="B67" s="124">
        <f>CHOOSE(_xlfn.NUMBERVALUE(MID(H67,6,2)),"فروردین","اردیبهشت","خرداد","تیر","مرداد","شهریور","مهر","آبان","آذر","دی","بهمن","اسفند")</f>
        <v/>
      </c>
      <c r="C67" s="176" t="inlineStr">
        <is>
          <t>ماشين ظرفشويي</t>
        </is>
      </c>
      <c r="D67" s="176" t="inlineStr">
        <is>
          <t>CDW-H15V</t>
        </is>
      </c>
      <c r="E67" s="176" t="inlineStr">
        <is>
          <t>210140002N00260</t>
        </is>
      </c>
      <c r="F67" s="173" t="inlineStr">
        <is>
          <t>باز شدن درب حين شست و شو اياب و ذهاب به عهده شرکت</t>
        </is>
      </c>
      <c r="G67" s="173" t="inlineStr">
        <is>
          <t>خرابي قلاب ميکروسوئيچ</t>
        </is>
      </c>
      <c r="H67" s="176" t="inlineStr">
        <is>
          <t>1405/01/24</t>
        </is>
      </c>
      <c r="I67" s="124" t="inlineStr">
        <is>
          <t>1404/05/01</t>
        </is>
      </c>
      <c r="J67" s="124" t="inlineStr">
        <is>
          <t>1404/05/02</t>
        </is>
      </c>
      <c r="K67" s="177">
        <f>IFERROR(VLOOKUP(LEFT(H67,7),'تبدیل تاریخ'!$A$2:$B$73,2,FALSE())+VALUE(RIGHT(H67,2))-1,"")</f>
        <v/>
      </c>
      <c r="L67" s="177">
        <f>IFERROR(VLOOKUP(LEFT(I67,7),'تبدیل تاریخ'!$A$2:$B$73,2,FALSE())+VALUE(RIGHT(I67,2))-1,"")</f>
        <v/>
      </c>
      <c r="M67" s="177">
        <f>IF(J67="","",IFERROR(VLOOKUP(LEFT(J67,7),'تبدیل تاریخ'!$A$2:$B$73,2,FALSE())+VALUE(RIGHT(J67,2))-1,""))</f>
        <v/>
      </c>
      <c r="N67" s="124">
        <f>IF(OR(K67="",M67=""),"",CEILING((K67-M67)/30,1))</f>
        <v/>
      </c>
      <c r="O67" s="124">
        <f>IF(OR(ISNUMBER(SEARCH("بدون مورد",G67)),ISNUMBER(SEARCH("غير گارانتي",G67)),ISNUMBER(SEARCH("غیر گارانتی",G67)),ISNUMBER(SEARCH("بدون اجرت",G67)),ISNUMBER(SEARCH("فيلتر",G67)),ISNUMBER(SEARCH("فیلتر",G67))),"غیرگارانتی/بدون قطعه",IF(OR(ISNUMBER(SEARCH("ريست",G67)),ISNUMBER(SEARCH("ریست",G67))),"ریست نرم‌افزاری (بدون قطعه)",IF(OR(ISNUMBER(SEARCH("تعویض محصول",G67)),ISNUMBER(SEARCH("تعویض دستگاه",G67))),"تعویض کامل دستگاه (Replacement)",IF(ISNUMBER(SEARCH("پمپ",G67)),IF(ISNUMBER(SEARCH("نشت",G67)),"نشتی - پمپ تخلیه (تعمیر/آب‌بندی)","خرابی - پمپ تخلیه (تعویض)"),IF(ISNUMBER(SEARCH("کمپرسور",G67)),"خرابی - کمپرسور (تعویض)",IF(ISNUMBER(SEARCH("کمک فنر",G67)),"خرابی - کمک فنر (تعویض)",IF(ISNUMBER(SEARCH("لولا",G67)),"مکانیزم درب - لولا (تعویض)",IF(OR(ISNUMBER(SEARCH("قلاب",G67)),ISNUMBER(SEARCH("ميکروسوئيچ",G67)),ISNUMBER(SEARCH("میکروسوئیچ",G67))),"مکانیزم درب - میکروسوئیچ/قلاب (تعویض/تنظیم)",IF(ISNUMBER(SEARCH("زبانه",G67)),"مکانیزم درب - زبانه (تعویض)",IF(OR(ISNUMBER(SEARCH("شيلنگ",G67)),ISNUMBER(SEARCH("شیلنگ",G67))),IF(OR(ISNUMBER(SEARCH("نشتی",G67)),ISNUMBER(SEARCH("نشتي",G67))),"نشتی - شیلنگ (تعمیر/آب‌بندی)",IF(OR(ISNUMBER(SEARCH("يخ",G67)),ISNUMBER(SEARCH("یخ",G67))),"شیلنگ یخساز - یخ‌زدگی (بازبینی)","شیلنگ - برخورد/لهیدگی (بازبینی)")),IF(OR(ISNUMBER(SEARCH("تنظيم ديسپل",G67)),ISNUMBER(SEARCH("تنظیم دیسپل",G67)),ISNUMBER(SEARCH("تنظيم صفحه نمايش",G67)),ISNUMBER(SEARCH("تنظیم صفحه نمایش",G67))),"تنظیم - تنظیمات دستگاه/دیسپلی (تعمیر)",IF(OR(ISNUMBER(SEARCH("برد",G67)),ISNUMBER(SEARCH("سوکت",G67)),ISNUMBER(SEARCH("ديسپل",G67)),ISNUMBER(SEARCH("دیسپل",G67))),"خرابی - برد الکترونیک (تعویض)",IF(OR(ISNUMBER(SEARCH("يخساز",G67)),ISNUMBER(SEARCH("یخساز",G67)),ISNUMBER(SEARCH("دمپر",G67))),IF(OR(ISNUMBER(SEARCH("خرابی",G67)),ISNUMBER(SEARCH("خراب",G67)),ISNUMBER(SEARCH("عدم کارکرد",G67)),ISNUMBER(SEARCH("عدم عملکرد",G67))),"یخساز - خرابی موتور/سنسور/برد (تعویض)","یخساز - تنظیم/عایق (تعمیر)"),IF(OR(ISNUMBER(SEARCH("لاستيک",G67)),ISNUMBER(SEARCH("لاستیک",G67))),"لاستیک درزگیر - دفرمگی/پارگی (تعویض)",IF(OR(ISNUMBER(SEARCH("گسکت",G67)),ISNUMBER(SEARCH("گسگت",G67))),"لاستیک درزگیر - دفرمگی/پارگی (تعویض)",IF(ISNUMBER(SEARCH("مخزن نمک",G67)),"نشتی - درب مخزن نمک (تعمیر/آب‌بندی)",IF(ISNUMBER(SEARCH("براکت",G67)),"نشتی - براکت ریل (تعمیر/آب‌بندی)",IF(ISNUMBER(SEARCH("جاپودر",G67)),"نشتی - جاپودری (تعمیر/آب‌بندی)",IF(ISNUMBER(SEARCH("مقسم",G67)),"نشتی - مقسم آب (تعمیر/آب‌بندی)",IF(OR(ISNUMBER(SEARCH("سنسور دما",G67)),ISNUMBER(SEARCH("ترموستات",G67))),"خرابی - ترموستات (تعویض)",IF(OR(ISNUMBER(SEARCH("هيدروستات",G67)),ISNUMBER(SEARCH("هیدروستات",G67))),"خرابی - هیدروستات (تعویض)",IF(OR(ISNUMBER(SEARCH("بلبرينگ",G67)),ISNUMBER(SEARCH("بلبرینگ",G67))),"خرابی - بلبرینگ (تعویض)",IF(OR(ISNUMBER(SEARCH("شيربرق",G67)),ISNUMBER(SEARCH("شیربرق",G67))),"خرابی - شیربرقی (تعویض)",IF(OR(ISNUMBER(SEARCH("واتر جت",G67)),ISNUMBER(SEARCH("واترجت",G67))),"خرابی - واترجت (تعویض)",IF(OR(ISNUMBER(SEARCH("سيم",G67)),ISNUMBER(SEARCH("سیم",G67)),ISNUMBER(SEARCH("اتصال",G67))),"سیم‌کشی/اتصالات (تعویض/بازبینی)",IF(OR(ISNUMBER(SEARCH("تصوير",G67)),ISNUMBER(SEARCH("تصویر",G67))),"برد نمایش تلویزیون (تعویض)",IF(OR(ISNUMBER(SEARCH("ريموت",G67)),ISNUMBER(SEARCH("ریموت",G67))),"ریموت کنترل (تعویض/تعمیر)",IF(OR(ISNUMBER(SEARCH("ال اي دي",G67)),ISNUMBER(SEARCH("ال ای دی",G67)),ISNUMBER(SEARCH("LED",G67))),"خرابی - لامپ/LED داخلی (تعویض)",IF(ISNUMBER(SEARCH("زنگ زدگ",G67)),"زنگ‌زدگی بدنه/قطعه (تعویض)",IF(OR(ISNUMBER(SEARCH("قطعات تزئين",G67)),ISNUMBER(SEARCH("قطعات تزئین",G67))),"قطعات تزئینی - شکستگی/کسری (تعویض)",IF(ISNUMBER(SEARCH("سبد",G67)),"سبد ظرفشویی - شکستگی (تعویض)",IF(ISNUMBER(SEARCH("تاب درام",G67)),"خرابی - تاب برداشتن درام (تعویض)",IF(ISNUMBER(SEARCH("درام",G67)),"خرابی - سایر ایراد درام (تعویض)",IF(ISNUMBER(SEARCH("موتور",G67)),"خرابی - موتور (تعویض)",IF(ISNUMBER(SEARCH("تسمه",G67)),"خرابی - تسمه (تعویض)",IF(OR(ISNUMBER(SEARCH("پيچ ولوم",G67)),ISNUMBER(SEARCH("پیچ ولوم",G67))),"تنظیم - پیچ ولوم/دکمه (تعمیر)",IF(OR(ISNUMBER(SEARCH("کسري قطعات",G67)),ISNUMBER(SEARCH("کسری قطعات",G67))),"کسری قطعات تزئینی (تعویض)",IF(ISNUMBER(SEARCH("پرچ",G67)),"پرچ/بدنه کابین(تعمیر)",IF(OR(ISNUMBER(SEARCH("نشت",G67)),ISNUMBER(SEARCH("آبريزش",G67)),ISNUMBER(SEARCH("آبریزش",G67))),"نشتی آب - محل نامشخص (نیازمند بازدید)",IF(ISNUMBER(SEARCH("درب",G67)),"سایر اجزای درب (بازبینی)",IF(ISNUMBER(SEARCH("ضربه",G67)),"بدنه/کابین - ضربه (بازبینی/تعویض پنل)",IF(ISNUMBER(SEARCH("تراز",G67)),"تراز/لرزش - نصب (رگلاژ پایه)",IF(OR(ISNUMBER(SEARCH("تعویض",G67)),ISNUMBER(SEARCH("تعويض",G67))),"تعویض کامل دستگاه (Replacement)","سایر (نیازمند بررسی دستی)")))))))))))))))))))))))))))))))))))))))))))</f>
        <v/>
      </c>
      <c r="P67" s="124" t="inlineStr">
        <is>
          <t>میکروسوئیچ 15 نفره</t>
        </is>
      </c>
      <c r="Q67" s="124">
        <f>IF(ISNUMBER(SEARCH("عهده شرکت",F67)),"شرکت",IF(ISNUMBER(SEARCH("عهده مشتري",F67)),"مشتری",IF(ISNUMBER(SEARCH("عهده مشتری",F67)),"مشتری","نامشخص")))</f>
        <v/>
      </c>
      <c r="R67" s="178">
        <f>IF(O67="تعویض کامل دستگاه (Replacement)",IF(SUMIF('قیمت‌ها و مفروضات'!$A$9:$A$13,C67,'قیمت‌ها و مفروضات'!$C$9:$C$13)&lt;&gt;0,SUMIF('قیمت‌ها و مفروضات'!$A$9:$A$13,C67,'قیمت‌ها و مفروضات'!$C$9:$C$13),SUMIF('قیمت‌ها و مفروضات'!$A$9:$A$13,C67,'قیمت‌ها و مفروضات'!$B$9:$B$13)),IF(SUMIF('قیمت‌ها و مفروضات'!$A$18:$A$63,O67,'قیمت‌ها و مفروضات'!$C$18:$C$63)&lt;&gt;0,SUMIF('قیمت‌ها و مفروضات'!$A$18:$A$63,O67,'قیمت‌ها و مفروضات'!$C$18:$C$63),SUMIF('قیمت‌ها و مفروضات'!$A$18:$A$63,O67,'قیمت‌ها و مفروضات'!$B$18:$B$63)))</f>
        <v/>
      </c>
      <c r="S67" s="178">
        <f>'قیمت‌ها و مفروضات'!$B$3+'قیمت‌ها و مفروضات'!$B$4</f>
        <v/>
      </c>
      <c r="T67" s="178">
        <f>R67+S67</f>
        <v/>
      </c>
      <c r="U67" s="178">
        <f>IF(COUNTIF($E$2:E67,E67)&gt;1,"بله (تکراری)","خیر")</f>
        <v/>
      </c>
      <c r="V67" s="178">
        <f>IF(U67="بله (تکراری)",S67,0)</f>
        <v/>
      </c>
      <c r="W67" s="208" t="inlineStr"/>
      <c r="X67" s="208" t="inlineStr"/>
    </row>
    <row r="68" ht="58.5" customHeight="1" s="151">
      <c r="A68" s="176" t="n">
        <v>130004710</v>
      </c>
      <c r="B68" s="124">
        <f>CHOOSE(_xlfn.NUMBERVALUE(MID(H68,6,2)),"فروردین","اردیبهشت","خرداد","تیر","مرداد","شهریور","مهر","آبان","آذر","دی","بهمن","اسفند")</f>
        <v/>
      </c>
      <c r="C68" s="176" t="inlineStr">
        <is>
          <t>ماشين ظرفشويي</t>
        </is>
      </c>
      <c r="D68" s="176" t="inlineStr">
        <is>
          <t>CDW-H16T</t>
        </is>
      </c>
      <c r="E68" s="176" t="inlineStr">
        <is>
          <t>52220004N02840</t>
        </is>
      </c>
      <c r="F68" s="173" t="inlineStr">
        <is>
          <t>اياب و ذهاب به عهده شرکت ** بسته نشدن درب</t>
        </is>
      </c>
      <c r="G68" s="173" t="inlineStr">
        <is>
          <t>خرابي قلاب ميکروسوئيچ</t>
        </is>
      </c>
      <c r="H68" s="176" t="inlineStr">
        <is>
          <t>1405/01/26</t>
        </is>
      </c>
      <c r="I68" s="124" t="inlineStr">
        <is>
          <t>1404/02/30</t>
        </is>
      </c>
      <c r="J68" s="124" t="inlineStr">
        <is>
          <t>1404/10/15</t>
        </is>
      </c>
      <c r="K68" s="177">
        <f>IFERROR(VLOOKUP(LEFT(H68,7),'تبدیل تاریخ'!$A$2:$B$73,2,FALSE())+VALUE(RIGHT(H68,2))-1,"")</f>
        <v/>
      </c>
      <c r="L68" s="177">
        <f>IFERROR(VLOOKUP(LEFT(I68,7),'تبدیل تاریخ'!$A$2:$B$73,2,FALSE())+VALUE(RIGHT(I68,2))-1,"")</f>
        <v/>
      </c>
      <c r="M68" s="177">
        <f>IF(J68="","",IFERROR(VLOOKUP(LEFT(J68,7),'تبدیل تاریخ'!$A$2:$B$73,2,FALSE())+VALUE(RIGHT(J68,2))-1,""))</f>
        <v/>
      </c>
      <c r="N68" s="124">
        <f>IF(OR(K68="",M68=""),"",CEILING((K68-M68)/30,1))</f>
        <v/>
      </c>
      <c r="O68" s="124">
        <f>IF(OR(ISNUMBER(SEARCH("بدون مورد",G68)),ISNUMBER(SEARCH("غير گارانتي",G68)),ISNUMBER(SEARCH("غیر گارانتی",G68)),ISNUMBER(SEARCH("بدون اجرت",G68)),ISNUMBER(SEARCH("فيلتر",G68)),ISNUMBER(SEARCH("فیلتر",G68))),"غیرگارانتی/بدون قطعه",IF(OR(ISNUMBER(SEARCH("ريست",G68)),ISNUMBER(SEARCH("ریست",G68))),"ریست نرم‌افزاری (بدون قطعه)",IF(OR(ISNUMBER(SEARCH("تعویض محصول",G68)),ISNUMBER(SEARCH("تعویض دستگاه",G68))),"تعویض کامل دستگاه (Replacement)",IF(ISNUMBER(SEARCH("پمپ",G68)),IF(ISNUMBER(SEARCH("نشت",G68)),"نشتی - پمپ تخلیه (تعمیر/آب‌بندی)","خرابی - پمپ تخلیه (تعویض)"),IF(ISNUMBER(SEARCH("کمپرسور",G68)),"خرابی - کمپرسور (تعویض)",IF(ISNUMBER(SEARCH("کمک فنر",G68)),"خرابی - کمک فنر (تعویض)",IF(ISNUMBER(SEARCH("لولا",G68)),"مکانیزم درب - لولا (تعویض)",IF(OR(ISNUMBER(SEARCH("قلاب",G68)),ISNUMBER(SEARCH("ميکروسوئيچ",G68)),ISNUMBER(SEARCH("میکروسوئیچ",G68))),"مکانیزم درب - میکروسوئیچ/قلاب (تعویض/تنظیم)",IF(ISNUMBER(SEARCH("زبانه",G68)),"مکانیزم درب - زبانه (تعویض)",IF(OR(ISNUMBER(SEARCH("شيلنگ",G68)),ISNUMBER(SEARCH("شیلنگ",G68))),IF(OR(ISNUMBER(SEARCH("نشتی",G68)),ISNUMBER(SEARCH("نشتي",G68))),"نشتی - شیلنگ (تعمیر/آب‌بندی)",IF(OR(ISNUMBER(SEARCH("يخ",G68)),ISNUMBER(SEARCH("یخ",G68))),"شیلنگ یخساز - یخ‌زدگی (بازبینی)","شیلنگ - برخورد/لهیدگی (بازبینی)")),IF(OR(ISNUMBER(SEARCH("تنظيم ديسپل",G68)),ISNUMBER(SEARCH("تنظیم دیسپل",G68)),ISNUMBER(SEARCH("تنظيم صفحه نمايش",G68)),ISNUMBER(SEARCH("تنظیم صفحه نمایش",G68))),"تنظیم - تنظیمات دستگاه/دیسپلی (تعمیر)",IF(OR(ISNUMBER(SEARCH("برد",G68)),ISNUMBER(SEARCH("سوکت",G68)),ISNUMBER(SEARCH("ديسپل",G68)),ISNUMBER(SEARCH("دیسپل",G68))),"خرابی - برد الکترونیک (تعویض)",IF(OR(ISNUMBER(SEARCH("يخساز",G68)),ISNUMBER(SEARCH("یخساز",G68)),ISNUMBER(SEARCH("دمپر",G68))),IF(OR(ISNUMBER(SEARCH("خرابی",G68)),ISNUMBER(SEARCH("خراب",G68)),ISNUMBER(SEARCH("عدم کارکرد",G68)),ISNUMBER(SEARCH("عدم عملکرد",G68))),"یخساز - خرابی موتور/سنسور/برد (تعویض)","یخساز - تنظیم/عایق (تعمیر)"),IF(OR(ISNUMBER(SEARCH("لاستيک",G68)),ISNUMBER(SEARCH("لاستیک",G68))),"لاستیک درزگیر - دفرمگی/پارگی (تعویض)",IF(OR(ISNUMBER(SEARCH("گسکت",G68)),ISNUMBER(SEARCH("گسگت",G68))),"لاستیک درزگیر - دفرمگی/پارگی (تعویض)",IF(ISNUMBER(SEARCH("مخزن نمک",G68)),"نشتی - درب مخزن نمک (تعمیر/آب‌بندی)",IF(ISNUMBER(SEARCH("براکت",G68)),"نشتی - براکت ریل (تعمیر/آب‌بندی)",IF(ISNUMBER(SEARCH("جاپودر",G68)),"نشتی - جاپودری (تعمیر/آب‌بندی)",IF(ISNUMBER(SEARCH("مقسم",G68)),"نشتی - مقسم آب (تعمیر/آب‌بندی)",IF(OR(ISNUMBER(SEARCH("سنسور دما",G68)),ISNUMBER(SEARCH("ترموستات",G68))),"خرابی - ترموستات (تعویض)",IF(OR(ISNUMBER(SEARCH("هيدروستات",G68)),ISNUMBER(SEARCH("هیدروستات",G68))),"خرابی - هیدروستات (تعویض)",IF(OR(ISNUMBER(SEARCH("بلبرينگ",G68)),ISNUMBER(SEARCH("بلبرینگ",G68))),"خرابی - بلبرینگ (تعویض)",IF(OR(ISNUMBER(SEARCH("شيربرق",G68)),ISNUMBER(SEARCH("شیربرق",G68))),"خرابی - شیربرقی (تعویض)",IF(OR(ISNUMBER(SEARCH("واتر جت",G68)),ISNUMBER(SEARCH("واترجت",G68))),"خرابی - واترجت (تعویض)",IF(OR(ISNUMBER(SEARCH("سيم",G68)),ISNUMBER(SEARCH("سیم",G68)),ISNUMBER(SEARCH("اتصال",G68))),"سیم‌کشی/اتصالات (تعویض/بازبینی)",IF(OR(ISNUMBER(SEARCH("تصوير",G68)),ISNUMBER(SEARCH("تصویر",G68))),"برد نمایش تلویزیون (تعویض)",IF(OR(ISNUMBER(SEARCH("ريموت",G68)),ISNUMBER(SEARCH("ریموت",G68))),"ریموت کنترل (تعویض/تعمیر)",IF(OR(ISNUMBER(SEARCH("ال اي دي",G68)),ISNUMBER(SEARCH("ال ای دی",G68)),ISNUMBER(SEARCH("LED",G68))),"خرابی - لامپ/LED داخلی (تعویض)",IF(ISNUMBER(SEARCH("زنگ زدگ",G68)),"زنگ‌زدگی بدنه/قطعه (تعویض)",IF(OR(ISNUMBER(SEARCH("قطعات تزئين",G68)),ISNUMBER(SEARCH("قطعات تزئین",G68))),"قطعات تزئینی - شکستگی/کسری (تعویض)",IF(ISNUMBER(SEARCH("سبد",G68)),"سبد ظرفشویی - شکستگی (تعویض)",IF(ISNUMBER(SEARCH("تاب درام",G68)),"خرابی - تاب برداشتن درام (تعویض)",IF(ISNUMBER(SEARCH("درام",G68)),"خرابی - سایر ایراد درام (تعویض)",IF(ISNUMBER(SEARCH("موتور",G68)),"خرابی - موتور (تعویض)",IF(ISNUMBER(SEARCH("تسمه",G68)),"خرابی - تسمه (تعویض)",IF(OR(ISNUMBER(SEARCH("پيچ ولوم",G68)),ISNUMBER(SEARCH("پیچ ولوم",G68))),"تنظیم - پیچ ولوم/دکمه (تعمیر)",IF(OR(ISNUMBER(SEARCH("کسري قطعات",G68)),ISNUMBER(SEARCH("کسری قطعات",G68))),"کسری قطعات تزئینی (تعویض)",IF(ISNUMBER(SEARCH("پرچ",G68)),"پرچ/بدنه کابین(تعمیر)",IF(OR(ISNUMBER(SEARCH("نشت",G68)),ISNUMBER(SEARCH("آبريزش",G68)),ISNUMBER(SEARCH("آبریزش",G68))),"نشتی آب - محل نامشخص (نیازمند بازدید)",IF(ISNUMBER(SEARCH("درب",G68)),"سایر اجزای درب (بازبینی)",IF(ISNUMBER(SEARCH("ضربه",G68)),"بدنه/کابین - ضربه (بازبینی/تعویض پنل)",IF(ISNUMBER(SEARCH("تراز",G68)),"تراز/لرزش - نصب (رگلاژ پایه)",IF(OR(ISNUMBER(SEARCH("تعویض",G68)),ISNUMBER(SEARCH("تعويض",G68))),"تعویض کامل دستگاه (Replacement)","سایر (نیازمند بررسی دستی)")))))))))))))))))))))))))))))))))))))))))))</f>
        <v/>
      </c>
      <c r="P68" s="124" t="inlineStr">
        <is>
          <t>میکروسوئیچ 16 نفره</t>
        </is>
      </c>
      <c r="Q68" s="124">
        <f>IF(ISNUMBER(SEARCH("عهده شرکت",F68)),"شرکت",IF(ISNUMBER(SEARCH("عهده مشتري",F68)),"مشتری",IF(ISNUMBER(SEARCH("عهده مشتری",F68)),"مشتری","نامشخص")))</f>
        <v/>
      </c>
      <c r="R68" s="178">
        <f>IF(O68="تعویض کامل دستگاه (Replacement)",IF(SUMIF('قیمت‌ها و مفروضات'!$A$9:$A$13,C68,'قیمت‌ها و مفروضات'!$C$9:$C$13)&lt;&gt;0,SUMIF('قیمت‌ها و مفروضات'!$A$9:$A$13,C68,'قیمت‌ها و مفروضات'!$C$9:$C$13),SUMIF('قیمت‌ها و مفروضات'!$A$9:$A$13,C68,'قیمت‌ها و مفروضات'!$B$9:$B$13)),IF(SUMIF('قیمت‌ها و مفروضات'!$A$18:$A$63,O68,'قیمت‌ها و مفروضات'!$C$18:$C$63)&lt;&gt;0,SUMIF('قیمت‌ها و مفروضات'!$A$18:$A$63,O68,'قیمت‌ها و مفروضات'!$C$18:$C$63),SUMIF('قیمت‌ها و مفروضات'!$A$18:$A$63,O68,'قیمت‌ها و مفروضات'!$B$18:$B$63)))</f>
        <v/>
      </c>
      <c r="S68" s="178">
        <f>'قیمت‌ها و مفروضات'!$B$3+'قیمت‌ها و مفروضات'!$B$4</f>
        <v/>
      </c>
      <c r="T68" s="178">
        <f>R68+S68</f>
        <v/>
      </c>
      <c r="U68" s="178">
        <f>IF(COUNTIF($E$2:E68,E68)&gt;1,"بله (تکراری)","خیر")</f>
        <v/>
      </c>
      <c r="V68" s="178">
        <f>IF(U68="بله (تکراری)",S68,0)</f>
        <v/>
      </c>
      <c r="W68" s="208" t="inlineStr"/>
      <c r="X68" s="208" t="inlineStr"/>
    </row>
    <row r="69" ht="58.5" customHeight="1" s="151">
      <c r="A69" s="176" t="n">
        <v>130004708</v>
      </c>
      <c r="B69" s="124">
        <f>CHOOSE(_xlfn.NUMBERVALUE(MID(H69,6,2)),"فروردین","اردیبهشت","خرداد","تیر","مرداد","شهریور","مهر","آبان","آذر","دی","بهمن","اسفند")</f>
        <v/>
      </c>
      <c r="C69" s="176" t="inlineStr">
        <is>
          <t>ماشين ظرفشويي</t>
        </is>
      </c>
      <c r="D69" s="176" t="inlineStr">
        <is>
          <t>CDW-H13V</t>
        </is>
      </c>
      <c r="E69" s="176" t="inlineStr">
        <is>
          <t>52220001N00786</t>
        </is>
      </c>
      <c r="F69" s="173" t="inlineStr">
        <is>
          <t>خطاي F54 اياب و ذهاب به عهده شرکت</t>
        </is>
      </c>
      <c r="G69" s="173" t="inlineStr">
        <is>
          <t xml:space="preserve">نشتی مهره مخزن نمک </t>
        </is>
      </c>
      <c r="H69" s="176" t="inlineStr">
        <is>
          <t>1405/01/26</t>
        </is>
      </c>
      <c r="I69" s="124" t="inlineStr">
        <is>
          <t>1403/07/25</t>
        </is>
      </c>
      <c r="J69" s="124" t="inlineStr">
        <is>
          <t>1404/09/12</t>
        </is>
      </c>
      <c r="K69" s="177">
        <f>IFERROR(VLOOKUP(LEFT(H69,7),'تبدیل تاریخ'!$A$2:$B$73,2,FALSE())+VALUE(RIGHT(H69,2))-1,"")</f>
        <v/>
      </c>
      <c r="L69" s="177">
        <f>IFERROR(VLOOKUP(LEFT(I69,7),'تبدیل تاریخ'!$A$2:$B$73,2,FALSE())+VALUE(RIGHT(I69,2))-1,"")</f>
        <v/>
      </c>
      <c r="M69" s="177">
        <f>IF(J69="","",IFERROR(VLOOKUP(LEFT(J69,7),'تبدیل تاریخ'!$A$2:$B$73,2,FALSE())+VALUE(RIGHT(J69,2))-1,""))</f>
        <v/>
      </c>
      <c r="N69" s="124">
        <f>IF(OR(K69="",M69=""),"",CEILING((K69-M69)/30,1))</f>
        <v/>
      </c>
      <c r="O69" s="124">
        <f>IF(OR(ISNUMBER(SEARCH("بدون مورد",G69)),ISNUMBER(SEARCH("غير گارانتي",G69)),ISNUMBER(SEARCH("غیر گارانتی",G69)),ISNUMBER(SEARCH("بدون اجرت",G69)),ISNUMBER(SEARCH("فيلتر",G69)),ISNUMBER(SEARCH("فیلتر",G69))),"غیرگارانتی/بدون قطعه",IF(OR(ISNUMBER(SEARCH("ريست",G69)),ISNUMBER(SEARCH("ریست",G69))),"ریست نرم‌افزاری (بدون قطعه)",IF(OR(ISNUMBER(SEARCH("تعویض محصول",G69)),ISNUMBER(SEARCH("تعویض دستگاه",G69))),"تعویض کامل دستگاه (Replacement)",IF(ISNUMBER(SEARCH("پمپ",G69)),IF(ISNUMBER(SEARCH("نشت",G69)),"نشتی - پمپ تخلیه (تعمیر/آب‌بندی)","خرابی - پمپ تخلیه (تعویض)"),IF(ISNUMBER(SEARCH("کمپرسور",G69)),"خرابی - کمپرسور (تعویض)",IF(ISNUMBER(SEARCH("کمک فنر",G69)),"خرابی - کمک فنر (تعویض)",IF(ISNUMBER(SEARCH("لولا",G69)),"مکانیزم درب - لولا (تعویض)",IF(OR(ISNUMBER(SEARCH("قلاب",G69)),ISNUMBER(SEARCH("ميکروسوئيچ",G69)),ISNUMBER(SEARCH("میکروسوئیچ",G69))),"مکانیزم درب - میکروسوئیچ/قلاب (تعویض/تنظیم)",IF(ISNUMBER(SEARCH("زبانه",G69)),"مکانیزم درب - زبانه (تعویض)",IF(OR(ISNUMBER(SEARCH("شيلنگ",G69)),ISNUMBER(SEARCH("شیلنگ",G69))),IF(OR(ISNUMBER(SEARCH("نشتی",G69)),ISNUMBER(SEARCH("نشتي",G69))),"نشتی - شیلنگ (تعمیر/آب‌بندی)",IF(OR(ISNUMBER(SEARCH("يخ",G69)),ISNUMBER(SEARCH("یخ",G69))),"شیلنگ یخساز - یخ‌زدگی (بازبینی)","شیلنگ - برخورد/لهیدگی (بازبینی)")),IF(OR(ISNUMBER(SEARCH("تنظيم ديسپل",G69)),ISNUMBER(SEARCH("تنظیم دیسپل",G69)),ISNUMBER(SEARCH("تنظيم صفحه نمايش",G69)),ISNUMBER(SEARCH("تنظیم صفحه نمایش",G69))),"تنظیم - تنظیمات دستگاه/دیسپلی (تعمیر)",IF(OR(ISNUMBER(SEARCH("برد",G69)),ISNUMBER(SEARCH("سوکت",G69)),ISNUMBER(SEARCH("ديسپل",G69)),ISNUMBER(SEARCH("دیسپل",G69))),"خرابی - برد الکترونیک (تعویض)",IF(OR(ISNUMBER(SEARCH("يخساز",G69)),ISNUMBER(SEARCH("یخساز",G69)),ISNUMBER(SEARCH("دمپر",G69))),IF(OR(ISNUMBER(SEARCH("خرابی",G69)),ISNUMBER(SEARCH("خراب",G69)),ISNUMBER(SEARCH("عدم کارکرد",G69)),ISNUMBER(SEARCH("عدم عملکرد",G69))),"یخساز - خرابی موتور/سنسور/برد (تعویض)","یخساز - تنظیم/عایق (تعمیر)"),IF(OR(ISNUMBER(SEARCH("لاستيک",G69)),ISNUMBER(SEARCH("لاستیک",G69))),"لاستیک درزگیر - دفرمگی/پارگی (تعویض)",IF(OR(ISNUMBER(SEARCH("گسکت",G69)),ISNUMBER(SEARCH("گسگت",G69))),"لاستیک درزگیر - دفرمگی/پارگی (تعویض)",IF(ISNUMBER(SEARCH("مخزن نمک",G69)),"نشتی - درب مخزن نمک (تعمیر/آب‌بندی)",IF(ISNUMBER(SEARCH("براکت",G69)),"نشتی - براکت ریل (تعمیر/آب‌بندی)",IF(ISNUMBER(SEARCH("جاپودر",G69)),"نشتی - جاپودری (تعمیر/آب‌بندی)",IF(ISNUMBER(SEARCH("مقسم",G69)),"نشتی - مقسم آب (تعمیر/آب‌بندی)",IF(OR(ISNUMBER(SEARCH("سنسور دما",G69)),ISNUMBER(SEARCH("ترموستات",G69))),"خرابی - ترموستات (تعویض)",IF(OR(ISNUMBER(SEARCH("هيدروستات",G69)),ISNUMBER(SEARCH("هیدروستات",G69))),"خرابی - هیدروستات (تعویض)",IF(OR(ISNUMBER(SEARCH("بلبرينگ",G69)),ISNUMBER(SEARCH("بلبرینگ",G69))),"خرابی - بلبرینگ (تعویض)",IF(OR(ISNUMBER(SEARCH("شيربرق",G69)),ISNUMBER(SEARCH("شیربرق",G69))),"خرابی - شیربرقی (تعویض)",IF(OR(ISNUMBER(SEARCH("واتر جت",G69)),ISNUMBER(SEARCH("واترجت",G69))),"خرابی - واترجت (تعویض)",IF(OR(ISNUMBER(SEARCH("سيم",G69)),ISNUMBER(SEARCH("سیم",G69)),ISNUMBER(SEARCH("اتصال",G69))),"سیم‌کشی/اتصالات (تعویض/بازبینی)",IF(OR(ISNUMBER(SEARCH("تصوير",G69)),ISNUMBER(SEARCH("تصویر",G69))),"برد نمایش تلویزیون (تعویض)",IF(OR(ISNUMBER(SEARCH("ريموت",G69)),ISNUMBER(SEARCH("ریموت",G69))),"ریموت کنترل (تعویض/تعمیر)",IF(OR(ISNUMBER(SEARCH("ال اي دي",G69)),ISNUMBER(SEARCH("ال ای دی",G69)),ISNUMBER(SEARCH("LED",G69))),"خرابی - لامپ/LED داخلی (تعویض)",IF(ISNUMBER(SEARCH("زنگ زدگ",G69)),"زنگ‌زدگی بدنه/قطعه (تعویض)",IF(OR(ISNUMBER(SEARCH("قطعات تزئين",G69)),ISNUMBER(SEARCH("قطعات تزئین",G69))),"قطعات تزئینی - شکستگی/کسری (تعویض)",IF(ISNUMBER(SEARCH("سبد",G69)),"سبد ظرفشویی - شکستگی (تعویض)",IF(ISNUMBER(SEARCH("تاب درام",G69)),"خرابی - تاب برداشتن درام (تعویض)",IF(ISNUMBER(SEARCH("درام",G69)),"خرابی - سایر ایراد درام (تعویض)",IF(ISNUMBER(SEARCH("موتور",G69)),"خرابی - موتور (تعویض)",IF(ISNUMBER(SEARCH("تسمه",G69)),"خرابی - تسمه (تعویض)",IF(OR(ISNUMBER(SEARCH("پيچ ولوم",G69)),ISNUMBER(SEARCH("پیچ ولوم",G69))),"تنظیم - پیچ ولوم/دکمه (تعمیر)",IF(OR(ISNUMBER(SEARCH("کسري قطعات",G69)),ISNUMBER(SEARCH("کسری قطعات",G69))),"کسری قطعات تزئینی (تعویض)",IF(ISNUMBER(SEARCH("پرچ",G69)),"پرچ/بدنه کابین(تعمیر)",IF(OR(ISNUMBER(SEARCH("نشت",G69)),ISNUMBER(SEARCH("آبريزش",G69)),ISNUMBER(SEARCH("آبریزش",G69))),"نشتی آب - محل نامشخص (نیازمند بازدید)",IF(ISNUMBER(SEARCH("درب",G69)),"سایر اجزای درب (بازبینی)",IF(ISNUMBER(SEARCH("ضربه",G69)),"بدنه/کابین - ضربه (بازبینی/تعویض پنل)",IF(ISNUMBER(SEARCH("تراز",G69)),"تراز/لرزش - نصب (رگلاژ پایه)",IF(OR(ISNUMBER(SEARCH("تعویض",G69)),ISNUMBER(SEARCH("تعويض",G69))),"تعویض کامل دستگاه (Replacement)","سایر (نیازمند بررسی دستی)")))))))))))))))))))))))))))))))))))))))))))</f>
        <v/>
      </c>
      <c r="P69" s="124" t="inlineStr">
        <is>
          <t>*</t>
        </is>
      </c>
      <c r="Q69" s="124">
        <f>IF(ISNUMBER(SEARCH("عهده شرکت",F69)),"شرکت",IF(ISNUMBER(SEARCH("عهده مشتري",F69)),"مشتری",IF(ISNUMBER(SEARCH("عهده مشتری",F69)),"مشتری","نامشخص")))</f>
        <v/>
      </c>
      <c r="R69" s="178">
        <f>IF(O69="تعویض کامل دستگاه (Replacement)",IF(SUMIF('قیمت‌ها و مفروضات'!$A$9:$A$13,C69,'قیمت‌ها و مفروضات'!$C$9:$C$13)&lt;&gt;0,SUMIF('قیمت‌ها و مفروضات'!$A$9:$A$13,C69,'قیمت‌ها و مفروضات'!$C$9:$C$13),SUMIF('قیمت‌ها و مفروضات'!$A$9:$A$13,C69,'قیمت‌ها و مفروضات'!$B$9:$B$13)),IF(SUMIF('قیمت‌ها و مفروضات'!$A$18:$A$63,O69,'قیمت‌ها و مفروضات'!$C$18:$C$63)&lt;&gt;0,SUMIF('قیمت‌ها و مفروضات'!$A$18:$A$63,O69,'قیمت‌ها و مفروضات'!$C$18:$C$63),SUMIF('قیمت‌ها و مفروضات'!$A$18:$A$63,O69,'قیمت‌ها و مفروضات'!$B$18:$B$63)))</f>
        <v/>
      </c>
      <c r="S69" s="178">
        <f>'قیمت‌ها و مفروضات'!$B$3+'قیمت‌ها و مفروضات'!$B$4</f>
        <v/>
      </c>
      <c r="T69" s="178">
        <f>R69+S69</f>
        <v/>
      </c>
      <c r="U69" s="178">
        <f>IF(COUNTIF($E$2:E69,E69)&gt;1,"بله (تکراری)","خیر")</f>
        <v/>
      </c>
      <c r="V69" s="178">
        <f>IF(U69="بله (تکراری)",S69,0)</f>
        <v/>
      </c>
      <c r="W69" s="208" t="inlineStr"/>
      <c r="X69" s="208" t="inlineStr"/>
    </row>
    <row r="70" ht="58.5" customHeight="1" s="151">
      <c r="A70" s="176" t="n">
        <v>130004703</v>
      </c>
      <c r="B70" s="124">
        <f>CHOOSE(_xlfn.NUMBERVALUE(MID(H70,6,2)),"فروردین","اردیبهشت","خرداد","تیر","مرداد","شهریور","مهر","آبان","آذر","دی","بهمن","اسفند")</f>
        <v/>
      </c>
      <c r="C70" s="176" t="inlineStr">
        <is>
          <t>ماشين ظرفشويي</t>
        </is>
      </c>
      <c r="D70" s="176" t="inlineStr">
        <is>
          <t>CDW-H16T</t>
        </is>
      </c>
      <c r="E70" s="176" t="inlineStr">
        <is>
          <t>52220004N04970</t>
        </is>
      </c>
      <c r="F70" s="173" t="inlineStr">
        <is>
          <t>اياب و ذهاب به عهده شرکت ** بسته نشدن درب</t>
        </is>
      </c>
      <c r="G70" s="173" t="inlineStr">
        <is>
          <t>خرابي قلاب ميکروسوئيچ</t>
        </is>
      </c>
      <c r="H70" s="176" t="inlineStr">
        <is>
          <t>1405/01/27</t>
        </is>
      </c>
      <c r="I70" s="124" t="inlineStr">
        <is>
          <t>1404/09/02</t>
        </is>
      </c>
      <c r="J70" s="124" t="inlineStr">
        <is>
          <t>1404/12/05</t>
        </is>
      </c>
      <c r="K70" s="177">
        <f>IFERROR(VLOOKUP(LEFT(H70,7),'تبدیل تاریخ'!$A$2:$B$73,2,FALSE())+VALUE(RIGHT(H70,2))-1,"")</f>
        <v/>
      </c>
      <c r="L70" s="177">
        <f>IFERROR(VLOOKUP(LEFT(I70,7),'تبدیل تاریخ'!$A$2:$B$73,2,FALSE())+VALUE(RIGHT(I70,2))-1,"")</f>
        <v/>
      </c>
      <c r="M70" s="177">
        <f>IF(J70="","",IFERROR(VLOOKUP(LEFT(J70,7),'تبدیل تاریخ'!$A$2:$B$73,2,FALSE())+VALUE(RIGHT(J70,2))-1,""))</f>
        <v/>
      </c>
      <c r="N70" s="124">
        <f>IF(OR(K70="",M70=""),"",CEILING((K70-M70)/30,1))</f>
        <v/>
      </c>
      <c r="O70" s="124">
        <f>IF(OR(ISNUMBER(SEARCH("بدون مورد",G70)),ISNUMBER(SEARCH("غير گارانتي",G70)),ISNUMBER(SEARCH("غیر گارانتی",G70)),ISNUMBER(SEARCH("بدون اجرت",G70)),ISNUMBER(SEARCH("فيلتر",G70)),ISNUMBER(SEARCH("فیلتر",G70))),"غیرگارانتی/بدون قطعه",IF(OR(ISNUMBER(SEARCH("ريست",G70)),ISNUMBER(SEARCH("ریست",G70))),"ریست نرم‌افزاری (بدون قطعه)",IF(OR(ISNUMBER(SEARCH("تعویض محصول",G70)),ISNUMBER(SEARCH("تعویض دستگاه",G70))),"تعویض کامل دستگاه (Replacement)",IF(ISNUMBER(SEARCH("پمپ",G70)),IF(ISNUMBER(SEARCH("نشت",G70)),"نشتی - پمپ تخلیه (تعمیر/آب‌بندی)","خرابی - پمپ تخلیه (تعویض)"),IF(ISNUMBER(SEARCH("کمپرسور",G70)),"خرابی - کمپرسور (تعویض)",IF(ISNUMBER(SEARCH("کمک فنر",G70)),"خرابی - کمک فنر (تعویض)",IF(ISNUMBER(SEARCH("لولا",G70)),"مکانیزم درب - لولا (تعویض)",IF(OR(ISNUMBER(SEARCH("قلاب",G70)),ISNUMBER(SEARCH("ميکروسوئيچ",G70)),ISNUMBER(SEARCH("میکروسوئیچ",G70))),"مکانیزم درب - میکروسوئیچ/قلاب (تعویض/تنظیم)",IF(ISNUMBER(SEARCH("زبانه",G70)),"مکانیزم درب - زبانه (تعویض)",IF(OR(ISNUMBER(SEARCH("شيلنگ",G70)),ISNUMBER(SEARCH("شیلنگ",G70))),IF(OR(ISNUMBER(SEARCH("نشتی",G70)),ISNUMBER(SEARCH("نشتي",G70))),"نشتی - شیلنگ (تعمیر/آب‌بندی)",IF(OR(ISNUMBER(SEARCH("يخ",G70)),ISNUMBER(SEARCH("یخ",G70))),"شیلنگ یخساز - یخ‌زدگی (بازبینی)","شیلنگ - برخورد/لهیدگی (بازبینی)")),IF(OR(ISNUMBER(SEARCH("تنظيم ديسپل",G70)),ISNUMBER(SEARCH("تنظیم دیسپل",G70)),ISNUMBER(SEARCH("تنظيم صفحه نمايش",G70)),ISNUMBER(SEARCH("تنظیم صفحه نمایش",G70))),"تنظیم - تنظیمات دستگاه/دیسپلی (تعمیر)",IF(OR(ISNUMBER(SEARCH("برد",G70)),ISNUMBER(SEARCH("سوکت",G70)),ISNUMBER(SEARCH("ديسپل",G70)),ISNUMBER(SEARCH("دیسپل",G70))),"خرابی - برد الکترونیک (تعویض)",IF(OR(ISNUMBER(SEARCH("يخساز",G70)),ISNUMBER(SEARCH("یخساز",G70)),ISNUMBER(SEARCH("دمپر",G70))),IF(OR(ISNUMBER(SEARCH("خرابی",G70)),ISNUMBER(SEARCH("خراب",G70)),ISNUMBER(SEARCH("عدم کارکرد",G70)),ISNUMBER(SEARCH("عدم عملکرد",G70))),"یخساز - خرابی موتور/سنسور/برد (تعویض)","یخساز - تنظیم/عایق (تعمیر)"),IF(OR(ISNUMBER(SEARCH("لاستيک",G70)),ISNUMBER(SEARCH("لاستیک",G70))),"لاستیک درزگیر - دفرمگی/پارگی (تعویض)",IF(OR(ISNUMBER(SEARCH("گسکت",G70)),ISNUMBER(SEARCH("گسگت",G70))),"لاستیک درزگیر - دفرمگی/پارگی (تعویض)",IF(ISNUMBER(SEARCH("مخزن نمک",G70)),"نشتی - درب مخزن نمک (تعمیر/آب‌بندی)",IF(ISNUMBER(SEARCH("براکت",G70)),"نشتی - براکت ریل (تعمیر/آب‌بندی)",IF(ISNUMBER(SEARCH("جاپودر",G70)),"نشتی - جاپودری (تعمیر/آب‌بندی)",IF(ISNUMBER(SEARCH("مقسم",G70)),"نشتی - مقسم آب (تعمیر/آب‌بندی)",IF(OR(ISNUMBER(SEARCH("سنسور دما",G70)),ISNUMBER(SEARCH("ترموستات",G70))),"خرابی - ترموستات (تعویض)",IF(OR(ISNUMBER(SEARCH("هيدروستات",G70)),ISNUMBER(SEARCH("هیدروستات",G70))),"خرابی - هیدروستات (تعویض)",IF(OR(ISNUMBER(SEARCH("بلبرينگ",G70)),ISNUMBER(SEARCH("بلبرینگ",G70))),"خرابی - بلبرینگ (تعویض)",IF(OR(ISNUMBER(SEARCH("شيربرق",G70)),ISNUMBER(SEARCH("شیربرق",G70))),"خرابی - شیربرقی (تعویض)",IF(OR(ISNUMBER(SEARCH("واتر جت",G70)),ISNUMBER(SEARCH("واترجت",G70))),"خرابی - واترجت (تعویض)",IF(OR(ISNUMBER(SEARCH("سيم",G70)),ISNUMBER(SEARCH("سیم",G70)),ISNUMBER(SEARCH("اتصال",G70))),"سیم‌کشی/اتصالات (تعویض/بازبینی)",IF(OR(ISNUMBER(SEARCH("تصوير",G70)),ISNUMBER(SEARCH("تصویر",G70))),"برد نمایش تلویزیون (تعویض)",IF(OR(ISNUMBER(SEARCH("ريموت",G70)),ISNUMBER(SEARCH("ریموت",G70))),"ریموت کنترل (تعویض/تعمیر)",IF(OR(ISNUMBER(SEARCH("ال اي دي",G70)),ISNUMBER(SEARCH("ال ای دی",G70)),ISNUMBER(SEARCH("LED",G70))),"خرابی - لامپ/LED داخلی (تعویض)",IF(ISNUMBER(SEARCH("زنگ زدگ",G70)),"زنگ‌زدگی بدنه/قطعه (تعویض)",IF(OR(ISNUMBER(SEARCH("قطعات تزئين",G70)),ISNUMBER(SEARCH("قطعات تزئین",G70))),"قطعات تزئینی - شکستگی/کسری (تعویض)",IF(ISNUMBER(SEARCH("سبد",G70)),"سبد ظرفشویی - شکستگی (تعویض)",IF(ISNUMBER(SEARCH("تاب درام",G70)),"خرابی - تاب برداشتن درام (تعویض)",IF(ISNUMBER(SEARCH("درام",G70)),"خرابی - سایر ایراد درام (تعویض)",IF(ISNUMBER(SEARCH("موتور",G70)),"خرابی - موتور (تعویض)",IF(ISNUMBER(SEARCH("تسمه",G70)),"خرابی - تسمه (تعویض)",IF(OR(ISNUMBER(SEARCH("پيچ ولوم",G70)),ISNUMBER(SEARCH("پیچ ولوم",G70))),"تنظیم - پیچ ولوم/دکمه (تعمیر)",IF(OR(ISNUMBER(SEARCH("کسري قطعات",G70)),ISNUMBER(SEARCH("کسری قطعات",G70))),"کسری قطعات تزئینی (تعویض)",IF(ISNUMBER(SEARCH("پرچ",G70)),"پرچ/بدنه کابین(تعمیر)",IF(OR(ISNUMBER(SEARCH("نشت",G70)),ISNUMBER(SEARCH("آبريزش",G70)),ISNUMBER(SEARCH("آبریزش",G70))),"نشتی آب - محل نامشخص (نیازمند بازدید)",IF(ISNUMBER(SEARCH("درب",G70)),"سایر اجزای درب (بازبینی)",IF(ISNUMBER(SEARCH("ضربه",G70)),"بدنه/کابین - ضربه (بازبینی/تعویض پنل)",IF(ISNUMBER(SEARCH("تراز",G70)),"تراز/لرزش - نصب (رگلاژ پایه)",IF(OR(ISNUMBER(SEARCH("تعویض",G70)),ISNUMBER(SEARCH("تعويض",G70))),"تعویض کامل دستگاه (Replacement)","سایر (نیازمند بررسی دستی)")))))))))))))))))))))))))))))))))))))))))))</f>
        <v/>
      </c>
      <c r="P70" s="124" t="inlineStr">
        <is>
          <t>میکروسوئیچ 16 نفره</t>
        </is>
      </c>
      <c r="Q70" s="124">
        <f>IF(ISNUMBER(SEARCH("عهده شرکت",F70)),"شرکت",IF(ISNUMBER(SEARCH("عهده مشتري",F70)),"مشتری",IF(ISNUMBER(SEARCH("عهده مشتری",F70)),"مشتری","نامشخص")))</f>
        <v/>
      </c>
      <c r="R70" s="178">
        <f>IF(O70="تعویض کامل دستگاه (Replacement)",IF(SUMIF('قیمت‌ها و مفروضات'!$A$9:$A$13,C70,'قیمت‌ها و مفروضات'!$C$9:$C$13)&lt;&gt;0,SUMIF('قیمت‌ها و مفروضات'!$A$9:$A$13,C70,'قیمت‌ها و مفروضات'!$C$9:$C$13),SUMIF('قیمت‌ها و مفروضات'!$A$9:$A$13,C70,'قیمت‌ها و مفروضات'!$B$9:$B$13)),IF(SUMIF('قیمت‌ها و مفروضات'!$A$18:$A$63,O70,'قیمت‌ها و مفروضات'!$C$18:$C$63)&lt;&gt;0,SUMIF('قیمت‌ها و مفروضات'!$A$18:$A$63,O70,'قیمت‌ها و مفروضات'!$C$18:$C$63),SUMIF('قیمت‌ها و مفروضات'!$A$18:$A$63,O70,'قیمت‌ها و مفروضات'!$B$18:$B$63)))</f>
        <v/>
      </c>
      <c r="S70" s="178">
        <f>'قیمت‌ها و مفروضات'!$B$3+'قیمت‌ها و مفروضات'!$B$4</f>
        <v/>
      </c>
      <c r="T70" s="178">
        <f>R70+S70</f>
        <v/>
      </c>
      <c r="U70" s="178">
        <f>IF(COUNTIF($E$2:E70,E70)&gt;1,"بله (تکراری)","خیر")</f>
        <v/>
      </c>
      <c r="V70" s="178">
        <f>IF(U70="بله (تکراری)",S70,0)</f>
        <v/>
      </c>
      <c r="W70" s="208" t="inlineStr"/>
      <c r="X70" s="208" t="inlineStr"/>
    </row>
    <row r="71" ht="58.5" customHeight="1" s="151">
      <c r="A71" s="176" t="n">
        <v>210011129</v>
      </c>
      <c r="B71" s="124">
        <f>CHOOSE(_xlfn.NUMBERVALUE(MID(H71,6,2)),"فروردین","اردیبهشت","خرداد","تیر","مرداد","شهریور","مهر","آبان","آذر","دی","بهمن","اسفند")</f>
        <v/>
      </c>
      <c r="C71" s="176" t="inlineStr">
        <is>
          <t>ماشين ظرفشويي</t>
        </is>
      </c>
      <c r="D71" s="176" t="inlineStr">
        <is>
          <t>CDW-H16T</t>
        </is>
      </c>
      <c r="E71" s="176" t="inlineStr">
        <is>
          <t>52220004N03782</t>
        </is>
      </c>
      <c r="F71" s="173" t="inlineStr">
        <is>
          <t>افتادگي درب/ تنظيم درب**اياب و ذهاب به عهده شرکت</t>
        </is>
      </c>
      <c r="G71" s="173" t="inlineStr">
        <is>
          <t xml:space="preserve"> لولا تنظیم / رگلاژ درب</t>
        </is>
      </c>
      <c r="H71" s="176" t="inlineStr">
        <is>
          <t>1405/01/27</t>
        </is>
      </c>
      <c r="I71" s="124" t="inlineStr">
        <is>
          <t>1404/07/28</t>
        </is>
      </c>
      <c r="J71" s="124" t="inlineStr">
        <is>
          <t>1404/10/23</t>
        </is>
      </c>
      <c r="K71" s="177">
        <f>IFERROR(VLOOKUP(LEFT(H71,7),'تبدیل تاریخ'!$A$2:$B$73,2,FALSE())+VALUE(RIGHT(H71,2))-1,"")</f>
        <v/>
      </c>
      <c r="L71" s="177">
        <f>IFERROR(VLOOKUP(LEFT(I71,7),'تبدیل تاریخ'!$A$2:$B$73,2,FALSE())+VALUE(RIGHT(I71,2))-1,"")</f>
        <v/>
      </c>
      <c r="M71" s="177">
        <f>IF(J71="","",IFERROR(VLOOKUP(LEFT(J71,7),'تبدیل تاریخ'!$A$2:$B$73,2,FALSE())+VALUE(RIGHT(J71,2))-1,""))</f>
        <v/>
      </c>
      <c r="N71" s="124">
        <f>IF(OR(K71="",M71=""),"",CEILING((K71-M71)/30,1))</f>
        <v/>
      </c>
      <c r="O71" s="124">
        <f>IF(OR(ISNUMBER(SEARCH("بدون مورد",G71)),ISNUMBER(SEARCH("غير گارانتي",G71)),ISNUMBER(SEARCH("غیر گارانتی",G71)),ISNUMBER(SEARCH("بدون اجرت",G71)),ISNUMBER(SEARCH("فيلتر",G71)),ISNUMBER(SEARCH("فیلتر",G71))),"غیرگارانتی/بدون قطعه",IF(OR(ISNUMBER(SEARCH("ريست",G71)),ISNUMBER(SEARCH("ریست",G71))),"ریست نرم‌افزاری (بدون قطعه)",IF(OR(ISNUMBER(SEARCH("تعویض محصول",G71)),ISNUMBER(SEARCH("تعویض دستگاه",G71))),"تعویض کامل دستگاه (Replacement)",IF(ISNUMBER(SEARCH("پمپ",G71)),IF(ISNUMBER(SEARCH("نشت",G71)),"نشتی - پمپ تخلیه (تعمیر/آب‌بندی)","خرابی - پمپ تخلیه (تعویض)"),IF(ISNUMBER(SEARCH("کمپرسور",G71)),"خرابی - کمپرسور (تعویض)",IF(ISNUMBER(SEARCH("کمک فنر",G71)),"خرابی - کمک فنر (تعویض)",IF(ISNUMBER(SEARCH("لولا",G71)),"مکانیزم درب - لولا (تعویض)",IF(OR(ISNUMBER(SEARCH("قلاب",G71)),ISNUMBER(SEARCH("ميکروسوئيچ",G71)),ISNUMBER(SEARCH("میکروسوئیچ",G71))),"مکانیزم درب - میکروسوئیچ/قلاب (تعویض/تنظیم)",IF(ISNUMBER(SEARCH("زبانه",G71)),"مکانیزم درب - زبانه (تعویض)",IF(OR(ISNUMBER(SEARCH("شيلنگ",G71)),ISNUMBER(SEARCH("شیلنگ",G71))),IF(OR(ISNUMBER(SEARCH("نشتی",G71)),ISNUMBER(SEARCH("نشتي",G71))),"نشتی - شیلنگ (تعمیر/آب‌بندی)",IF(OR(ISNUMBER(SEARCH("يخ",G71)),ISNUMBER(SEARCH("یخ",G71))),"شیلنگ یخساز - یخ‌زدگی (بازبینی)","شیلنگ - برخورد/لهیدگی (بازبینی)")),IF(OR(ISNUMBER(SEARCH("تنظيم ديسپل",G71)),ISNUMBER(SEARCH("تنظیم دیسپل",G71)),ISNUMBER(SEARCH("تنظيم صفحه نمايش",G71)),ISNUMBER(SEARCH("تنظیم صفحه نمایش",G71))),"تنظیم - تنظیمات دستگاه/دیسپلی (تعمیر)",IF(OR(ISNUMBER(SEARCH("برد",G71)),ISNUMBER(SEARCH("سوکت",G71)),ISNUMBER(SEARCH("ديسپل",G71)),ISNUMBER(SEARCH("دیسپل",G71))),"خرابی - برد الکترونیک (تعویض)",IF(OR(ISNUMBER(SEARCH("يخساز",G71)),ISNUMBER(SEARCH("یخساز",G71)),ISNUMBER(SEARCH("دمپر",G71))),IF(OR(ISNUMBER(SEARCH("خرابی",G71)),ISNUMBER(SEARCH("خراب",G71)),ISNUMBER(SEARCH("عدم کارکرد",G71)),ISNUMBER(SEARCH("عدم عملکرد",G71))),"یخساز - خرابی موتور/سنسور/برد (تعویض)","یخساز - تنظیم/عایق (تعمیر)"),IF(OR(ISNUMBER(SEARCH("لاستيک",G71)),ISNUMBER(SEARCH("لاستیک",G71))),"لاستیک درزگیر - دفرمگی/پارگی (تعویض)",IF(OR(ISNUMBER(SEARCH("گسکت",G71)),ISNUMBER(SEARCH("گسگت",G71))),"لاستیک درزگیر - دفرمگی/پارگی (تعویض)",IF(ISNUMBER(SEARCH("مخزن نمک",G71)),"نشتی - درب مخزن نمک (تعمیر/آب‌بندی)",IF(ISNUMBER(SEARCH("براکت",G71)),"نشتی - براکت ریل (تعمیر/آب‌بندی)",IF(ISNUMBER(SEARCH("جاپودر",G71)),"نشتی - جاپودری (تعمیر/آب‌بندی)",IF(ISNUMBER(SEARCH("مقسم",G71)),"نشتی - مقسم آب (تعمیر/آب‌بندی)",IF(OR(ISNUMBER(SEARCH("سنسور دما",G71)),ISNUMBER(SEARCH("ترموستات",G71))),"خرابی - ترموستات (تعویض)",IF(OR(ISNUMBER(SEARCH("هيدروستات",G71)),ISNUMBER(SEARCH("هیدروستات",G71))),"خرابی - هیدروستات (تعویض)",IF(OR(ISNUMBER(SEARCH("بلبرينگ",G71)),ISNUMBER(SEARCH("بلبرینگ",G71))),"خرابی - بلبرینگ (تعویض)",IF(OR(ISNUMBER(SEARCH("شيربرق",G71)),ISNUMBER(SEARCH("شیربرق",G71))),"خرابی - شیربرقی (تعویض)",IF(OR(ISNUMBER(SEARCH("واتر جت",G71)),ISNUMBER(SEARCH("واترجت",G71))),"خرابی - واترجت (تعویض)",IF(OR(ISNUMBER(SEARCH("سيم",G71)),ISNUMBER(SEARCH("سیم",G71)),ISNUMBER(SEARCH("اتصال",G71))),"سیم‌کشی/اتصالات (تعویض/بازبینی)",IF(OR(ISNUMBER(SEARCH("تصوير",G71)),ISNUMBER(SEARCH("تصویر",G71))),"برد نمایش تلویزیون (تعویض)",IF(OR(ISNUMBER(SEARCH("ريموت",G71)),ISNUMBER(SEARCH("ریموت",G71))),"ریموت کنترل (تعویض/تعمیر)",IF(OR(ISNUMBER(SEARCH("ال اي دي",G71)),ISNUMBER(SEARCH("ال ای دی",G71)),ISNUMBER(SEARCH("LED",G71))),"خرابی - لامپ/LED داخلی (تعویض)",IF(ISNUMBER(SEARCH("زنگ زدگ",G71)),"زنگ‌زدگی بدنه/قطعه (تعویض)",IF(OR(ISNUMBER(SEARCH("قطعات تزئين",G71)),ISNUMBER(SEARCH("قطعات تزئین",G71))),"قطعات تزئینی - شکستگی/کسری (تعویض)",IF(ISNUMBER(SEARCH("سبد",G71)),"سبد ظرفشویی - شکستگی (تعویض)",IF(ISNUMBER(SEARCH("تاب درام",G71)),"خرابی - تاب برداشتن درام (تعویض)",IF(ISNUMBER(SEARCH("درام",G71)),"خرابی - سایر ایراد درام (تعویض)",IF(ISNUMBER(SEARCH("موتور",G71)),"خرابی - موتور (تعویض)",IF(ISNUMBER(SEARCH("تسمه",G71)),"خرابی - تسمه (تعویض)",IF(OR(ISNUMBER(SEARCH("پيچ ولوم",G71)),ISNUMBER(SEARCH("پیچ ولوم",G71))),"تنظیم - پیچ ولوم/دکمه (تعمیر)",IF(OR(ISNUMBER(SEARCH("کسري قطعات",G71)),ISNUMBER(SEARCH("کسری قطعات",G71))),"کسری قطعات تزئینی (تعویض)",IF(ISNUMBER(SEARCH("پرچ",G71)),"پرچ/بدنه کابین(تعمیر)",IF(OR(ISNUMBER(SEARCH("نشت",G71)),ISNUMBER(SEARCH("آبريزش",G71)),ISNUMBER(SEARCH("آبریزش",G71))),"نشتی آب - محل نامشخص (نیازمند بازدید)",IF(ISNUMBER(SEARCH("درب",G71)),"سایر اجزای درب (بازبینی)",IF(ISNUMBER(SEARCH("ضربه",G71)),"بدنه/کابین - ضربه (بازبینی/تعویض پنل)",IF(ISNUMBER(SEARCH("تراز",G71)),"تراز/لرزش - نصب (رگلاژ پایه)",IF(OR(ISNUMBER(SEARCH("تعویض",G71)),ISNUMBER(SEARCH("تعويض",G71))),"تعویض کامل دستگاه (Replacement)","سایر (نیازمند بررسی دستی)")))))))))))))))))))))))))))))))))))))))))))</f>
        <v/>
      </c>
      <c r="P71" s="124" t="inlineStr">
        <is>
          <t>*</t>
        </is>
      </c>
      <c r="Q71" s="124">
        <f>IF(ISNUMBER(SEARCH("عهده شرکت",F71)),"شرکت",IF(ISNUMBER(SEARCH("عهده مشتري",F71)),"مشتری",IF(ISNUMBER(SEARCH("عهده مشتری",F71)),"مشتری","نامشخص")))</f>
        <v/>
      </c>
      <c r="R71" s="178">
        <f>IF(O71="تعویض کامل دستگاه (Replacement)",IF(SUMIF('قیمت‌ها و مفروضات'!$A$9:$A$13,C71,'قیمت‌ها و مفروضات'!$C$9:$C$13)&lt;&gt;0,SUMIF('قیمت‌ها و مفروضات'!$A$9:$A$13,C71,'قیمت‌ها و مفروضات'!$C$9:$C$13),SUMIF('قیمت‌ها و مفروضات'!$A$9:$A$13,C71,'قیمت‌ها و مفروضات'!$B$9:$B$13)),IF(SUMIF('قیمت‌ها و مفروضات'!$A$18:$A$63,O71,'قیمت‌ها و مفروضات'!$C$18:$C$63)&lt;&gt;0,SUMIF('قیمت‌ها و مفروضات'!$A$18:$A$63,O71,'قیمت‌ها و مفروضات'!$C$18:$C$63),SUMIF('قیمت‌ها و مفروضات'!$A$18:$A$63,O71,'قیمت‌ها و مفروضات'!$B$18:$B$63)))</f>
        <v/>
      </c>
      <c r="S71" s="178">
        <f>'قیمت‌ها و مفروضات'!$B$3+'قیمت‌ها و مفروضات'!$B$4</f>
        <v/>
      </c>
      <c r="T71" s="178">
        <f>R71+S71</f>
        <v/>
      </c>
      <c r="U71" s="178">
        <f>IF(COUNTIF($E$2:E71,E71)&gt;1,"بله (تکراری)","خیر")</f>
        <v/>
      </c>
      <c r="V71" s="178">
        <f>IF(U71="بله (تکراری)",S71,0)</f>
        <v/>
      </c>
      <c r="W71" s="208" t="inlineStr"/>
      <c r="X71" s="208" t="inlineStr"/>
    </row>
    <row r="72" ht="58.5" customHeight="1" s="151">
      <c r="A72" s="176" t="n">
        <v>130004235</v>
      </c>
      <c r="B72" s="124">
        <f>CHOOSE(_xlfn.NUMBERVALUE(MID(H72,6,2)),"فروردین","اردیبهشت","خرداد","تیر","مرداد","شهریور","مهر","آبان","آذر","دی","بهمن","اسفند")</f>
        <v/>
      </c>
      <c r="C72" s="176" t="inlineStr">
        <is>
          <t>ماشين ظرفشويي</t>
        </is>
      </c>
      <c r="D72" s="176" t="inlineStr">
        <is>
          <t>CDW-H16T</t>
        </is>
      </c>
      <c r="E72" s="176" t="inlineStr">
        <is>
          <t>52220004N01975</t>
        </is>
      </c>
      <c r="F72" s="173" t="inlineStr">
        <is>
          <t>اياب و ذهاب به عهده شرکت ** بسته نشدن درب</t>
        </is>
      </c>
      <c r="G72" s="173" t="inlineStr">
        <is>
          <t>خرابي قلاب ميکروسوئيچ</t>
        </is>
      </c>
      <c r="H72" s="176" t="inlineStr">
        <is>
          <t>1405/01/29</t>
        </is>
      </c>
      <c r="I72" s="124" t="inlineStr">
        <is>
          <t>1403/12/06</t>
        </is>
      </c>
      <c r="J72" s="124" t="inlineStr">
        <is>
          <t>1404/06/17</t>
        </is>
      </c>
      <c r="K72" s="177">
        <f>IFERROR(VLOOKUP(LEFT(H72,7),'تبدیل تاریخ'!$A$2:$B$73,2,FALSE())+VALUE(RIGHT(H72,2))-1,"")</f>
        <v/>
      </c>
      <c r="L72" s="177">
        <f>IFERROR(VLOOKUP(LEFT(I72,7),'تبدیل تاریخ'!$A$2:$B$73,2,FALSE())+VALUE(RIGHT(I72,2))-1,"")</f>
        <v/>
      </c>
      <c r="M72" s="177">
        <f>IF(J72="","",IFERROR(VLOOKUP(LEFT(J72,7),'تبدیل تاریخ'!$A$2:$B$73,2,FALSE())+VALUE(RIGHT(J72,2))-1,""))</f>
        <v/>
      </c>
      <c r="N72" s="124">
        <f>IF(OR(K72="",M72=""),"",CEILING((K72-M72)/30,1))</f>
        <v/>
      </c>
      <c r="O72" s="124">
        <f>IF(OR(ISNUMBER(SEARCH("بدون مورد",G72)),ISNUMBER(SEARCH("غير گارانتي",G72)),ISNUMBER(SEARCH("غیر گارانتی",G72)),ISNUMBER(SEARCH("بدون اجرت",G72)),ISNUMBER(SEARCH("فيلتر",G72)),ISNUMBER(SEARCH("فیلتر",G72))),"غیرگارانتی/بدون قطعه",IF(OR(ISNUMBER(SEARCH("ريست",G72)),ISNUMBER(SEARCH("ریست",G72))),"ریست نرم‌افزاری (بدون قطعه)",IF(OR(ISNUMBER(SEARCH("تعویض محصول",G72)),ISNUMBER(SEARCH("تعویض دستگاه",G72))),"تعویض کامل دستگاه (Replacement)",IF(ISNUMBER(SEARCH("پمپ",G72)),IF(ISNUMBER(SEARCH("نشت",G72)),"نشتی - پمپ تخلیه (تعمیر/آب‌بندی)","خرابی - پمپ تخلیه (تعویض)"),IF(ISNUMBER(SEARCH("کمپرسور",G72)),"خرابی - کمپرسور (تعویض)",IF(ISNUMBER(SEARCH("کمک فنر",G72)),"خرابی - کمک فنر (تعویض)",IF(ISNUMBER(SEARCH("لولا",G72)),"مکانیزم درب - لولا (تعویض)",IF(OR(ISNUMBER(SEARCH("قلاب",G72)),ISNUMBER(SEARCH("ميکروسوئيچ",G72)),ISNUMBER(SEARCH("میکروسوئیچ",G72))),"مکانیزم درب - میکروسوئیچ/قلاب (تعویض/تنظیم)",IF(ISNUMBER(SEARCH("زبانه",G72)),"مکانیزم درب - زبانه (تعویض)",IF(OR(ISNUMBER(SEARCH("شيلنگ",G72)),ISNUMBER(SEARCH("شیلنگ",G72))),IF(OR(ISNUMBER(SEARCH("نشتی",G72)),ISNUMBER(SEARCH("نشتي",G72))),"نشتی - شیلنگ (تعمیر/آب‌بندی)",IF(OR(ISNUMBER(SEARCH("يخ",G72)),ISNUMBER(SEARCH("یخ",G72))),"شیلنگ یخساز - یخ‌زدگی (بازبینی)","شیلنگ - برخورد/لهیدگی (بازبینی)")),IF(OR(ISNUMBER(SEARCH("تنظيم ديسپل",G72)),ISNUMBER(SEARCH("تنظیم دیسپل",G72)),ISNUMBER(SEARCH("تنظيم صفحه نمايش",G72)),ISNUMBER(SEARCH("تنظیم صفحه نمایش",G72))),"تنظیم - تنظیمات دستگاه/دیسپلی (تعمیر)",IF(OR(ISNUMBER(SEARCH("برد",G72)),ISNUMBER(SEARCH("سوکت",G72)),ISNUMBER(SEARCH("ديسپل",G72)),ISNUMBER(SEARCH("دیسپل",G72))),"خرابی - برد الکترونیک (تعویض)",IF(OR(ISNUMBER(SEARCH("يخساز",G72)),ISNUMBER(SEARCH("یخساز",G72)),ISNUMBER(SEARCH("دمپر",G72))),IF(OR(ISNUMBER(SEARCH("خرابی",G72)),ISNUMBER(SEARCH("خراب",G72)),ISNUMBER(SEARCH("عدم کارکرد",G72)),ISNUMBER(SEARCH("عدم عملکرد",G72))),"یخساز - خرابی موتور/سنسور/برد (تعویض)","یخساز - تنظیم/عایق (تعمیر)"),IF(OR(ISNUMBER(SEARCH("لاستيک",G72)),ISNUMBER(SEARCH("لاستیک",G72))),"لاستیک درزگیر - دفرمگی/پارگی (تعویض)",IF(OR(ISNUMBER(SEARCH("گسکت",G72)),ISNUMBER(SEARCH("گسگت",G72))),"لاستیک درزگیر - دفرمگی/پارگی (تعویض)",IF(ISNUMBER(SEARCH("مخزن نمک",G72)),"نشتی - درب مخزن نمک (تعمیر/آب‌بندی)",IF(ISNUMBER(SEARCH("براکت",G72)),"نشتی - براکت ریل (تعمیر/آب‌بندی)",IF(ISNUMBER(SEARCH("جاپودر",G72)),"نشتی - جاپودری (تعمیر/آب‌بندی)",IF(ISNUMBER(SEARCH("مقسم",G72)),"نشتی - مقسم آب (تعمیر/آب‌بندی)",IF(OR(ISNUMBER(SEARCH("سنسور دما",G72)),ISNUMBER(SEARCH("ترموستات",G72))),"خرابی - ترموستات (تعویض)",IF(OR(ISNUMBER(SEARCH("هيدروستات",G72)),ISNUMBER(SEARCH("هیدروستات",G72))),"خرابی - هیدروستات (تعویض)",IF(OR(ISNUMBER(SEARCH("بلبرينگ",G72)),ISNUMBER(SEARCH("بلبرینگ",G72))),"خرابی - بلبرینگ (تعویض)",IF(OR(ISNUMBER(SEARCH("شيربرق",G72)),ISNUMBER(SEARCH("شیربرق",G72))),"خرابی - شیربرقی (تعویض)",IF(OR(ISNUMBER(SEARCH("واتر جت",G72)),ISNUMBER(SEARCH("واترجت",G72))),"خرابی - واترجت (تعویض)",IF(OR(ISNUMBER(SEARCH("سيم",G72)),ISNUMBER(SEARCH("سیم",G72)),ISNUMBER(SEARCH("اتصال",G72))),"سیم‌کشی/اتصالات (تعویض/بازبینی)",IF(OR(ISNUMBER(SEARCH("تصوير",G72)),ISNUMBER(SEARCH("تصویر",G72))),"برد نمایش تلویزیون (تعویض)",IF(OR(ISNUMBER(SEARCH("ريموت",G72)),ISNUMBER(SEARCH("ریموت",G72))),"ریموت کنترل (تعویض/تعمیر)",IF(OR(ISNUMBER(SEARCH("ال اي دي",G72)),ISNUMBER(SEARCH("ال ای دی",G72)),ISNUMBER(SEARCH("LED",G72))),"خرابی - لامپ/LED داخلی (تعویض)",IF(ISNUMBER(SEARCH("زنگ زدگ",G72)),"زنگ‌زدگی بدنه/قطعه (تعویض)",IF(OR(ISNUMBER(SEARCH("قطعات تزئين",G72)),ISNUMBER(SEARCH("قطعات تزئین",G72))),"قطعات تزئینی - شکستگی/کسری (تعویض)",IF(ISNUMBER(SEARCH("سبد",G72)),"سبد ظرفشویی - شکستگی (تعویض)",IF(ISNUMBER(SEARCH("تاب درام",G72)),"خرابی - تاب برداشتن درام (تعویض)",IF(ISNUMBER(SEARCH("درام",G72)),"خرابی - سایر ایراد درام (تعویض)",IF(ISNUMBER(SEARCH("موتور",G72)),"خرابی - موتور (تعویض)",IF(ISNUMBER(SEARCH("تسمه",G72)),"خرابی - تسمه (تعویض)",IF(OR(ISNUMBER(SEARCH("پيچ ولوم",G72)),ISNUMBER(SEARCH("پیچ ولوم",G72))),"تنظیم - پیچ ولوم/دکمه (تعمیر)",IF(OR(ISNUMBER(SEARCH("کسري قطعات",G72)),ISNUMBER(SEARCH("کسری قطعات",G72))),"کسری قطعات تزئینی (تعویض)",IF(ISNUMBER(SEARCH("پرچ",G72)),"پرچ/بدنه کابین(تعمیر)",IF(OR(ISNUMBER(SEARCH("نشت",G72)),ISNUMBER(SEARCH("آبريزش",G72)),ISNUMBER(SEARCH("آبریزش",G72))),"نشتی آب - محل نامشخص (نیازمند بازدید)",IF(ISNUMBER(SEARCH("درب",G72)),"سایر اجزای درب (بازبینی)",IF(ISNUMBER(SEARCH("ضربه",G72)),"بدنه/کابین - ضربه (بازبینی/تعویض پنل)",IF(ISNUMBER(SEARCH("تراز",G72)),"تراز/لرزش - نصب (رگلاژ پایه)",IF(OR(ISNUMBER(SEARCH("تعویض",G72)),ISNUMBER(SEARCH("تعويض",G72))),"تعویض کامل دستگاه (Replacement)","سایر (نیازمند بررسی دستی)")))))))))))))))))))))))))))))))))))))))))))</f>
        <v/>
      </c>
      <c r="P72" s="124" t="inlineStr">
        <is>
          <t>میکروسوئیچ 16 نفره</t>
        </is>
      </c>
      <c r="Q72" s="124">
        <f>IF(ISNUMBER(SEARCH("عهده شرکت",F72)),"شرکت",IF(ISNUMBER(SEARCH("عهده مشتري",F72)),"مشتری",IF(ISNUMBER(SEARCH("عهده مشتری",F72)),"مشتری","نامشخص")))</f>
        <v/>
      </c>
      <c r="R72" s="178">
        <f>IF(O72="تعویض کامل دستگاه (Replacement)",IF(SUMIF('قیمت‌ها و مفروضات'!$A$9:$A$13,C72,'قیمت‌ها و مفروضات'!$C$9:$C$13)&lt;&gt;0,SUMIF('قیمت‌ها و مفروضات'!$A$9:$A$13,C72,'قیمت‌ها و مفروضات'!$C$9:$C$13),SUMIF('قیمت‌ها و مفروضات'!$A$9:$A$13,C72,'قیمت‌ها و مفروضات'!$B$9:$B$13)),IF(SUMIF('قیمت‌ها و مفروضات'!$A$18:$A$63,O72,'قیمت‌ها و مفروضات'!$C$18:$C$63)&lt;&gt;0,SUMIF('قیمت‌ها و مفروضات'!$A$18:$A$63,O72,'قیمت‌ها و مفروضات'!$C$18:$C$63),SUMIF('قیمت‌ها و مفروضات'!$A$18:$A$63,O72,'قیمت‌ها و مفروضات'!$B$18:$B$63)))</f>
        <v/>
      </c>
      <c r="S72" s="178">
        <f>'قیمت‌ها و مفروضات'!$B$3+'قیمت‌ها و مفروضات'!$B$4</f>
        <v/>
      </c>
      <c r="T72" s="178">
        <f>R72+S72</f>
        <v/>
      </c>
      <c r="U72" s="178">
        <f>IF(COUNTIF($E$2:E72,E72)&gt;1,"بله (تکراری)","خیر")</f>
        <v/>
      </c>
      <c r="V72" s="178">
        <f>IF(U72="بله (تکراری)",S72,0)</f>
        <v/>
      </c>
      <c r="W72" s="208" t="inlineStr"/>
      <c r="X72" s="208" t="inlineStr"/>
    </row>
    <row r="73" ht="58.5" customHeight="1" s="151">
      <c r="A73" s="176" t="n">
        <v>810001819</v>
      </c>
      <c r="B73" s="124">
        <f>CHOOSE(_xlfn.NUMBERVALUE(MID(H73,6,2)),"فروردین","اردیبهشت","خرداد","تیر","مرداد","شهریور","مهر","آبان","آذر","دی","بهمن","اسفند")</f>
        <v/>
      </c>
      <c r="C73" s="176" t="inlineStr">
        <is>
          <t>ماشين ظرفشويي</t>
        </is>
      </c>
      <c r="D73" s="176" t="inlineStr">
        <is>
          <t>CDW-H16T</t>
        </is>
      </c>
      <c r="E73" s="176" t="inlineStr">
        <is>
          <t>52220004N05167</t>
        </is>
      </c>
      <c r="F73" s="173" t="inlineStr">
        <is>
          <t>اياب و ذهاب به عهده شرکت ** بسته نشدن درب</t>
        </is>
      </c>
      <c r="G73" s="173" t="inlineStr">
        <is>
          <t>خرابي قلاب ميکروسوئيچ</t>
        </is>
      </c>
      <c r="H73" s="176" t="inlineStr">
        <is>
          <t>1405/01/29</t>
        </is>
      </c>
      <c r="I73" s="124" t="inlineStr">
        <is>
          <t>1404/08/28</t>
        </is>
      </c>
      <c r="J73" s="124" t="inlineStr">
        <is>
          <t>1405/01/25</t>
        </is>
      </c>
      <c r="K73" s="177">
        <f>IFERROR(VLOOKUP(LEFT(H73,7),'تبدیل تاریخ'!$A$2:$B$73,2,FALSE())+VALUE(RIGHT(H73,2))-1,"")</f>
        <v/>
      </c>
      <c r="L73" s="177">
        <f>IFERROR(VLOOKUP(LEFT(I73,7),'تبدیل تاریخ'!$A$2:$B$73,2,FALSE())+VALUE(RIGHT(I73,2))-1,"")</f>
        <v/>
      </c>
      <c r="M73" s="177">
        <f>IF(J73="","",IFERROR(VLOOKUP(LEFT(J73,7),'تبدیل تاریخ'!$A$2:$B$73,2,FALSE())+VALUE(RIGHT(J73,2))-1,""))</f>
        <v/>
      </c>
      <c r="N73" s="124">
        <f>IF(OR(K73="",M73=""),"",CEILING((K73-M73)/30,1))</f>
        <v/>
      </c>
      <c r="O73" s="124">
        <f>IF(OR(ISNUMBER(SEARCH("بدون مورد",G73)),ISNUMBER(SEARCH("غير گارانتي",G73)),ISNUMBER(SEARCH("غیر گارانتی",G73)),ISNUMBER(SEARCH("بدون اجرت",G73)),ISNUMBER(SEARCH("فيلتر",G73)),ISNUMBER(SEARCH("فیلتر",G73))),"غیرگارانتی/بدون قطعه",IF(OR(ISNUMBER(SEARCH("ريست",G73)),ISNUMBER(SEARCH("ریست",G73))),"ریست نرم‌افزاری (بدون قطعه)",IF(OR(ISNUMBER(SEARCH("تعویض محصول",G73)),ISNUMBER(SEARCH("تعویض دستگاه",G73))),"تعویض کامل دستگاه (Replacement)",IF(ISNUMBER(SEARCH("پمپ",G73)),IF(ISNUMBER(SEARCH("نشت",G73)),"نشتی - پمپ تخلیه (تعمیر/آب‌بندی)","خرابی - پمپ تخلیه (تعویض)"),IF(ISNUMBER(SEARCH("کمپرسور",G73)),"خرابی - کمپرسور (تعویض)",IF(ISNUMBER(SEARCH("کمک فنر",G73)),"خرابی - کمک فنر (تعویض)",IF(ISNUMBER(SEARCH("لولا",G73)),"مکانیزم درب - لولا (تعویض)",IF(OR(ISNUMBER(SEARCH("قلاب",G73)),ISNUMBER(SEARCH("ميکروسوئيچ",G73)),ISNUMBER(SEARCH("میکروسوئیچ",G73))),"مکانیزم درب - میکروسوئیچ/قلاب (تعویض/تنظیم)",IF(ISNUMBER(SEARCH("زبانه",G73)),"مکانیزم درب - زبانه (تعویض)",IF(OR(ISNUMBER(SEARCH("شيلنگ",G73)),ISNUMBER(SEARCH("شیلنگ",G73))),IF(OR(ISNUMBER(SEARCH("نشتی",G73)),ISNUMBER(SEARCH("نشتي",G73))),"نشتی - شیلنگ (تعمیر/آب‌بندی)",IF(OR(ISNUMBER(SEARCH("يخ",G73)),ISNUMBER(SEARCH("یخ",G73))),"شیلنگ یخساز - یخ‌زدگی (بازبینی)","شیلنگ - برخورد/لهیدگی (بازبینی)")),IF(OR(ISNUMBER(SEARCH("تنظيم ديسپل",G73)),ISNUMBER(SEARCH("تنظیم دیسپل",G73)),ISNUMBER(SEARCH("تنظيم صفحه نمايش",G73)),ISNUMBER(SEARCH("تنظیم صفحه نمایش",G73))),"تنظیم - تنظیمات دستگاه/دیسپلی (تعمیر)",IF(OR(ISNUMBER(SEARCH("برد",G73)),ISNUMBER(SEARCH("سوکت",G73)),ISNUMBER(SEARCH("ديسپل",G73)),ISNUMBER(SEARCH("دیسپل",G73))),"خرابی - برد الکترونیک (تعویض)",IF(OR(ISNUMBER(SEARCH("يخساز",G73)),ISNUMBER(SEARCH("یخساز",G73)),ISNUMBER(SEARCH("دمپر",G73))),IF(OR(ISNUMBER(SEARCH("خرابی",G73)),ISNUMBER(SEARCH("خراب",G73)),ISNUMBER(SEARCH("عدم کارکرد",G73)),ISNUMBER(SEARCH("عدم عملکرد",G73))),"یخساز - خرابی موتور/سنسور/برد (تعویض)","یخساز - تنظیم/عایق (تعمیر)"),IF(OR(ISNUMBER(SEARCH("لاستيک",G73)),ISNUMBER(SEARCH("لاستیک",G73))),"لاستیک درزگیر - دفرمگی/پارگی (تعویض)",IF(OR(ISNUMBER(SEARCH("گسکت",G73)),ISNUMBER(SEARCH("گسگت",G73))),"لاستیک درزگیر - دفرمگی/پارگی (تعویض)",IF(ISNUMBER(SEARCH("مخزن نمک",G73)),"نشتی - درب مخزن نمک (تعمیر/آب‌بندی)",IF(ISNUMBER(SEARCH("براکت",G73)),"نشتی - براکت ریل (تعمیر/آب‌بندی)",IF(ISNUMBER(SEARCH("جاپودر",G73)),"نشتی - جاپودری (تعمیر/آب‌بندی)",IF(ISNUMBER(SEARCH("مقسم",G73)),"نشتی - مقسم آب (تعمیر/آب‌بندی)",IF(OR(ISNUMBER(SEARCH("سنسور دما",G73)),ISNUMBER(SEARCH("ترموستات",G73))),"خرابی - ترموستات (تعویض)",IF(OR(ISNUMBER(SEARCH("هيدروستات",G73)),ISNUMBER(SEARCH("هیدروستات",G73))),"خرابی - هیدروستات (تعویض)",IF(OR(ISNUMBER(SEARCH("بلبرينگ",G73)),ISNUMBER(SEARCH("بلبرینگ",G73))),"خرابی - بلبرینگ (تعویض)",IF(OR(ISNUMBER(SEARCH("شيربرق",G73)),ISNUMBER(SEARCH("شیربرق",G73))),"خرابی - شیربرقی (تعویض)",IF(OR(ISNUMBER(SEARCH("واتر جت",G73)),ISNUMBER(SEARCH("واترجت",G73))),"خرابی - واترجت (تعویض)",IF(OR(ISNUMBER(SEARCH("سيم",G73)),ISNUMBER(SEARCH("سیم",G73)),ISNUMBER(SEARCH("اتصال",G73))),"سیم‌کشی/اتصالات (تعویض/بازبینی)",IF(OR(ISNUMBER(SEARCH("تصوير",G73)),ISNUMBER(SEARCH("تصویر",G73))),"برد نمایش تلویزیون (تعویض)",IF(OR(ISNUMBER(SEARCH("ريموت",G73)),ISNUMBER(SEARCH("ریموت",G73))),"ریموت کنترل (تعویض/تعمیر)",IF(OR(ISNUMBER(SEARCH("ال اي دي",G73)),ISNUMBER(SEARCH("ال ای دی",G73)),ISNUMBER(SEARCH("LED",G73))),"خرابی - لامپ/LED داخلی (تعویض)",IF(ISNUMBER(SEARCH("زنگ زدگ",G73)),"زنگ‌زدگی بدنه/قطعه (تعویض)",IF(OR(ISNUMBER(SEARCH("قطعات تزئين",G73)),ISNUMBER(SEARCH("قطعات تزئین",G73))),"قطعات تزئینی - شکستگی/کسری (تعویض)",IF(ISNUMBER(SEARCH("سبد",G73)),"سبد ظرفشویی - شکستگی (تعویض)",IF(ISNUMBER(SEARCH("تاب درام",G73)),"خرابی - تاب برداشتن درام (تعویض)",IF(ISNUMBER(SEARCH("درام",G73)),"خرابی - سایر ایراد درام (تعویض)",IF(ISNUMBER(SEARCH("موتور",G73)),"خرابی - موتور (تعویض)",IF(ISNUMBER(SEARCH("تسمه",G73)),"خرابی - تسمه (تعویض)",IF(OR(ISNUMBER(SEARCH("پيچ ولوم",G73)),ISNUMBER(SEARCH("پیچ ولوم",G73))),"تنظیم - پیچ ولوم/دکمه (تعمیر)",IF(OR(ISNUMBER(SEARCH("کسري قطعات",G73)),ISNUMBER(SEARCH("کسری قطعات",G73))),"کسری قطعات تزئینی (تعویض)",IF(ISNUMBER(SEARCH("پرچ",G73)),"پرچ/بدنه کابین(تعمیر)",IF(OR(ISNUMBER(SEARCH("نشت",G73)),ISNUMBER(SEARCH("آبريزش",G73)),ISNUMBER(SEARCH("آبریزش",G73))),"نشتی آب - محل نامشخص (نیازمند بازدید)",IF(ISNUMBER(SEARCH("درب",G73)),"سایر اجزای درب (بازبینی)",IF(ISNUMBER(SEARCH("ضربه",G73)),"بدنه/کابین - ضربه (بازبینی/تعویض پنل)",IF(ISNUMBER(SEARCH("تراز",G73)),"تراز/لرزش - نصب (رگلاژ پایه)",IF(OR(ISNUMBER(SEARCH("تعویض",G73)),ISNUMBER(SEARCH("تعويض",G73))),"تعویض کامل دستگاه (Replacement)","سایر (نیازمند بررسی دستی)")))))))))))))))))))))))))))))))))))))))))))</f>
        <v/>
      </c>
      <c r="P73" s="124" t="inlineStr">
        <is>
          <t>میکروسوئیچ 16 نفره</t>
        </is>
      </c>
      <c r="Q73" s="124">
        <f>IF(ISNUMBER(SEARCH("عهده شرکت",F73)),"شرکت",IF(ISNUMBER(SEARCH("عهده مشتري",F73)),"مشتری",IF(ISNUMBER(SEARCH("عهده مشتری",F73)),"مشتری","نامشخص")))</f>
        <v/>
      </c>
      <c r="R73" s="178">
        <f>IF(O73="تعویض کامل دستگاه (Replacement)",IF(SUMIF('قیمت‌ها و مفروضات'!$A$9:$A$13,C73,'قیمت‌ها و مفروضات'!$C$9:$C$13)&lt;&gt;0,SUMIF('قیمت‌ها و مفروضات'!$A$9:$A$13,C73,'قیمت‌ها و مفروضات'!$C$9:$C$13),SUMIF('قیمت‌ها و مفروضات'!$A$9:$A$13,C73,'قیمت‌ها و مفروضات'!$B$9:$B$13)),IF(SUMIF('قیمت‌ها و مفروضات'!$A$18:$A$63,O73,'قیمت‌ها و مفروضات'!$C$18:$C$63)&lt;&gt;0,SUMIF('قیمت‌ها و مفروضات'!$A$18:$A$63,O73,'قیمت‌ها و مفروضات'!$C$18:$C$63),SUMIF('قیمت‌ها و مفروضات'!$A$18:$A$63,O73,'قیمت‌ها و مفروضات'!$B$18:$B$63)))</f>
        <v/>
      </c>
      <c r="S73" s="178">
        <f>'قیمت‌ها و مفروضات'!$B$3+'قیمت‌ها و مفروضات'!$B$4</f>
        <v/>
      </c>
      <c r="T73" s="178">
        <f>R73+S73</f>
        <v/>
      </c>
      <c r="U73" s="178">
        <f>IF(COUNTIF($E$2:E73,E73)&gt;1,"بله (تکراری)","خیر")</f>
        <v/>
      </c>
      <c r="V73" s="178">
        <f>IF(U73="بله (تکراری)",S73,0)</f>
        <v/>
      </c>
      <c r="W73" s="208" t="inlineStr"/>
      <c r="X73" s="208" t="inlineStr"/>
    </row>
    <row r="74" ht="58.5" customHeight="1" s="151">
      <c r="A74" s="176" t="n">
        <v>510019960</v>
      </c>
      <c r="B74" s="124">
        <f>CHOOSE(_xlfn.NUMBERVALUE(MID(H74,6,2)),"فروردین","اردیبهشت","خرداد","تیر","مرداد","شهریور","مهر","آبان","آذر","دی","بهمن","اسفند")</f>
        <v/>
      </c>
      <c r="C74" s="176" t="inlineStr">
        <is>
          <t>ماشين لباسشويي</t>
        </is>
      </c>
      <c r="D74" s="176" t="inlineStr">
        <is>
          <t>CWM-BMW8T1</t>
        </is>
      </c>
      <c r="E74" s="176" t="inlineStr">
        <is>
          <t>52210005N01679</t>
        </is>
      </c>
      <c r="F74" s="173" t="inlineStr">
        <is>
          <t>بسته نشدن درب**اياب و ذهاب به عهده شرکت</t>
        </is>
      </c>
      <c r="G74" s="173" t="inlineStr">
        <is>
          <t>عدم قرارگيري مهره درب</t>
        </is>
      </c>
      <c r="H74" s="176" t="inlineStr">
        <is>
          <t>1405/01/29</t>
        </is>
      </c>
      <c r="I74" s="124" t="inlineStr">
        <is>
          <t>1404/03/12</t>
        </is>
      </c>
      <c r="J74" s="124" t="inlineStr">
        <is>
          <t>1404/07/21</t>
        </is>
      </c>
      <c r="K74" s="177">
        <f>IFERROR(VLOOKUP(LEFT(H74,7),'تبدیل تاریخ'!$A$2:$B$73,2,FALSE())+VALUE(RIGHT(H74,2))-1,"")</f>
        <v/>
      </c>
      <c r="L74" s="177">
        <f>IFERROR(VLOOKUP(LEFT(I74,7),'تبدیل تاریخ'!$A$2:$B$73,2,FALSE())+VALUE(RIGHT(I74,2))-1,"")</f>
        <v/>
      </c>
      <c r="M74" s="177">
        <f>IF(J74="","",IFERROR(VLOOKUP(LEFT(J74,7),'تبدیل تاریخ'!$A$2:$B$73,2,FALSE())+VALUE(RIGHT(J74,2))-1,""))</f>
        <v/>
      </c>
      <c r="N74" s="124">
        <f>IF(OR(K74="",M74=""),"",CEILING((K74-M74)/30,1))</f>
        <v/>
      </c>
      <c r="O74" s="124">
        <f>IF(OR(ISNUMBER(SEARCH("بدون مورد",G74)),ISNUMBER(SEARCH("غير گارانتي",G74)),ISNUMBER(SEARCH("غیر گارانتی",G74)),ISNUMBER(SEARCH("بدون اجرت",G74)),ISNUMBER(SEARCH("فيلتر",G74)),ISNUMBER(SEARCH("فیلتر",G74))),"غیرگارانتی/بدون قطعه",IF(OR(ISNUMBER(SEARCH("ريست",G74)),ISNUMBER(SEARCH("ریست",G74))),"ریست نرم‌افزاری (بدون قطعه)",IF(OR(ISNUMBER(SEARCH("تعویض محصول",G74)),ISNUMBER(SEARCH("تعویض دستگاه",G74))),"تعویض کامل دستگاه (Replacement)",IF(ISNUMBER(SEARCH("پمپ",G74)),IF(ISNUMBER(SEARCH("نشت",G74)),"نشتی - پمپ تخلیه (تعمیر/آب‌بندی)","خرابی - پمپ تخلیه (تعویض)"),IF(ISNUMBER(SEARCH("کمپرسور",G74)),"خرابی - کمپرسور (تعویض)",IF(ISNUMBER(SEARCH("کمک فنر",G74)),"خرابی - کمک فنر (تعویض)",IF(ISNUMBER(SEARCH("لولا",G74)),"مکانیزم درب - لولا (تعویض)",IF(OR(ISNUMBER(SEARCH("قلاب",G74)),ISNUMBER(SEARCH("ميکروسوئيچ",G74)),ISNUMBER(SEARCH("میکروسوئیچ",G74))),"مکانیزم درب - میکروسوئیچ/قلاب (تعویض/تنظیم)",IF(ISNUMBER(SEARCH("زبانه",G74)),"مکانیزم درب - زبانه (تعویض)",IF(OR(ISNUMBER(SEARCH("شيلنگ",G74)),ISNUMBER(SEARCH("شیلنگ",G74))),IF(OR(ISNUMBER(SEARCH("نشتی",G74)),ISNUMBER(SEARCH("نشتي",G74))),"نشتی - شیلنگ (تعمیر/آب‌بندی)",IF(OR(ISNUMBER(SEARCH("يخ",G74)),ISNUMBER(SEARCH("یخ",G74))),"شیلنگ یخساز - یخ‌زدگی (بازبینی)","شیلنگ - برخورد/لهیدگی (بازبینی)")),IF(OR(ISNUMBER(SEARCH("تنظيم ديسپل",G74)),ISNUMBER(SEARCH("تنظیم دیسپل",G74)),ISNUMBER(SEARCH("تنظيم صفحه نمايش",G74)),ISNUMBER(SEARCH("تنظیم صفحه نمایش",G74))),"تنظیم - تنظیمات دستگاه/دیسپلی (تعمیر)",IF(OR(ISNUMBER(SEARCH("برد",G74)),ISNUMBER(SEARCH("سوکت",G74)),ISNUMBER(SEARCH("ديسپل",G74)),ISNUMBER(SEARCH("دیسپل",G74))),"خرابی - برد الکترونیک (تعویض)",IF(OR(ISNUMBER(SEARCH("يخساز",G74)),ISNUMBER(SEARCH("یخساز",G74)),ISNUMBER(SEARCH("دمپر",G74))),IF(OR(ISNUMBER(SEARCH("خرابی",G74)),ISNUMBER(SEARCH("خراب",G74)),ISNUMBER(SEARCH("عدم کارکرد",G74)),ISNUMBER(SEARCH("عدم عملکرد",G74))),"یخساز - خرابی موتور/سنسور/برد (تعویض)","یخساز - تنظیم/عایق (تعمیر)"),IF(OR(ISNUMBER(SEARCH("لاستيک",G74)),ISNUMBER(SEARCH("لاستیک",G74))),"لاستیک درزگیر - دفرمگی/پارگی (تعویض)",IF(OR(ISNUMBER(SEARCH("گسکت",G74)),ISNUMBER(SEARCH("گسگت",G74))),"لاستیک درزگیر - دفرمگی/پارگی (تعویض)",IF(ISNUMBER(SEARCH("مخزن نمک",G74)),"نشتی - درب مخزن نمک (تعمیر/آب‌بندی)",IF(ISNUMBER(SEARCH("براکت",G74)),"نشتی - براکت ریل (تعمیر/آب‌بندی)",IF(ISNUMBER(SEARCH("جاپودر",G74)),"نشتی - جاپودری (تعمیر/آب‌بندی)",IF(ISNUMBER(SEARCH("مقسم",G74)),"نشتی - مقسم آب (تعمیر/آب‌بندی)",IF(OR(ISNUMBER(SEARCH("سنسور دما",G74)),ISNUMBER(SEARCH("ترموستات",G74))),"خرابی - ترموستات (تعویض)",IF(OR(ISNUMBER(SEARCH("هيدروستات",G74)),ISNUMBER(SEARCH("هیدروستات",G74))),"خرابی - هیدروستات (تعویض)",IF(OR(ISNUMBER(SEARCH("بلبرينگ",G74)),ISNUMBER(SEARCH("بلبرینگ",G74))),"خرابی - بلبرینگ (تعویض)",IF(OR(ISNUMBER(SEARCH("شيربرق",G74)),ISNUMBER(SEARCH("شیربرق",G74))),"خرابی - شیربرقی (تعویض)",IF(OR(ISNUMBER(SEARCH("واتر جت",G74)),ISNUMBER(SEARCH("واترجت",G74))),"خرابی - واترجت (تعویض)",IF(OR(ISNUMBER(SEARCH("سيم",G74)),ISNUMBER(SEARCH("سیم",G74)),ISNUMBER(SEARCH("اتصال",G74))),"سیم‌کشی/اتصالات (تعویض/بازبینی)",IF(OR(ISNUMBER(SEARCH("تصوير",G74)),ISNUMBER(SEARCH("تصویر",G74))),"برد نمایش تلویزیون (تعویض)",IF(OR(ISNUMBER(SEARCH("ريموت",G74)),ISNUMBER(SEARCH("ریموت",G74))),"ریموت کنترل (تعویض/تعمیر)",IF(OR(ISNUMBER(SEARCH("ال اي دي",G74)),ISNUMBER(SEARCH("ال ای دی",G74)),ISNUMBER(SEARCH("LED",G74))),"خرابی - لامپ/LED داخلی (تعویض)",IF(ISNUMBER(SEARCH("زنگ زدگ",G74)),"زنگ‌زدگی بدنه/قطعه (تعویض)",IF(OR(ISNUMBER(SEARCH("قطعات تزئين",G74)),ISNUMBER(SEARCH("قطعات تزئین",G74))),"قطعات تزئینی - شکستگی/کسری (تعویض)",IF(ISNUMBER(SEARCH("سبد",G74)),"سبد ظرفشویی - شکستگی (تعویض)",IF(ISNUMBER(SEARCH("تاب درام",G74)),"خرابی - تاب برداشتن درام (تعویض)",IF(ISNUMBER(SEARCH("درام",G74)),"خرابی - سایر ایراد درام (تعویض)",IF(ISNUMBER(SEARCH("موتور",G74)),"خرابی - موتور (تعویض)",IF(ISNUMBER(SEARCH("تسمه",G74)),"خرابی - تسمه (تعویض)",IF(OR(ISNUMBER(SEARCH("پيچ ولوم",G74)),ISNUMBER(SEARCH("پیچ ولوم",G74))),"تنظیم - پیچ ولوم/دکمه (تعمیر)",IF(OR(ISNUMBER(SEARCH("کسري قطعات",G74)),ISNUMBER(SEARCH("کسری قطعات",G74))),"کسری قطعات تزئینی (تعویض)",IF(ISNUMBER(SEARCH("پرچ",G74)),"پرچ/بدنه کابین(تعمیر)",IF(OR(ISNUMBER(SEARCH("نشت",G74)),ISNUMBER(SEARCH("آبريزش",G74)),ISNUMBER(SEARCH("آبریزش",G74))),"نشتی آب - محل نامشخص (نیازمند بازدید)",IF(ISNUMBER(SEARCH("درب",G74)),"سایر اجزای درب (بازبینی)",IF(ISNUMBER(SEARCH("ضربه",G74)),"بدنه/کابین - ضربه (بازبینی/تعویض پنل)",IF(ISNUMBER(SEARCH("تراز",G74)),"تراز/لرزش - نصب (رگلاژ پایه)",IF(OR(ISNUMBER(SEARCH("تعویض",G74)),ISNUMBER(SEARCH("تعويض",G74))),"تعویض کامل دستگاه (Replacement)","سایر (نیازمند بررسی دستی)")))))))))))))))))))))))))))))))))))))))))))</f>
        <v/>
      </c>
      <c r="P74" s="124" t="inlineStr">
        <is>
          <t>*</t>
        </is>
      </c>
      <c r="Q74" s="124">
        <f>IF(ISNUMBER(SEARCH("عهده شرکت",F74)),"شرکت",IF(ISNUMBER(SEARCH("عهده مشتري",F74)),"مشتری",IF(ISNUMBER(SEARCH("عهده مشتری",F74)),"مشتری","نامشخص")))</f>
        <v/>
      </c>
      <c r="R74" s="178">
        <f>IF(O74="تعویض کامل دستگاه (Replacement)",IF(SUMIF('قیمت‌ها و مفروضات'!$A$9:$A$13,C74,'قیمت‌ها و مفروضات'!$C$9:$C$13)&lt;&gt;0,SUMIF('قیمت‌ها و مفروضات'!$A$9:$A$13,C74,'قیمت‌ها و مفروضات'!$C$9:$C$13),SUMIF('قیمت‌ها و مفروضات'!$A$9:$A$13,C74,'قیمت‌ها و مفروضات'!$B$9:$B$13)),IF(SUMIF('قیمت‌ها و مفروضات'!$A$18:$A$63,O74,'قیمت‌ها و مفروضات'!$C$18:$C$63)&lt;&gt;0,SUMIF('قیمت‌ها و مفروضات'!$A$18:$A$63,O74,'قیمت‌ها و مفروضات'!$C$18:$C$63),SUMIF('قیمت‌ها و مفروضات'!$A$18:$A$63,O74,'قیمت‌ها و مفروضات'!$B$18:$B$63)))</f>
        <v/>
      </c>
      <c r="S74" s="178">
        <f>'قیمت‌ها و مفروضات'!$B$3+'قیمت‌ها و مفروضات'!$B$4</f>
        <v/>
      </c>
      <c r="T74" s="178">
        <f>R74+S74</f>
        <v/>
      </c>
      <c r="U74" s="178">
        <f>IF(COUNTIF($E$2:E74,E74)&gt;1,"بله (تکراری)","خیر")</f>
        <v/>
      </c>
      <c r="V74" s="178">
        <f>IF(U74="بله (تکراری)",S74,0)</f>
        <v/>
      </c>
      <c r="W74" s="208" t="inlineStr"/>
      <c r="X74" s="208" t="inlineStr"/>
    </row>
    <row r="75" ht="58.5" customHeight="1" s="151">
      <c r="A75" s="176" t="n">
        <v>810001791</v>
      </c>
      <c r="B75" s="124">
        <f>CHOOSE(_xlfn.NUMBERVALUE(MID(H75,6,2)),"فروردین","اردیبهشت","خرداد","تیر","مرداد","شهریور","مهر","آبان","آذر","دی","بهمن","اسفند")</f>
        <v/>
      </c>
      <c r="C75" s="176" t="inlineStr">
        <is>
          <t>ماشين لباسشويي</t>
        </is>
      </c>
      <c r="D75" s="176" t="inlineStr">
        <is>
          <t>CWM-BMW8T2</t>
        </is>
      </c>
      <c r="E75" s="176" t="inlineStr">
        <is>
          <t>52210009N00298</t>
        </is>
      </c>
      <c r="F75" s="173" t="inlineStr">
        <is>
          <t>جمع شدن آب داخل محصول**اياب و ذهاب به عهده شرکت</t>
        </is>
      </c>
      <c r="G75" s="173" t="inlineStr">
        <is>
          <t>خرابي شيربرقي</t>
        </is>
      </c>
      <c r="H75" s="176" t="inlineStr">
        <is>
          <t>1405/01/29</t>
        </is>
      </c>
      <c r="I75" s="124" t="inlineStr">
        <is>
          <t>1403/11/29</t>
        </is>
      </c>
      <c r="J75" s="124" t="inlineStr">
        <is>
          <t>1404/12/21</t>
        </is>
      </c>
      <c r="K75" s="177">
        <f>IFERROR(VLOOKUP(LEFT(H75,7),'تبدیل تاریخ'!$A$2:$B$73,2,FALSE())+VALUE(RIGHT(H75,2))-1,"")</f>
        <v/>
      </c>
      <c r="L75" s="177">
        <f>IFERROR(VLOOKUP(LEFT(I75,7),'تبدیل تاریخ'!$A$2:$B$73,2,FALSE())+VALUE(RIGHT(I75,2))-1,"")</f>
        <v/>
      </c>
      <c r="M75" s="177">
        <f>IF(J75="","",IFERROR(VLOOKUP(LEFT(J75,7),'تبدیل تاریخ'!$A$2:$B$73,2,FALSE())+VALUE(RIGHT(J75,2))-1,""))</f>
        <v/>
      </c>
      <c r="N75" s="124">
        <f>IF(OR(K75="",M75=""),"",CEILING((K75-M75)/30,1))</f>
        <v/>
      </c>
      <c r="O75" s="124">
        <f>IF(OR(ISNUMBER(SEARCH("بدون مورد",G75)),ISNUMBER(SEARCH("غير گارانتي",G75)),ISNUMBER(SEARCH("غیر گارانتی",G75)),ISNUMBER(SEARCH("بدون اجرت",G75)),ISNUMBER(SEARCH("فيلتر",G75)),ISNUMBER(SEARCH("فیلتر",G75))),"غیرگارانتی/بدون قطعه",IF(OR(ISNUMBER(SEARCH("ريست",G75)),ISNUMBER(SEARCH("ریست",G75))),"ریست نرم‌افزاری (بدون قطعه)",IF(OR(ISNUMBER(SEARCH("تعویض محصول",G75)),ISNUMBER(SEARCH("تعویض دستگاه",G75))),"تعویض کامل دستگاه (Replacement)",IF(ISNUMBER(SEARCH("پمپ",G75)),IF(ISNUMBER(SEARCH("نشت",G75)),"نشتی - پمپ تخلیه (تعمیر/آب‌بندی)","خرابی - پمپ تخلیه (تعویض)"),IF(ISNUMBER(SEARCH("کمپرسور",G75)),"خرابی - کمپرسور (تعویض)",IF(ISNUMBER(SEARCH("کمک فنر",G75)),"خرابی - کمک فنر (تعویض)",IF(ISNUMBER(SEARCH("لولا",G75)),"مکانیزم درب - لولا (تعویض)",IF(OR(ISNUMBER(SEARCH("قلاب",G75)),ISNUMBER(SEARCH("ميکروسوئيچ",G75)),ISNUMBER(SEARCH("میکروسوئیچ",G75))),"مکانیزم درب - میکروسوئیچ/قلاب (تعویض/تنظیم)",IF(ISNUMBER(SEARCH("زبانه",G75)),"مکانیزم درب - زبانه (تعویض)",IF(OR(ISNUMBER(SEARCH("شيلنگ",G75)),ISNUMBER(SEARCH("شیلنگ",G75))),IF(OR(ISNUMBER(SEARCH("نشتی",G75)),ISNUMBER(SEARCH("نشتي",G75))),"نشتی - شیلنگ (تعمیر/آب‌بندی)",IF(OR(ISNUMBER(SEARCH("يخ",G75)),ISNUMBER(SEARCH("یخ",G75))),"شیلنگ یخساز - یخ‌زدگی (بازبینی)","شیلنگ - برخورد/لهیدگی (بازبینی)")),IF(OR(ISNUMBER(SEARCH("تنظيم ديسپل",G75)),ISNUMBER(SEARCH("تنظیم دیسپل",G75)),ISNUMBER(SEARCH("تنظيم صفحه نمايش",G75)),ISNUMBER(SEARCH("تنظیم صفحه نمایش",G75))),"تنظیم - تنظیمات دستگاه/دیسپلی (تعمیر)",IF(OR(ISNUMBER(SEARCH("برد",G75)),ISNUMBER(SEARCH("سوکت",G75)),ISNUMBER(SEARCH("ديسپل",G75)),ISNUMBER(SEARCH("دیسپل",G75))),"خرابی - برد الکترونیک (تعویض)",IF(OR(ISNUMBER(SEARCH("يخساز",G75)),ISNUMBER(SEARCH("یخساز",G75)),ISNUMBER(SEARCH("دمپر",G75))),IF(OR(ISNUMBER(SEARCH("خرابی",G75)),ISNUMBER(SEARCH("خراب",G75)),ISNUMBER(SEARCH("عدم کارکرد",G75)),ISNUMBER(SEARCH("عدم عملکرد",G75))),"یخساز - خرابی موتور/سنسور/برد (تعویض)","یخساز - تنظیم/عایق (تعمیر)"),IF(OR(ISNUMBER(SEARCH("لاستيک",G75)),ISNUMBER(SEARCH("لاستیک",G75))),"لاستیک درزگیر - دفرمگی/پارگی (تعویض)",IF(OR(ISNUMBER(SEARCH("گسکت",G75)),ISNUMBER(SEARCH("گسگت",G75))),"لاستیک درزگیر - دفرمگی/پارگی (تعویض)",IF(ISNUMBER(SEARCH("مخزن نمک",G75)),"نشتی - درب مخزن نمک (تعمیر/آب‌بندی)",IF(ISNUMBER(SEARCH("براکت",G75)),"نشتی - براکت ریل (تعمیر/آب‌بندی)",IF(ISNUMBER(SEARCH("جاپودر",G75)),"نشتی - جاپودری (تعمیر/آب‌بندی)",IF(ISNUMBER(SEARCH("مقسم",G75)),"نشتی - مقسم آب (تعمیر/آب‌بندی)",IF(OR(ISNUMBER(SEARCH("سنسور دما",G75)),ISNUMBER(SEARCH("ترموستات",G75))),"خرابی - ترموستات (تعویض)",IF(OR(ISNUMBER(SEARCH("هيدروستات",G75)),ISNUMBER(SEARCH("هیدروستات",G75))),"خرابی - هیدروستات (تعویض)",IF(OR(ISNUMBER(SEARCH("بلبرينگ",G75)),ISNUMBER(SEARCH("بلبرینگ",G75))),"خرابی - بلبرینگ (تعویض)",IF(OR(ISNUMBER(SEARCH("شيربرق",G75)),ISNUMBER(SEARCH("شیربرق",G75))),"خرابی - شیربرقی (تعویض)",IF(OR(ISNUMBER(SEARCH("واتر جت",G75)),ISNUMBER(SEARCH("واترجت",G75))),"خرابی - واترجت (تعویض)",IF(OR(ISNUMBER(SEARCH("سيم",G75)),ISNUMBER(SEARCH("سیم",G75)),ISNUMBER(SEARCH("اتصال",G75))),"سیم‌کشی/اتصالات (تعویض/بازبینی)",IF(OR(ISNUMBER(SEARCH("تصوير",G75)),ISNUMBER(SEARCH("تصویر",G75))),"برد نمایش تلویزیون (تعویض)",IF(OR(ISNUMBER(SEARCH("ريموت",G75)),ISNUMBER(SEARCH("ریموت",G75))),"ریموت کنترل (تعویض/تعمیر)",IF(OR(ISNUMBER(SEARCH("ال اي دي",G75)),ISNUMBER(SEARCH("ال ای دی",G75)),ISNUMBER(SEARCH("LED",G75))),"خرابی - لامپ/LED داخلی (تعویض)",IF(ISNUMBER(SEARCH("زنگ زدگ",G75)),"زنگ‌زدگی بدنه/قطعه (تعویض)",IF(OR(ISNUMBER(SEARCH("قطعات تزئين",G75)),ISNUMBER(SEARCH("قطعات تزئین",G75))),"قطعات تزئینی - شکستگی/کسری (تعویض)",IF(ISNUMBER(SEARCH("سبد",G75)),"سبد ظرفشویی - شکستگی (تعویض)",IF(ISNUMBER(SEARCH("تاب درام",G75)),"خرابی - تاب برداشتن درام (تعویض)",IF(ISNUMBER(SEARCH("درام",G75)),"خرابی - سایر ایراد درام (تعویض)",IF(ISNUMBER(SEARCH("موتور",G75)),"خرابی - موتور (تعویض)",IF(ISNUMBER(SEARCH("تسمه",G75)),"خرابی - تسمه (تعویض)",IF(OR(ISNUMBER(SEARCH("پيچ ولوم",G75)),ISNUMBER(SEARCH("پیچ ولوم",G75))),"تنظیم - پیچ ولوم/دکمه (تعمیر)",IF(OR(ISNUMBER(SEARCH("کسري قطعات",G75)),ISNUMBER(SEARCH("کسری قطعات",G75))),"کسری قطعات تزئینی (تعویض)",IF(ISNUMBER(SEARCH("پرچ",G75)),"پرچ/بدنه کابین(تعمیر)",IF(OR(ISNUMBER(SEARCH("نشت",G75)),ISNUMBER(SEARCH("آبريزش",G75)),ISNUMBER(SEARCH("آبریزش",G75))),"نشتی آب - محل نامشخص (نیازمند بازدید)",IF(ISNUMBER(SEARCH("درب",G75)),"سایر اجزای درب (بازبینی)",IF(ISNUMBER(SEARCH("ضربه",G75)),"بدنه/کابین - ضربه (بازبینی/تعویض پنل)",IF(ISNUMBER(SEARCH("تراز",G75)),"تراز/لرزش - نصب (رگلاژ پایه)",IF(OR(ISNUMBER(SEARCH("تعویض",G75)),ISNUMBER(SEARCH("تعويض",G75))),"تعویض کامل دستگاه (Replacement)","سایر (نیازمند بررسی دستی)")))))))))))))))))))))))))))))))))))))))))))</f>
        <v/>
      </c>
      <c r="P75" s="124" t="inlineStr">
        <is>
          <t>شیر برقی لباسشویی</t>
        </is>
      </c>
      <c r="Q75" s="124">
        <f>IF(ISNUMBER(SEARCH("عهده شرکت",F75)),"شرکت",IF(ISNUMBER(SEARCH("عهده مشتري",F75)),"مشتری",IF(ISNUMBER(SEARCH("عهده مشتری",F75)),"مشتری","نامشخص")))</f>
        <v/>
      </c>
      <c r="R75" s="178">
        <f>IF(O75="تعویض کامل دستگاه (Replacement)",IF(SUMIF('قیمت‌ها و مفروضات'!$A$9:$A$13,C75,'قیمت‌ها و مفروضات'!$C$9:$C$13)&lt;&gt;0,SUMIF('قیمت‌ها و مفروضات'!$A$9:$A$13,C75,'قیمت‌ها و مفروضات'!$C$9:$C$13),SUMIF('قیمت‌ها و مفروضات'!$A$9:$A$13,C75,'قیمت‌ها و مفروضات'!$B$9:$B$13)),IF(SUMIF('قیمت‌ها و مفروضات'!$A$18:$A$63,O75,'قیمت‌ها و مفروضات'!$C$18:$C$63)&lt;&gt;0,SUMIF('قیمت‌ها و مفروضات'!$A$18:$A$63,O75,'قیمت‌ها و مفروضات'!$C$18:$C$63),SUMIF('قیمت‌ها و مفروضات'!$A$18:$A$63,O75,'قیمت‌ها و مفروضات'!$B$18:$B$63)))</f>
        <v/>
      </c>
      <c r="S75" s="178">
        <f>'قیمت‌ها و مفروضات'!$B$3+'قیمت‌ها و مفروضات'!$B$4</f>
        <v/>
      </c>
      <c r="T75" s="178">
        <f>R75+S75</f>
        <v/>
      </c>
      <c r="U75" s="178">
        <f>IF(COUNTIF($E$2:E75,E75)&gt;1,"بله (تکراری)","خیر")</f>
        <v/>
      </c>
      <c r="V75" s="178">
        <f>IF(U75="بله (تکراری)",S75,0)</f>
        <v/>
      </c>
      <c r="W75" s="208" t="inlineStr"/>
      <c r="X75" s="208" t="inlineStr"/>
    </row>
    <row r="76" ht="58.5" customHeight="1" s="151">
      <c r="A76" s="176" t="n">
        <v>130004844</v>
      </c>
      <c r="B76" s="124">
        <f>CHOOSE(_xlfn.NUMBERVALUE(MID(H76,6,2)),"فروردین","اردیبهشت","خرداد","تیر","مرداد","شهریور","مهر","آبان","آذر","دی","بهمن","اسفند")</f>
        <v/>
      </c>
      <c r="C76" s="176" t="inlineStr">
        <is>
          <t>تلویزیون</t>
        </is>
      </c>
      <c r="D76" s="176" t="inlineStr">
        <is>
          <t>CTV-55UHJS2</t>
        </is>
      </c>
      <c r="E76" s="176" t="inlineStr">
        <is>
          <t>52230003N00664</t>
        </is>
      </c>
      <c r="F76" s="173" t="inlineStr">
        <is>
          <t>عدم عملکرد ريموت کنترل**اياب و ذهاب به عهده مشتري</t>
        </is>
      </c>
      <c r="G76" s="173" t="inlineStr">
        <is>
          <t>ايراد در ريموت کنترل</t>
        </is>
      </c>
      <c r="H76" s="176" t="inlineStr">
        <is>
          <t>1405/01/16</t>
        </is>
      </c>
      <c r="I76" s="124" t="inlineStr">
        <is>
          <t>1403/08/13</t>
        </is>
      </c>
      <c r="J76" s="124" t="inlineStr">
        <is>
          <t>1403/09/29</t>
        </is>
      </c>
      <c r="K76" s="177">
        <f>IFERROR(VLOOKUP(LEFT(H76,7),'تبدیل تاریخ'!$A$2:$B$73,2,FALSE())+VALUE(RIGHT(H76,2))-1,"")</f>
        <v/>
      </c>
      <c r="L76" s="177">
        <f>IFERROR(VLOOKUP(LEFT(I76,7),'تبدیل تاریخ'!$A$2:$B$73,2,FALSE())+VALUE(RIGHT(I76,2))-1,"")</f>
        <v/>
      </c>
      <c r="M76" s="177">
        <f>IF(J76="","",IFERROR(VLOOKUP(LEFT(J76,7),'تبدیل تاریخ'!$A$2:$B$73,2,FALSE())+VALUE(RIGHT(J76,2))-1,""))</f>
        <v/>
      </c>
      <c r="N76" s="124">
        <f>IF(OR(K76="",M76=""),"",CEILING((K76-M76)/30,1))</f>
        <v/>
      </c>
      <c r="O76" s="124">
        <f>IF(OR(ISNUMBER(SEARCH("بدون مورد",G76)),ISNUMBER(SEARCH("غير گارانتي",G76)),ISNUMBER(SEARCH("غیر گارانتی",G76)),ISNUMBER(SEARCH("بدون اجرت",G76)),ISNUMBER(SEARCH("فيلتر",G76)),ISNUMBER(SEARCH("فیلتر",G76))),"غیرگارانتی/بدون قطعه",IF(OR(ISNUMBER(SEARCH("ريست",G76)),ISNUMBER(SEARCH("ریست",G76))),"ریست نرم‌افزاری (بدون قطعه)",IF(OR(ISNUMBER(SEARCH("تعویض محصول",G76)),ISNUMBER(SEARCH("تعویض دستگاه",G76))),"تعویض کامل دستگاه (Replacement)",IF(ISNUMBER(SEARCH("پمپ",G76)),IF(ISNUMBER(SEARCH("نشت",G76)),"نشتی - پمپ تخلیه (تعمیر/آب‌بندی)","خرابی - پمپ تخلیه (تعویض)"),IF(ISNUMBER(SEARCH("کمپرسور",G76)),"خرابی - کمپرسور (تعویض)",IF(ISNUMBER(SEARCH("کمک فنر",G76)),"خرابی - کمک فنر (تعویض)",IF(ISNUMBER(SEARCH("لولا",G76)),"مکانیزم درب - لولا (تعویض)",IF(OR(ISNUMBER(SEARCH("قلاب",G76)),ISNUMBER(SEARCH("ميکروسوئيچ",G76)),ISNUMBER(SEARCH("میکروسوئیچ",G76))),"مکانیزم درب - میکروسوئیچ/قلاب (تعویض/تنظیم)",IF(ISNUMBER(SEARCH("زبانه",G76)),"مکانیزم درب - زبانه (تعویض)",IF(OR(ISNUMBER(SEARCH("شيلنگ",G76)),ISNUMBER(SEARCH("شیلنگ",G76))),IF(OR(ISNUMBER(SEARCH("نشتی",G76)),ISNUMBER(SEARCH("نشتي",G76))),"نشتی - شیلنگ (تعمیر/آب‌بندی)",IF(OR(ISNUMBER(SEARCH("يخ",G76)),ISNUMBER(SEARCH("یخ",G76))),"شیلنگ یخساز - یخ‌زدگی (بازبینی)","شیلنگ - برخورد/لهیدگی (بازبینی)")),IF(OR(ISNUMBER(SEARCH("تنظيم ديسپل",G76)),ISNUMBER(SEARCH("تنظیم دیسپل",G76)),ISNUMBER(SEARCH("تنظيم صفحه نمايش",G76)),ISNUMBER(SEARCH("تنظیم صفحه نمایش",G76))),"تنظیم - تنظیمات دستگاه/دیسپلی (تعمیر)",IF(OR(ISNUMBER(SEARCH("برد",G76)),ISNUMBER(SEARCH("سوکت",G76)),ISNUMBER(SEARCH("ديسپل",G76)),ISNUMBER(SEARCH("دیسپل",G76))),"خرابی - برد الکترونیک (تعویض)",IF(OR(ISNUMBER(SEARCH("يخساز",G76)),ISNUMBER(SEARCH("یخساز",G76)),ISNUMBER(SEARCH("دمپر",G76))),IF(OR(ISNUMBER(SEARCH("خرابی",G76)),ISNUMBER(SEARCH("خراب",G76)),ISNUMBER(SEARCH("عدم کارکرد",G76)),ISNUMBER(SEARCH("عدم عملکرد",G76))),"یخساز - خرابی موتور/سنسور/برد (تعویض)","یخساز - تنظیم/عایق (تعمیر)"),IF(OR(ISNUMBER(SEARCH("لاستيک",G76)),ISNUMBER(SEARCH("لاستیک",G76))),"لاستیک درزگیر - دفرمگی/پارگی (تعویض)",IF(OR(ISNUMBER(SEARCH("گسکت",G76)),ISNUMBER(SEARCH("گسگت",G76))),"لاستیک درزگیر - دفرمگی/پارگی (تعویض)",IF(ISNUMBER(SEARCH("مخزن نمک",G76)),"نشتی - درب مخزن نمک (تعمیر/آب‌بندی)",IF(ISNUMBER(SEARCH("براکت",G76)),"نشتی - براکت ریل (تعمیر/آب‌بندی)",IF(ISNUMBER(SEARCH("جاپودر",G76)),"نشتی - جاپودری (تعمیر/آب‌بندی)",IF(ISNUMBER(SEARCH("مقسم",G76)),"نشتی - مقسم آب (تعمیر/آب‌بندی)",IF(OR(ISNUMBER(SEARCH("سنسور دما",G76)),ISNUMBER(SEARCH("ترموستات",G76))),"خرابی - ترموستات (تعویض)",IF(OR(ISNUMBER(SEARCH("هيدروستات",G76)),ISNUMBER(SEARCH("هیدروستات",G76))),"خرابی - هیدروستات (تعویض)",IF(OR(ISNUMBER(SEARCH("بلبرينگ",G76)),ISNUMBER(SEARCH("بلبرینگ",G76))),"خرابی - بلبرینگ (تعویض)",IF(OR(ISNUMBER(SEARCH("شيربرق",G76)),ISNUMBER(SEARCH("شیربرق",G76))),"خرابی - شیربرقی (تعویض)",IF(OR(ISNUMBER(SEARCH("واتر جت",G76)),ISNUMBER(SEARCH("واترجت",G76))),"خرابی - واترجت (تعویض)",IF(OR(ISNUMBER(SEARCH("سيم",G76)),ISNUMBER(SEARCH("سیم",G76)),ISNUMBER(SEARCH("اتصال",G76))),"سیم‌کشی/اتصالات (تعویض/بازبینی)",IF(OR(ISNUMBER(SEARCH("تصوير",G76)),ISNUMBER(SEARCH("تصویر",G76))),"برد نمایش تلویزیون (تعویض)",IF(OR(ISNUMBER(SEARCH("ريموت",G76)),ISNUMBER(SEARCH("ریموت",G76))),"ریموت کنترل (تعویض/تعمیر)",IF(OR(ISNUMBER(SEARCH("ال اي دي",G76)),ISNUMBER(SEARCH("ال ای دی",G76)),ISNUMBER(SEARCH("LED",G76))),"خرابی - لامپ/LED داخلی (تعویض)",IF(ISNUMBER(SEARCH("زنگ زدگ",G76)),"زنگ‌زدگی بدنه/قطعه (تعویض)",IF(OR(ISNUMBER(SEARCH("قطعات تزئين",G76)),ISNUMBER(SEARCH("قطعات تزئین",G76))),"قطعات تزئینی - شکستگی/کسری (تعویض)",IF(ISNUMBER(SEARCH("سبد",G76)),"سبد ظرفشویی - شکستگی (تعویض)",IF(ISNUMBER(SEARCH("تاب درام",G76)),"خرابی - تاب برداشتن درام (تعویض)",IF(ISNUMBER(SEARCH("درام",G76)),"خرابی - سایر ایراد درام (تعویض)",IF(ISNUMBER(SEARCH("موتور",G76)),"خرابی - موتور (تعویض)",IF(ISNUMBER(SEARCH("تسمه",G76)),"خرابی - تسمه (تعویض)",IF(OR(ISNUMBER(SEARCH("پيچ ولوم",G76)),ISNUMBER(SEARCH("پیچ ولوم",G76))),"تنظیم - پیچ ولوم/دکمه (تعمیر)",IF(OR(ISNUMBER(SEARCH("کسري قطعات",G76)),ISNUMBER(SEARCH("کسری قطعات",G76))),"کسری قطعات تزئینی (تعویض)",IF(ISNUMBER(SEARCH("پرچ",G76)),"پرچ/بدنه کابین(تعمیر)",IF(OR(ISNUMBER(SEARCH("نشت",G76)),ISNUMBER(SEARCH("آبريزش",G76)),ISNUMBER(SEARCH("آبریزش",G76))),"نشتی آب - محل نامشخص (نیازمند بازدید)",IF(ISNUMBER(SEARCH("درب",G76)),"سایر اجزای درب (بازبینی)",IF(ISNUMBER(SEARCH("ضربه",G76)),"بدنه/کابین - ضربه (بازبینی/تعویض پنل)",IF(ISNUMBER(SEARCH("تراز",G76)),"تراز/لرزش - نصب (رگلاژ پایه)",IF(OR(ISNUMBER(SEARCH("تعویض",G76)),ISNUMBER(SEARCH("تعويض",G76))),"تعویض کامل دستگاه (Replacement)","سایر (نیازمند بررسی دستی)")))))))))))))))))))))))))))))))))))))))))))</f>
        <v/>
      </c>
      <c r="P76" s="124" t="inlineStr">
        <is>
          <t>*</t>
        </is>
      </c>
      <c r="Q76" s="124">
        <f>IF(ISNUMBER(SEARCH("عهده شرکت",F76)),"شرکت",IF(ISNUMBER(SEARCH("عهده مشتري",F76)),"مشتری",IF(ISNUMBER(SEARCH("عهده مشتری",F76)),"مشتری","نامشخص")))</f>
        <v/>
      </c>
      <c r="R76" s="178">
        <f>IF(O76="تعویض کامل دستگاه (Replacement)",IF(SUMIF('قیمت‌ها و مفروضات'!$A$9:$A$13,C76,'قیمت‌ها و مفروضات'!$C$9:$C$13)&lt;&gt;0,SUMIF('قیمت‌ها و مفروضات'!$A$9:$A$13,C76,'قیمت‌ها و مفروضات'!$C$9:$C$13),SUMIF('قیمت‌ها و مفروضات'!$A$9:$A$13,C76,'قیمت‌ها و مفروضات'!$B$9:$B$13)),IF(SUMIF('قیمت‌ها و مفروضات'!$A$18:$A$63,O76,'قیمت‌ها و مفروضات'!$C$18:$C$63)&lt;&gt;0,SUMIF('قیمت‌ها و مفروضات'!$A$18:$A$63,O76,'قیمت‌ها و مفروضات'!$C$18:$C$63),SUMIF('قیمت‌ها و مفروضات'!$A$18:$A$63,O76,'قیمت‌ها و مفروضات'!$B$18:$B$63)))</f>
        <v/>
      </c>
      <c r="S76" s="178">
        <f>'قیمت‌ها و مفروضات'!$B$3+'قیمت‌ها و مفروضات'!$B$4</f>
        <v/>
      </c>
      <c r="T76" s="178">
        <f>R76+S76</f>
        <v/>
      </c>
      <c r="U76" s="178">
        <f>IF(COUNTIF($E$2:E76,E76)&gt;1,"بله (تکراری)","خیر")</f>
        <v/>
      </c>
      <c r="V76" s="178">
        <f>IF(U76="بله (تکراری)",S76,0)</f>
        <v/>
      </c>
      <c r="W76" s="208" t="inlineStr"/>
      <c r="X76" s="208" t="inlineStr"/>
    </row>
    <row r="77" ht="58.5" customHeight="1" s="151">
      <c r="A77" s="176" t="n">
        <v>510018102</v>
      </c>
      <c r="B77" s="124">
        <f>CHOOSE(_xlfn.NUMBERVALUE(MID(H77,6,2)),"فروردین","اردیبهشت","خرداد","تیر","مرداد","شهریور","مهر","آبان","آذر","دی","بهمن","اسفند")</f>
        <v/>
      </c>
      <c r="C77" s="176" t="inlineStr">
        <is>
          <t>ماشين لباسشويي</t>
        </is>
      </c>
      <c r="D77" s="176" t="inlineStr">
        <is>
          <t>CWM-BMW8T1</t>
        </is>
      </c>
      <c r="E77" s="176" t="inlineStr">
        <is>
          <t>210100004N00372</t>
        </is>
      </c>
      <c r="F77" s="173" t="inlineStr">
        <is>
          <t>دفرمگي نوار دور درب اياب و ذهاب به عهده مشتري</t>
        </is>
      </c>
      <c r="G77" s="173" t="inlineStr">
        <is>
          <t>دفرمگي لاستيک</t>
        </is>
      </c>
      <c r="H77" s="176" t="inlineStr">
        <is>
          <t>1405/01/12</t>
        </is>
      </c>
      <c r="I77" s="124" t="inlineStr">
        <is>
          <t>1403/06/17</t>
        </is>
      </c>
      <c r="J77" s="124" t="inlineStr">
        <is>
          <t>1403/06/17</t>
        </is>
      </c>
      <c r="K77" s="177">
        <f>IFERROR(VLOOKUP(LEFT(H77,7),'تبدیل تاریخ'!$A$2:$B$73,2,FALSE())+VALUE(RIGHT(H77,2))-1,"")</f>
        <v/>
      </c>
      <c r="L77" s="177">
        <f>IFERROR(VLOOKUP(LEFT(I77,7),'تبدیل تاریخ'!$A$2:$B$73,2,FALSE())+VALUE(RIGHT(I77,2))-1,"")</f>
        <v/>
      </c>
      <c r="M77" s="177">
        <f>IF(J77="","",IFERROR(VLOOKUP(LEFT(J77,7),'تبدیل تاریخ'!$A$2:$B$73,2,FALSE())+VALUE(RIGHT(J77,2))-1,""))</f>
        <v/>
      </c>
      <c r="N77" s="124">
        <f>IF(OR(K77="",M77=""),"",CEILING((K77-M77)/30,1))</f>
        <v/>
      </c>
      <c r="O77" s="124">
        <f>IF(OR(ISNUMBER(SEARCH("بدون مورد",G77)),ISNUMBER(SEARCH("غير گارانتي",G77)),ISNUMBER(SEARCH("غیر گارانتی",G77)),ISNUMBER(SEARCH("بدون اجرت",G77)),ISNUMBER(SEARCH("فيلتر",G77)),ISNUMBER(SEARCH("فیلتر",G77))),"غیرگارانتی/بدون قطعه",IF(OR(ISNUMBER(SEARCH("ريست",G77)),ISNUMBER(SEARCH("ریست",G77))),"ریست نرم‌افزاری (بدون قطعه)",IF(OR(ISNUMBER(SEARCH("تعویض محصول",G77)),ISNUMBER(SEARCH("تعویض دستگاه",G77))),"تعویض کامل دستگاه (Replacement)",IF(ISNUMBER(SEARCH("پمپ",G77)),IF(ISNUMBER(SEARCH("نشت",G77)),"نشتی - پمپ تخلیه (تعمیر/آب‌بندی)","خرابی - پمپ تخلیه (تعویض)"),IF(ISNUMBER(SEARCH("کمپرسور",G77)),"خرابی - کمپرسور (تعویض)",IF(ISNUMBER(SEARCH("کمک فنر",G77)),"خرابی - کمک فنر (تعویض)",IF(ISNUMBER(SEARCH("لولا",G77)),"مکانیزم درب - لولا (تعویض)",IF(OR(ISNUMBER(SEARCH("قلاب",G77)),ISNUMBER(SEARCH("ميکروسوئيچ",G77)),ISNUMBER(SEARCH("میکروسوئیچ",G77))),"مکانیزم درب - میکروسوئیچ/قلاب (تعویض/تنظیم)",IF(ISNUMBER(SEARCH("زبانه",G77)),"مکانیزم درب - زبانه (تعویض)",IF(OR(ISNUMBER(SEARCH("شيلنگ",G77)),ISNUMBER(SEARCH("شیلنگ",G77))),IF(OR(ISNUMBER(SEARCH("نشتی",G77)),ISNUMBER(SEARCH("نشتي",G77))),"نشتی - شیلنگ (تعمیر/آب‌بندی)",IF(OR(ISNUMBER(SEARCH("يخ",G77)),ISNUMBER(SEARCH("یخ",G77))),"شیلنگ یخساز - یخ‌زدگی (بازبینی)","شیلنگ - برخورد/لهیدگی (بازبینی)")),IF(OR(ISNUMBER(SEARCH("تنظيم ديسپل",G77)),ISNUMBER(SEARCH("تنظیم دیسپل",G77)),ISNUMBER(SEARCH("تنظيم صفحه نمايش",G77)),ISNUMBER(SEARCH("تنظیم صفحه نمایش",G77))),"تنظیم - تنظیمات دستگاه/دیسپلی (تعمیر)",IF(OR(ISNUMBER(SEARCH("برد",G77)),ISNUMBER(SEARCH("سوکت",G77)),ISNUMBER(SEARCH("ديسپل",G77)),ISNUMBER(SEARCH("دیسپل",G77))),"خرابی - برد الکترونیک (تعویض)",IF(OR(ISNUMBER(SEARCH("يخساز",G77)),ISNUMBER(SEARCH("یخساز",G77)),ISNUMBER(SEARCH("دمپر",G77))),IF(OR(ISNUMBER(SEARCH("خرابی",G77)),ISNUMBER(SEARCH("خراب",G77)),ISNUMBER(SEARCH("عدم کارکرد",G77)),ISNUMBER(SEARCH("عدم عملکرد",G77))),"یخساز - خرابی موتور/سنسور/برد (تعویض)","یخساز - تنظیم/عایق (تعمیر)"),IF(OR(ISNUMBER(SEARCH("لاستيک",G77)),ISNUMBER(SEARCH("لاستیک",G77))),"لاستیک درزگیر - دفرمگی/پارگی (تعویض)",IF(OR(ISNUMBER(SEARCH("گسکت",G77)),ISNUMBER(SEARCH("گسگت",G77))),"لاستیک درزگیر - دفرمگی/پارگی (تعویض)",IF(ISNUMBER(SEARCH("مخزن نمک",G77)),"نشتی - درب مخزن نمک (تعمیر/آب‌بندی)",IF(ISNUMBER(SEARCH("براکت",G77)),"نشتی - براکت ریل (تعمیر/آب‌بندی)",IF(ISNUMBER(SEARCH("جاپودر",G77)),"نشتی - جاپودری (تعمیر/آب‌بندی)",IF(ISNUMBER(SEARCH("مقسم",G77)),"نشتی - مقسم آب (تعمیر/آب‌بندی)",IF(OR(ISNUMBER(SEARCH("سنسور دما",G77)),ISNUMBER(SEARCH("ترموستات",G77))),"خرابی - ترموستات (تعویض)",IF(OR(ISNUMBER(SEARCH("هيدروستات",G77)),ISNUMBER(SEARCH("هیدروستات",G77))),"خرابی - هیدروستات (تعویض)",IF(OR(ISNUMBER(SEARCH("بلبرينگ",G77)),ISNUMBER(SEARCH("بلبرینگ",G77))),"خرابی - بلبرینگ (تعویض)",IF(OR(ISNUMBER(SEARCH("شيربرق",G77)),ISNUMBER(SEARCH("شیربرق",G77))),"خرابی - شیربرقی (تعویض)",IF(OR(ISNUMBER(SEARCH("واتر جت",G77)),ISNUMBER(SEARCH("واترجت",G77))),"خرابی - واترجت (تعویض)",IF(OR(ISNUMBER(SEARCH("سيم",G77)),ISNUMBER(SEARCH("سیم",G77)),ISNUMBER(SEARCH("اتصال",G77))),"سیم‌کشی/اتصالات (تعویض/بازبینی)",IF(OR(ISNUMBER(SEARCH("تصوير",G77)),ISNUMBER(SEARCH("تصویر",G77))),"برد نمایش تلویزیون (تعویض)",IF(OR(ISNUMBER(SEARCH("ريموت",G77)),ISNUMBER(SEARCH("ریموت",G77))),"ریموت کنترل (تعویض/تعمیر)",IF(OR(ISNUMBER(SEARCH("ال اي دي",G77)),ISNUMBER(SEARCH("ال ای دی",G77)),ISNUMBER(SEARCH("LED",G77))),"خرابی - لامپ/LED داخلی (تعویض)",IF(ISNUMBER(SEARCH("زنگ زدگ",G77)),"زنگ‌زدگی بدنه/قطعه (تعویض)",IF(OR(ISNUMBER(SEARCH("قطعات تزئين",G77)),ISNUMBER(SEARCH("قطعات تزئین",G77))),"قطعات تزئینی - شکستگی/کسری (تعویض)",IF(ISNUMBER(SEARCH("سبد",G77)),"سبد ظرفشویی - شکستگی (تعویض)",IF(ISNUMBER(SEARCH("تاب درام",G77)),"خرابی - تاب برداشتن درام (تعویض)",IF(ISNUMBER(SEARCH("درام",G77)),"خرابی - سایر ایراد درام (تعویض)",IF(ISNUMBER(SEARCH("موتور",G77)),"خرابی - موتور (تعویض)",IF(ISNUMBER(SEARCH("تسمه",G77)),"خرابی - تسمه (تعویض)",IF(OR(ISNUMBER(SEARCH("پيچ ولوم",G77)),ISNUMBER(SEARCH("پیچ ولوم",G77))),"تنظیم - پیچ ولوم/دکمه (تعمیر)",IF(OR(ISNUMBER(SEARCH("کسري قطعات",G77)),ISNUMBER(SEARCH("کسری قطعات",G77))),"کسری قطعات تزئینی (تعویض)",IF(ISNUMBER(SEARCH("پرچ",G77)),"پرچ/بدنه کابین(تعمیر)",IF(OR(ISNUMBER(SEARCH("نشت",G77)),ISNUMBER(SEARCH("آبريزش",G77)),ISNUMBER(SEARCH("آبریزش",G77))),"نشتی آب - محل نامشخص (نیازمند بازدید)",IF(ISNUMBER(SEARCH("درب",G77)),"سایر اجزای درب (بازبینی)",IF(ISNUMBER(SEARCH("ضربه",G77)),"بدنه/کابین - ضربه (بازبینی/تعویض پنل)",IF(ISNUMBER(SEARCH("تراز",G77)),"تراز/لرزش - نصب (رگلاژ پایه)",IF(OR(ISNUMBER(SEARCH("تعویض",G77)),ISNUMBER(SEARCH("تعويض",G77))),"تعویض کامل دستگاه (Replacement)","سایر (نیازمند بررسی دستی)")))))))))))))))))))))))))))))))))))))))))))</f>
        <v/>
      </c>
      <c r="P77" s="124" t="inlineStr">
        <is>
          <t>*</t>
        </is>
      </c>
      <c r="Q77" s="124">
        <f>IF(ISNUMBER(SEARCH("عهده شرکت",F77)),"شرکت",IF(ISNUMBER(SEARCH("عهده مشتري",F77)),"مشتری",IF(ISNUMBER(SEARCH("عهده مشتری",F77)),"مشتری","نامشخص")))</f>
        <v/>
      </c>
      <c r="R77" s="178">
        <f>IF(O77="تعویض کامل دستگاه (Replacement)",IF(SUMIF('قیمت‌ها و مفروضات'!$A$9:$A$13,C77,'قیمت‌ها و مفروضات'!$C$9:$C$13)&lt;&gt;0,SUMIF('قیمت‌ها و مفروضات'!$A$9:$A$13,C77,'قیمت‌ها و مفروضات'!$C$9:$C$13),SUMIF('قیمت‌ها و مفروضات'!$A$9:$A$13,C77,'قیمت‌ها و مفروضات'!$B$9:$B$13)),IF(SUMIF('قیمت‌ها و مفروضات'!$A$18:$A$63,O77,'قیمت‌ها و مفروضات'!$C$18:$C$63)&lt;&gt;0,SUMIF('قیمت‌ها و مفروضات'!$A$18:$A$63,O77,'قیمت‌ها و مفروضات'!$C$18:$C$63),SUMIF('قیمت‌ها و مفروضات'!$A$18:$A$63,O77,'قیمت‌ها و مفروضات'!$B$18:$B$63)))</f>
        <v/>
      </c>
      <c r="S77" s="178">
        <f>'قیمت‌ها و مفروضات'!$B$3+'قیمت‌ها و مفروضات'!$B$4</f>
        <v/>
      </c>
      <c r="T77" s="178">
        <f>R77+S77</f>
        <v/>
      </c>
      <c r="U77" s="178">
        <f>IF(COUNTIF($E$2:E77,E77)&gt;1,"بله (تکراری)","خیر")</f>
        <v/>
      </c>
      <c r="V77" s="178">
        <f>IF(U77="بله (تکراری)",S77,0)</f>
        <v/>
      </c>
      <c r="W77" s="208" t="inlineStr"/>
      <c r="X77" s="208" t="inlineStr"/>
    </row>
    <row r="78" ht="58.5" customHeight="1" s="151">
      <c r="A78" s="176" t="n">
        <v>210006481</v>
      </c>
      <c r="B78" s="124">
        <f>CHOOSE(_xlfn.NUMBERVALUE(MID(H78,6,2)),"فروردین","اردیبهشت","خرداد","تیر","مرداد","شهریور","مهر","آبان","آذر","دی","بهمن","اسفند")</f>
        <v/>
      </c>
      <c r="C78" s="176" t="inlineStr">
        <is>
          <t>ماشين لباسشويي</t>
        </is>
      </c>
      <c r="D78" s="176" t="inlineStr">
        <is>
          <t>CWM-BMW8T1</t>
        </is>
      </c>
      <c r="E78" s="176" t="inlineStr">
        <is>
          <t>52210006N01491</t>
        </is>
      </c>
      <c r="F78" s="173" t="inlineStr">
        <is>
          <t>صداي غيرعادي هنگام خشک کن**اياب و ذهاب به عهده شرکت</t>
        </is>
      </c>
      <c r="G78" s="173" t="inlineStr">
        <is>
          <t>خرابي بلبرينگ</t>
        </is>
      </c>
      <c r="H78" s="176" t="inlineStr">
        <is>
          <t>1405/01/15</t>
        </is>
      </c>
      <c r="I78" s="124" t="inlineStr">
        <is>
          <t>1404/05/08</t>
        </is>
      </c>
      <c r="J78" s="124" t="inlineStr">
        <is>
          <t>1404/09/17</t>
        </is>
      </c>
      <c r="K78" s="177">
        <f>IFERROR(VLOOKUP(LEFT(H78,7),'تبدیل تاریخ'!$A$2:$B$73,2,FALSE())+VALUE(RIGHT(H78,2))-1,"")</f>
        <v/>
      </c>
      <c r="L78" s="177">
        <f>IFERROR(VLOOKUP(LEFT(I78,7),'تبدیل تاریخ'!$A$2:$B$73,2,FALSE())+VALUE(RIGHT(I78,2))-1,"")</f>
        <v/>
      </c>
      <c r="M78" s="177">
        <f>IF(J78="","",IFERROR(VLOOKUP(LEFT(J78,7),'تبدیل تاریخ'!$A$2:$B$73,2,FALSE())+VALUE(RIGHT(J78,2))-1,""))</f>
        <v/>
      </c>
      <c r="N78" s="124">
        <f>IF(OR(K78="",M78=""),"",CEILING((K78-M78)/30,1))</f>
        <v/>
      </c>
      <c r="O78" s="124">
        <f>IF(OR(ISNUMBER(SEARCH("بدون مورد",G78)),ISNUMBER(SEARCH("غير گارانتي",G78)),ISNUMBER(SEARCH("غیر گارانتی",G78)),ISNUMBER(SEARCH("بدون اجرت",G78)),ISNUMBER(SEARCH("فيلتر",G78)),ISNUMBER(SEARCH("فیلتر",G78))),"غیرگارانتی/بدون قطعه",IF(OR(ISNUMBER(SEARCH("ريست",G78)),ISNUMBER(SEARCH("ریست",G78))),"ریست نرم‌افزاری (بدون قطعه)",IF(OR(ISNUMBER(SEARCH("تعویض محصول",G78)),ISNUMBER(SEARCH("تعویض دستگاه",G78))),"تعویض کامل دستگاه (Replacement)",IF(ISNUMBER(SEARCH("پمپ",G78)),IF(ISNUMBER(SEARCH("نشت",G78)),"نشتی - پمپ تخلیه (تعمیر/آب‌بندی)","خرابی - پمپ تخلیه (تعویض)"),IF(ISNUMBER(SEARCH("کمپرسور",G78)),"خرابی - کمپرسور (تعویض)",IF(ISNUMBER(SEARCH("کمک فنر",G78)),"خرابی - کمک فنر (تعویض)",IF(ISNUMBER(SEARCH("لولا",G78)),"مکانیزم درب - لولا (تعویض)",IF(OR(ISNUMBER(SEARCH("قلاب",G78)),ISNUMBER(SEARCH("ميکروسوئيچ",G78)),ISNUMBER(SEARCH("میکروسوئیچ",G78))),"مکانیزم درب - میکروسوئیچ/قلاب (تعویض/تنظیم)",IF(ISNUMBER(SEARCH("زبانه",G78)),"مکانیزم درب - زبانه (تعویض)",IF(OR(ISNUMBER(SEARCH("شيلنگ",G78)),ISNUMBER(SEARCH("شیلنگ",G78))),IF(OR(ISNUMBER(SEARCH("نشتی",G78)),ISNUMBER(SEARCH("نشتي",G78))),"نشتی - شیلنگ (تعمیر/آب‌بندی)",IF(OR(ISNUMBER(SEARCH("يخ",G78)),ISNUMBER(SEARCH("یخ",G78))),"شیلنگ یخساز - یخ‌زدگی (بازبینی)","شیلنگ - برخورد/لهیدگی (بازبینی)")),IF(OR(ISNUMBER(SEARCH("تنظيم ديسپل",G78)),ISNUMBER(SEARCH("تنظیم دیسپل",G78)),ISNUMBER(SEARCH("تنظيم صفحه نمايش",G78)),ISNUMBER(SEARCH("تنظیم صفحه نمایش",G78))),"تنظیم - تنظیمات دستگاه/دیسپلی (تعمیر)",IF(OR(ISNUMBER(SEARCH("برد",G78)),ISNUMBER(SEARCH("سوکت",G78)),ISNUMBER(SEARCH("ديسپل",G78)),ISNUMBER(SEARCH("دیسپل",G78))),"خرابی - برد الکترونیک (تعویض)",IF(OR(ISNUMBER(SEARCH("يخساز",G78)),ISNUMBER(SEARCH("یخساز",G78)),ISNUMBER(SEARCH("دمپر",G78))),IF(OR(ISNUMBER(SEARCH("خرابی",G78)),ISNUMBER(SEARCH("خراب",G78)),ISNUMBER(SEARCH("عدم کارکرد",G78)),ISNUMBER(SEARCH("عدم عملکرد",G78))),"یخساز - خرابی موتور/سنسور/برد (تعویض)","یخساز - تنظیم/عایق (تعمیر)"),IF(OR(ISNUMBER(SEARCH("لاستيک",G78)),ISNUMBER(SEARCH("لاستیک",G78))),"لاستیک درزگیر - دفرمگی/پارگی (تعویض)",IF(OR(ISNUMBER(SEARCH("گسکت",G78)),ISNUMBER(SEARCH("گسگت",G78))),"لاستیک درزگیر - دفرمگی/پارگی (تعویض)",IF(ISNUMBER(SEARCH("مخزن نمک",G78)),"نشتی - درب مخزن نمک (تعمیر/آب‌بندی)",IF(ISNUMBER(SEARCH("براکت",G78)),"نشتی - براکت ریل (تعمیر/آب‌بندی)",IF(ISNUMBER(SEARCH("جاپودر",G78)),"نشتی - جاپودری (تعمیر/آب‌بندی)",IF(ISNUMBER(SEARCH("مقسم",G78)),"نشتی - مقسم آب (تعمیر/آب‌بندی)",IF(OR(ISNUMBER(SEARCH("سنسور دما",G78)),ISNUMBER(SEARCH("ترموستات",G78))),"خرابی - ترموستات (تعویض)",IF(OR(ISNUMBER(SEARCH("هيدروستات",G78)),ISNUMBER(SEARCH("هیدروستات",G78))),"خرابی - هیدروستات (تعویض)",IF(OR(ISNUMBER(SEARCH("بلبرينگ",G78)),ISNUMBER(SEARCH("بلبرینگ",G78))),"خرابی - بلبرینگ (تعویض)",IF(OR(ISNUMBER(SEARCH("شيربرق",G78)),ISNUMBER(SEARCH("شیربرق",G78))),"خرابی - شیربرقی (تعویض)",IF(OR(ISNUMBER(SEARCH("واتر جت",G78)),ISNUMBER(SEARCH("واترجت",G78))),"خرابی - واترجت (تعویض)",IF(OR(ISNUMBER(SEARCH("سيم",G78)),ISNUMBER(SEARCH("سیم",G78)),ISNUMBER(SEARCH("اتصال",G78))),"سیم‌کشی/اتصالات (تعویض/بازبینی)",IF(OR(ISNUMBER(SEARCH("تصوير",G78)),ISNUMBER(SEARCH("تصویر",G78))),"برد نمایش تلویزیون (تعویض)",IF(OR(ISNUMBER(SEARCH("ريموت",G78)),ISNUMBER(SEARCH("ریموت",G78))),"ریموت کنترل (تعویض/تعمیر)",IF(OR(ISNUMBER(SEARCH("ال اي دي",G78)),ISNUMBER(SEARCH("ال ای دی",G78)),ISNUMBER(SEARCH("LED",G78))),"خرابی - لامپ/LED داخلی (تعویض)",IF(ISNUMBER(SEARCH("زنگ زدگ",G78)),"زنگ‌زدگی بدنه/قطعه (تعویض)",IF(OR(ISNUMBER(SEARCH("قطعات تزئين",G78)),ISNUMBER(SEARCH("قطعات تزئین",G78))),"قطعات تزئینی - شکستگی/کسری (تعویض)",IF(ISNUMBER(SEARCH("سبد",G78)),"سبد ظرفشویی - شکستگی (تعویض)",IF(ISNUMBER(SEARCH("تاب درام",G78)),"خرابی - تاب برداشتن درام (تعویض)",IF(ISNUMBER(SEARCH("درام",G78)),"خرابی - سایر ایراد درام (تعویض)",IF(ISNUMBER(SEARCH("موتور",G78)),"خرابی - موتور (تعویض)",IF(ISNUMBER(SEARCH("تسمه",G78)),"خرابی - تسمه (تعویض)",IF(OR(ISNUMBER(SEARCH("پيچ ولوم",G78)),ISNUMBER(SEARCH("پیچ ولوم",G78))),"تنظیم - پیچ ولوم/دکمه (تعمیر)",IF(OR(ISNUMBER(SEARCH("کسري قطعات",G78)),ISNUMBER(SEARCH("کسری قطعات",G78))),"کسری قطعات تزئینی (تعویض)",IF(ISNUMBER(SEARCH("پرچ",G78)),"پرچ/بدنه کابین(تعمیر)",IF(OR(ISNUMBER(SEARCH("نشت",G78)),ISNUMBER(SEARCH("آبريزش",G78)),ISNUMBER(SEARCH("آبریزش",G78))),"نشتی آب - محل نامشخص (نیازمند بازدید)",IF(ISNUMBER(SEARCH("درب",G78)),"سایر اجزای درب (بازبینی)",IF(ISNUMBER(SEARCH("ضربه",G78)),"بدنه/کابین - ضربه (بازبینی/تعویض پنل)",IF(ISNUMBER(SEARCH("تراز",G78)),"تراز/لرزش - نصب (رگلاژ پایه)",IF(OR(ISNUMBER(SEARCH("تعویض",G78)),ISNUMBER(SEARCH("تعويض",G78))),"تعویض کامل دستگاه (Replacement)","سایر (نیازمند بررسی دستی)")))))))))))))))))))))))))))))))))))))))))))</f>
        <v/>
      </c>
      <c r="P78" s="124" t="inlineStr">
        <is>
          <t>بلبرینگ لباسشویی</t>
        </is>
      </c>
      <c r="Q78" s="124">
        <f>IF(ISNUMBER(SEARCH("عهده شرکت",F78)),"شرکت",IF(ISNUMBER(SEARCH("عهده مشتري",F78)),"مشتری",IF(ISNUMBER(SEARCH("عهده مشتری",F78)),"مشتری","نامشخص")))</f>
        <v/>
      </c>
      <c r="R78" s="178">
        <f>IF(O78="تعویض کامل دستگاه (Replacement)",IF(SUMIF('قیمت‌ها و مفروضات'!$A$9:$A$13,C78,'قیمت‌ها و مفروضات'!$C$9:$C$13)&lt;&gt;0,SUMIF('قیمت‌ها و مفروضات'!$A$9:$A$13,C78,'قیمت‌ها و مفروضات'!$C$9:$C$13),SUMIF('قیمت‌ها و مفروضات'!$A$9:$A$13,C78,'قیمت‌ها و مفروضات'!$B$9:$B$13)),IF(SUMIF('قیمت‌ها و مفروضات'!$A$18:$A$63,O78,'قیمت‌ها و مفروضات'!$C$18:$C$63)&lt;&gt;0,SUMIF('قیمت‌ها و مفروضات'!$A$18:$A$63,O78,'قیمت‌ها و مفروضات'!$C$18:$C$63),SUMIF('قیمت‌ها و مفروضات'!$A$18:$A$63,O78,'قیمت‌ها و مفروضات'!$B$18:$B$63)))</f>
        <v/>
      </c>
      <c r="S78" s="178">
        <f>'قیمت‌ها و مفروضات'!$B$3+'قیمت‌ها و مفروضات'!$B$4</f>
        <v/>
      </c>
      <c r="T78" s="178">
        <f>R78+S78</f>
        <v/>
      </c>
      <c r="U78" s="178">
        <f>IF(COUNTIF($E$2:E78,E78)&gt;1,"بله (تکراری)","خیر")</f>
        <v/>
      </c>
      <c r="V78" s="178">
        <f>IF(U78="بله (تکراری)",S78,0)</f>
        <v/>
      </c>
      <c r="W78" s="208" t="inlineStr"/>
      <c r="X78" s="208" t="inlineStr"/>
    </row>
    <row r="79" ht="58.5" customHeight="1" s="151">
      <c r="A79" s="176" t="n">
        <v>210011577</v>
      </c>
      <c r="B79" s="124">
        <f>CHOOSE(_xlfn.NUMBERVALUE(MID(H79,6,2)),"فروردین","اردیبهشت","خرداد","تیر","مرداد","شهریور","مهر","آبان","آذر","دی","بهمن","اسفند")</f>
        <v/>
      </c>
      <c r="C79" s="176" t="inlineStr">
        <is>
          <t>ماشين لباسشويي</t>
        </is>
      </c>
      <c r="D79" s="176" t="inlineStr">
        <is>
          <t>CWM-BMW8T1</t>
        </is>
      </c>
      <c r="E79" s="176" t="inlineStr">
        <is>
          <t>52210006N01611</t>
        </is>
      </c>
      <c r="F79" s="173" t="inlineStr">
        <is>
          <t>خطاي LE اياب و ذهاب به عهده شرکت</t>
        </is>
      </c>
      <c r="G79" s="173" t="inlineStr">
        <is>
          <t>نشتي از شيلنگ ورودي آب</t>
        </is>
      </c>
      <c r="H79" s="176" t="inlineStr">
        <is>
          <t>1405/01/18</t>
        </is>
      </c>
      <c r="I79" s="124" t="inlineStr">
        <is>
          <t>1404/06/24</t>
        </is>
      </c>
      <c r="J79" s="124" t="inlineStr">
        <is>
          <t>1404/07/15</t>
        </is>
      </c>
      <c r="K79" s="177">
        <f>IFERROR(VLOOKUP(LEFT(H79,7),'تبدیل تاریخ'!$A$2:$B$73,2,FALSE())+VALUE(RIGHT(H79,2))-1,"")</f>
        <v/>
      </c>
      <c r="L79" s="177">
        <f>IFERROR(VLOOKUP(LEFT(I79,7),'تبدیل تاریخ'!$A$2:$B$73,2,FALSE())+VALUE(RIGHT(I79,2))-1,"")</f>
        <v/>
      </c>
      <c r="M79" s="177">
        <f>IF(J79="","",IFERROR(VLOOKUP(LEFT(J79,7),'تبدیل تاریخ'!$A$2:$B$73,2,FALSE())+VALUE(RIGHT(J79,2))-1,""))</f>
        <v/>
      </c>
      <c r="N79" s="124">
        <f>IF(OR(K79="",M79=""),"",CEILING((K79-M79)/30,1))</f>
        <v/>
      </c>
      <c r="O79" s="124">
        <f>IF(OR(ISNUMBER(SEARCH("بدون مورد",G79)),ISNUMBER(SEARCH("غير گارانتي",G79)),ISNUMBER(SEARCH("غیر گارانتی",G79)),ISNUMBER(SEARCH("بدون اجرت",G79)),ISNUMBER(SEARCH("فيلتر",G79)),ISNUMBER(SEARCH("فیلتر",G79))),"غیرگارانتی/بدون قطعه",IF(OR(ISNUMBER(SEARCH("ريست",G79)),ISNUMBER(SEARCH("ریست",G79))),"ریست نرم‌افزاری (بدون قطعه)",IF(OR(ISNUMBER(SEARCH("تعویض محصول",G79)),ISNUMBER(SEARCH("تعویض دستگاه",G79))),"تعویض کامل دستگاه (Replacement)",IF(ISNUMBER(SEARCH("پمپ",G79)),IF(ISNUMBER(SEARCH("نشت",G79)),"نشتی - پمپ تخلیه (تعمیر/آب‌بندی)","خرابی - پمپ تخلیه (تعویض)"),IF(ISNUMBER(SEARCH("کمپرسور",G79)),"خرابی - کمپرسور (تعویض)",IF(ISNUMBER(SEARCH("کمک فنر",G79)),"خرابی - کمک فنر (تعویض)",IF(ISNUMBER(SEARCH("لولا",G79)),"مکانیزم درب - لولا (تعویض)",IF(OR(ISNUMBER(SEARCH("قلاب",G79)),ISNUMBER(SEARCH("ميکروسوئيچ",G79)),ISNUMBER(SEARCH("میکروسوئیچ",G79))),"مکانیزم درب - میکروسوئیچ/قلاب (تعویض/تنظیم)",IF(ISNUMBER(SEARCH("زبانه",G79)),"مکانیزم درب - زبانه (تعویض)",IF(OR(ISNUMBER(SEARCH("شيلنگ",G79)),ISNUMBER(SEARCH("شیلنگ",G79))),IF(OR(ISNUMBER(SEARCH("نشتی",G79)),ISNUMBER(SEARCH("نشتي",G79))),"نشتی - شیلنگ (تعمیر/آب‌بندی)",IF(OR(ISNUMBER(SEARCH("يخ",G79)),ISNUMBER(SEARCH("یخ",G79))),"شیلنگ یخساز - یخ‌زدگی (بازبینی)","شیلنگ - برخورد/لهیدگی (بازبینی)")),IF(OR(ISNUMBER(SEARCH("تنظيم ديسپل",G79)),ISNUMBER(SEARCH("تنظیم دیسپل",G79)),ISNUMBER(SEARCH("تنظيم صفحه نمايش",G79)),ISNUMBER(SEARCH("تنظیم صفحه نمایش",G79))),"تنظیم - تنظیمات دستگاه/دیسپلی (تعمیر)",IF(OR(ISNUMBER(SEARCH("برد",G79)),ISNUMBER(SEARCH("سوکت",G79)),ISNUMBER(SEARCH("ديسپل",G79)),ISNUMBER(SEARCH("دیسپل",G79))),"خرابی - برد الکترونیک (تعویض)",IF(OR(ISNUMBER(SEARCH("يخساز",G79)),ISNUMBER(SEARCH("یخساز",G79)),ISNUMBER(SEARCH("دمپر",G79))),IF(OR(ISNUMBER(SEARCH("خرابی",G79)),ISNUMBER(SEARCH("خراب",G79)),ISNUMBER(SEARCH("عدم کارکرد",G79)),ISNUMBER(SEARCH("عدم عملکرد",G79))),"یخساز - خرابی موتور/سنسور/برد (تعویض)","یخساز - تنظیم/عایق (تعمیر)"),IF(OR(ISNUMBER(SEARCH("لاستيک",G79)),ISNUMBER(SEARCH("لاستیک",G79))),"لاستیک درزگیر - دفرمگی/پارگی (تعویض)",IF(OR(ISNUMBER(SEARCH("گسکت",G79)),ISNUMBER(SEARCH("گسگت",G79))),"لاستیک درزگیر - دفرمگی/پارگی (تعویض)",IF(ISNUMBER(SEARCH("مخزن نمک",G79)),"نشتی - درب مخزن نمک (تعمیر/آب‌بندی)",IF(ISNUMBER(SEARCH("براکت",G79)),"نشتی - براکت ریل (تعمیر/آب‌بندی)",IF(ISNUMBER(SEARCH("جاپودر",G79)),"نشتی - جاپودری (تعمیر/آب‌بندی)",IF(ISNUMBER(SEARCH("مقسم",G79)),"نشتی - مقسم آب (تعمیر/آب‌بندی)",IF(OR(ISNUMBER(SEARCH("سنسور دما",G79)),ISNUMBER(SEARCH("ترموستات",G79))),"خرابی - ترموستات (تعویض)",IF(OR(ISNUMBER(SEARCH("هيدروستات",G79)),ISNUMBER(SEARCH("هیدروستات",G79))),"خرابی - هیدروستات (تعویض)",IF(OR(ISNUMBER(SEARCH("بلبرينگ",G79)),ISNUMBER(SEARCH("بلبرینگ",G79))),"خرابی - بلبرینگ (تعویض)",IF(OR(ISNUMBER(SEARCH("شيربرق",G79)),ISNUMBER(SEARCH("شیربرق",G79))),"خرابی - شیربرقی (تعویض)",IF(OR(ISNUMBER(SEARCH("واتر جت",G79)),ISNUMBER(SEARCH("واترجت",G79))),"خرابی - واترجت (تعویض)",IF(OR(ISNUMBER(SEARCH("سيم",G79)),ISNUMBER(SEARCH("سیم",G79)),ISNUMBER(SEARCH("اتصال",G79))),"سیم‌کشی/اتصالات (تعویض/بازبینی)",IF(OR(ISNUMBER(SEARCH("تصوير",G79)),ISNUMBER(SEARCH("تصویر",G79))),"برد نمایش تلویزیون (تعویض)",IF(OR(ISNUMBER(SEARCH("ريموت",G79)),ISNUMBER(SEARCH("ریموت",G79))),"ریموت کنترل (تعویض/تعمیر)",IF(OR(ISNUMBER(SEARCH("ال اي دي",G79)),ISNUMBER(SEARCH("ال ای دی",G79)),ISNUMBER(SEARCH("LED",G79))),"خرابی - لامپ/LED داخلی (تعویض)",IF(ISNUMBER(SEARCH("زنگ زدگ",G79)),"زنگ‌زدگی بدنه/قطعه (تعویض)",IF(OR(ISNUMBER(SEARCH("قطعات تزئين",G79)),ISNUMBER(SEARCH("قطعات تزئین",G79))),"قطعات تزئینی - شکستگی/کسری (تعویض)",IF(ISNUMBER(SEARCH("سبد",G79)),"سبد ظرفشویی - شکستگی (تعویض)",IF(ISNUMBER(SEARCH("تاب درام",G79)),"خرابی - تاب برداشتن درام (تعویض)",IF(ISNUMBER(SEARCH("درام",G79)),"خرابی - سایر ایراد درام (تعویض)",IF(ISNUMBER(SEARCH("موتور",G79)),"خرابی - موتور (تعویض)",IF(ISNUMBER(SEARCH("تسمه",G79)),"خرابی - تسمه (تعویض)",IF(OR(ISNUMBER(SEARCH("پيچ ولوم",G79)),ISNUMBER(SEARCH("پیچ ولوم",G79))),"تنظیم - پیچ ولوم/دکمه (تعمیر)",IF(OR(ISNUMBER(SEARCH("کسري قطعات",G79)),ISNUMBER(SEARCH("کسری قطعات",G79))),"کسری قطعات تزئینی (تعویض)",IF(ISNUMBER(SEARCH("پرچ",G79)),"پرچ/بدنه کابین(تعمیر)",IF(OR(ISNUMBER(SEARCH("نشت",G79)),ISNUMBER(SEARCH("آبريزش",G79)),ISNUMBER(SEARCH("آبریزش",G79))),"نشتی آب - محل نامشخص (نیازمند بازدید)",IF(ISNUMBER(SEARCH("درب",G79)),"سایر اجزای درب (بازبینی)",IF(ISNUMBER(SEARCH("ضربه",G79)),"بدنه/کابین - ضربه (بازبینی/تعویض پنل)",IF(ISNUMBER(SEARCH("تراز",G79)),"تراز/لرزش - نصب (رگلاژ پایه)",IF(OR(ISNUMBER(SEARCH("تعویض",G79)),ISNUMBER(SEARCH("تعويض",G79))),"تعویض کامل دستگاه (Replacement)","سایر (نیازمند بررسی دستی)")))))))))))))))))))))))))))))))))))))))))))</f>
        <v/>
      </c>
      <c r="P79" s="124" t="inlineStr">
        <is>
          <t>*</t>
        </is>
      </c>
      <c r="Q79" s="124">
        <f>IF(ISNUMBER(SEARCH("عهده شرکت",F79)),"شرکت",IF(ISNUMBER(SEARCH("عهده مشتري",F79)),"مشتری",IF(ISNUMBER(SEARCH("عهده مشتری",F79)),"مشتری","نامشخص")))</f>
        <v/>
      </c>
      <c r="R79" s="178">
        <f>IF(O79="تعویض کامل دستگاه (Replacement)",IF(SUMIF('قیمت‌ها و مفروضات'!$A$9:$A$13,C79,'قیمت‌ها و مفروضات'!$C$9:$C$13)&lt;&gt;0,SUMIF('قیمت‌ها و مفروضات'!$A$9:$A$13,C79,'قیمت‌ها و مفروضات'!$C$9:$C$13),SUMIF('قیمت‌ها و مفروضات'!$A$9:$A$13,C79,'قیمت‌ها و مفروضات'!$B$9:$B$13)),IF(SUMIF('قیمت‌ها و مفروضات'!$A$18:$A$63,O79,'قیمت‌ها و مفروضات'!$C$18:$C$63)&lt;&gt;0,SUMIF('قیمت‌ها و مفروضات'!$A$18:$A$63,O79,'قیمت‌ها و مفروضات'!$C$18:$C$63),SUMIF('قیمت‌ها و مفروضات'!$A$18:$A$63,O79,'قیمت‌ها و مفروضات'!$B$18:$B$63)))</f>
        <v/>
      </c>
      <c r="S79" s="178">
        <f>'قیمت‌ها و مفروضات'!$B$3+'قیمت‌ها و مفروضات'!$B$4</f>
        <v/>
      </c>
      <c r="T79" s="178">
        <f>R79+S79</f>
        <v/>
      </c>
      <c r="U79" s="178">
        <f>IF(COUNTIF($E$2:E79,E79)&gt;1,"بله (تکراری)","خیر")</f>
        <v/>
      </c>
      <c r="V79" s="178">
        <f>IF(U79="بله (تکراری)",S79,0)</f>
        <v/>
      </c>
      <c r="W79" s="208" t="inlineStr"/>
      <c r="X79" s="208" t="inlineStr"/>
    </row>
    <row r="80" ht="58.5" customHeight="1" s="151">
      <c r="A80" s="176" t="n">
        <v>210011525</v>
      </c>
      <c r="B80" s="124">
        <f>CHOOSE(_xlfn.NUMBERVALUE(MID(H80,6,2)),"فروردین","اردیبهشت","خرداد","تیر","مرداد","شهریور","مهر","آبان","آذر","دی","بهمن","اسفند")</f>
        <v/>
      </c>
      <c r="C80" s="176" t="inlineStr">
        <is>
          <t>یخچال ساید‌بای‌ساید</t>
        </is>
      </c>
      <c r="D80" s="176" t="inlineStr">
        <is>
          <t>C2S-29HS1</t>
        </is>
      </c>
      <c r="E80" s="176" t="inlineStr">
        <is>
          <t>52240001N02140</t>
        </is>
      </c>
      <c r="F80" s="173" t="inlineStr">
        <is>
          <t>تعويض فيلتر - غيرگارانتي</t>
        </is>
      </c>
      <c r="G80" s="173" t="inlineStr">
        <is>
          <t>تعويض فيلتر / غيرگارانتي - سايد باي سايد</t>
        </is>
      </c>
      <c r="H80" s="176" t="inlineStr">
        <is>
          <t>1405/01/16</t>
        </is>
      </c>
      <c r="I80" s="124" t="inlineStr">
        <is>
          <t>1403/10/16</t>
        </is>
      </c>
      <c r="J80" s="124" t="inlineStr">
        <is>
          <t>1404/05/04</t>
        </is>
      </c>
      <c r="K80" s="177">
        <f>IFERROR(VLOOKUP(LEFT(H80,7),'تبدیل تاریخ'!$A$2:$B$73,2,FALSE())+VALUE(RIGHT(H80,2))-1,"")</f>
        <v/>
      </c>
      <c r="L80" s="177">
        <f>IFERROR(VLOOKUP(LEFT(I80,7),'تبدیل تاریخ'!$A$2:$B$73,2,FALSE())+VALUE(RIGHT(I80,2))-1,"")</f>
        <v/>
      </c>
      <c r="M80" s="177">
        <f>IF(J80="","",IFERROR(VLOOKUP(LEFT(J80,7),'تبدیل تاریخ'!$A$2:$B$73,2,FALSE())+VALUE(RIGHT(J80,2))-1,""))</f>
        <v/>
      </c>
      <c r="N80" s="124">
        <f>IF(OR(K80="",M80=""),"",CEILING((K80-M80)/30,1))</f>
        <v/>
      </c>
      <c r="O80" s="124">
        <f>IF(OR(ISNUMBER(SEARCH("بدون مورد",G80)),ISNUMBER(SEARCH("غير گارانتي",G80)),ISNUMBER(SEARCH("غیر گارانتی",G80)),ISNUMBER(SEARCH("بدون اجرت",G80)),ISNUMBER(SEARCH("فيلتر",G80)),ISNUMBER(SEARCH("فیلتر",G80))),"غیرگارانتی/بدون قطعه",IF(OR(ISNUMBER(SEARCH("ريست",G80)),ISNUMBER(SEARCH("ریست",G80))),"ریست نرم‌افزاری (بدون قطعه)",IF(OR(ISNUMBER(SEARCH("تعویض محصول",G80)),ISNUMBER(SEARCH("تعویض دستگاه",G80))),"تعویض کامل دستگاه (Replacement)",IF(ISNUMBER(SEARCH("پمپ",G80)),IF(ISNUMBER(SEARCH("نشت",G80)),"نشتی - پمپ تخلیه (تعمیر/آب‌بندی)","خرابی - پمپ تخلیه (تعویض)"),IF(ISNUMBER(SEARCH("کمپرسور",G80)),"خرابی - کمپرسور (تعویض)",IF(ISNUMBER(SEARCH("کمک فنر",G80)),"خرابی - کمک فنر (تعویض)",IF(ISNUMBER(SEARCH("لولا",G80)),"مکانیزم درب - لولا (تعویض)",IF(OR(ISNUMBER(SEARCH("قلاب",G80)),ISNUMBER(SEARCH("ميکروسوئيچ",G80)),ISNUMBER(SEARCH("میکروسوئیچ",G80))),"مکانیزم درب - میکروسوئیچ/قلاب (تعویض/تنظیم)",IF(ISNUMBER(SEARCH("زبانه",G80)),"مکانیزم درب - زبانه (تعویض)",IF(OR(ISNUMBER(SEARCH("شيلنگ",G80)),ISNUMBER(SEARCH("شیلنگ",G80))),IF(OR(ISNUMBER(SEARCH("نشتی",G80)),ISNUMBER(SEARCH("نشتي",G80))),"نشتی - شیلنگ (تعمیر/آب‌بندی)",IF(OR(ISNUMBER(SEARCH("يخ",G80)),ISNUMBER(SEARCH("یخ",G80))),"شیلنگ یخساز - یخ‌زدگی (بازبینی)","شیلنگ - برخورد/لهیدگی (بازبینی)")),IF(OR(ISNUMBER(SEARCH("تنظيم ديسپل",G80)),ISNUMBER(SEARCH("تنظیم دیسپل",G80)),ISNUMBER(SEARCH("تنظيم صفحه نمايش",G80)),ISNUMBER(SEARCH("تنظیم صفحه نمایش",G80))),"تنظیم - تنظیمات دستگاه/دیسپلی (تعمیر)",IF(OR(ISNUMBER(SEARCH("برد",G80)),ISNUMBER(SEARCH("سوکت",G80)),ISNUMBER(SEARCH("ديسپل",G80)),ISNUMBER(SEARCH("دیسپل",G80))),"خرابی - برد الکترونیک (تعویض)",IF(OR(ISNUMBER(SEARCH("يخساز",G80)),ISNUMBER(SEARCH("یخساز",G80)),ISNUMBER(SEARCH("دمپر",G80))),IF(OR(ISNUMBER(SEARCH("خرابی",G80)),ISNUMBER(SEARCH("خراب",G80)),ISNUMBER(SEARCH("عدم کارکرد",G80)),ISNUMBER(SEARCH("عدم عملکرد",G80))),"یخساز - خرابی موتور/سنسور/برد (تعویض)","یخساز - تنظیم/عایق (تعمیر)"),IF(OR(ISNUMBER(SEARCH("لاستيک",G80)),ISNUMBER(SEARCH("لاستیک",G80))),"لاستیک درزگیر - دفرمگی/پارگی (تعویض)",IF(OR(ISNUMBER(SEARCH("گسکت",G80)),ISNUMBER(SEARCH("گسگت",G80))),"لاستیک درزگیر - دفرمگی/پارگی (تعویض)",IF(ISNUMBER(SEARCH("مخزن نمک",G80)),"نشتی - درب مخزن نمک (تعمیر/آب‌بندی)",IF(ISNUMBER(SEARCH("براکت",G80)),"نشتی - براکت ریل (تعمیر/آب‌بندی)",IF(ISNUMBER(SEARCH("جاپودر",G80)),"نشتی - جاپودری (تعمیر/آب‌بندی)",IF(ISNUMBER(SEARCH("مقسم",G80)),"نشتی - مقسم آب (تعمیر/آب‌بندی)",IF(OR(ISNUMBER(SEARCH("سنسور دما",G80)),ISNUMBER(SEARCH("ترموستات",G80))),"خرابی - ترموستات (تعویض)",IF(OR(ISNUMBER(SEARCH("هيدروستات",G80)),ISNUMBER(SEARCH("هیدروستات",G80))),"خرابی - هیدروستات (تعویض)",IF(OR(ISNUMBER(SEARCH("بلبرينگ",G80)),ISNUMBER(SEARCH("بلبرینگ",G80))),"خرابی - بلبرینگ (تعویض)",IF(OR(ISNUMBER(SEARCH("شيربرق",G80)),ISNUMBER(SEARCH("شیربرق",G80))),"خرابی - شیربرقی (تعویض)",IF(OR(ISNUMBER(SEARCH("واتر جت",G80)),ISNUMBER(SEARCH("واترجت",G80))),"خرابی - واترجت (تعویض)",IF(OR(ISNUMBER(SEARCH("سيم",G80)),ISNUMBER(SEARCH("سیم",G80)),ISNUMBER(SEARCH("اتصال",G80))),"سیم‌کشی/اتصالات (تعویض/بازبینی)",IF(OR(ISNUMBER(SEARCH("تصوير",G80)),ISNUMBER(SEARCH("تصویر",G80))),"برد نمایش تلویزیون (تعویض)",IF(OR(ISNUMBER(SEARCH("ريموت",G80)),ISNUMBER(SEARCH("ریموت",G80))),"ریموت کنترل (تعویض/تعمیر)",IF(OR(ISNUMBER(SEARCH("ال اي دي",G80)),ISNUMBER(SEARCH("ال ای دی",G80)),ISNUMBER(SEARCH("LED",G80))),"خرابی - لامپ/LED داخلی (تعویض)",IF(ISNUMBER(SEARCH("زنگ زدگ",G80)),"زنگ‌زدگی بدنه/قطعه (تعویض)",IF(OR(ISNUMBER(SEARCH("قطعات تزئين",G80)),ISNUMBER(SEARCH("قطعات تزئین",G80))),"قطعات تزئینی - شکستگی/کسری (تعویض)",IF(ISNUMBER(SEARCH("سبد",G80)),"سبد ظرفشویی - شکستگی (تعویض)",IF(ISNUMBER(SEARCH("تاب درام",G80)),"خرابی - تاب برداشتن درام (تعویض)",IF(ISNUMBER(SEARCH("درام",G80)),"خرابی - سایر ایراد درام (تعویض)",IF(ISNUMBER(SEARCH("موتور",G80)),"خرابی - موتور (تعویض)",IF(ISNUMBER(SEARCH("تسمه",G80)),"خرابی - تسمه (تعویض)",IF(OR(ISNUMBER(SEARCH("پيچ ولوم",G80)),ISNUMBER(SEARCH("پیچ ولوم",G80))),"تنظیم - پیچ ولوم/دکمه (تعمیر)",IF(OR(ISNUMBER(SEARCH("کسري قطعات",G80)),ISNUMBER(SEARCH("کسری قطعات",G80))),"کسری قطعات تزئینی (تعویض)",IF(ISNUMBER(SEARCH("پرچ",G80)),"پرچ/بدنه کابین(تعمیر)",IF(OR(ISNUMBER(SEARCH("نشت",G80)),ISNUMBER(SEARCH("آبريزش",G80)),ISNUMBER(SEARCH("آبریزش",G80))),"نشتی آب - محل نامشخص (نیازمند بازدید)",IF(ISNUMBER(SEARCH("درب",G80)),"سایر اجزای درب (بازبینی)",IF(ISNUMBER(SEARCH("ضربه",G80)),"بدنه/کابین - ضربه (بازبینی/تعویض پنل)",IF(ISNUMBER(SEARCH("تراز",G80)),"تراز/لرزش - نصب (رگلاژ پایه)",IF(OR(ISNUMBER(SEARCH("تعویض",G80)),ISNUMBER(SEARCH("تعويض",G80))),"تعویض کامل دستگاه (Replacement)","سایر (نیازمند بررسی دستی)")))))))))))))))))))))))))))))))))))))))))))</f>
        <v/>
      </c>
      <c r="P80" s="124" t="inlineStr">
        <is>
          <t>*</t>
        </is>
      </c>
      <c r="Q80" s="124">
        <f>IF(ISNUMBER(SEARCH("عهده شرکت",F80)),"شرکت",IF(ISNUMBER(SEARCH("عهده مشتري",F80)),"مشتری",IF(ISNUMBER(SEARCH("عهده مشتری",F80)),"مشتری","نامشخص")))</f>
        <v/>
      </c>
      <c r="R80" s="178">
        <f>IF(O80="تعویض کامل دستگاه (Replacement)",IF(SUMIF('قیمت‌ها و مفروضات'!$A$9:$A$13,C80,'قیمت‌ها و مفروضات'!$C$9:$C$13)&lt;&gt;0,SUMIF('قیمت‌ها و مفروضات'!$A$9:$A$13,C80,'قیمت‌ها و مفروضات'!$C$9:$C$13),SUMIF('قیمت‌ها و مفروضات'!$A$9:$A$13,C80,'قیمت‌ها و مفروضات'!$B$9:$B$13)),IF(SUMIF('قیمت‌ها و مفروضات'!$A$18:$A$63,O80,'قیمت‌ها و مفروضات'!$C$18:$C$63)&lt;&gt;0,SUMIF('قیمت‌ها و مفروضات'!$A$18:$A$63,O80,'قیمت‌ها و مفروضات'!$C$18:$C$63),SUMIF('قیمت‌ها و مفروضات'!$A$18:$A$63,O80,'قیمت‌ها و مفروضات'!$B$18:$B$63)))</f>
        <v/>
      </c>
      <c r="S80" s="178">
        <f>'قیمت‌ها و مفروضات'!$B$3+'قیمت‌ها و مفروضات'!$B$4</f>
        <v/>
      </c>
      <c r="T80" s="178">
        <f>R80+S80</f>
        <v/>
      </c>
      <c r="U80" s="178">
        <f>IF(COUNTIF($E$2:E80,E80)&gt;1,"بله (تکراری)","خیر")</f>
        <v/>
      </c>
      <c r="V80" s="178">
        <f>IF(U80="بله (تکراری)",S80,0)</f>
        <v/>
      </c>
      <c r="W80" s="208" t="inlineStr"/>
      <c r="X80" s="208" t="inlineStr"/>
    </row>
    <row r="81" ht="58.5" customHeight="1" s="151">
      <c r="A81" s="176" t="n">
        <v>210011406</v>
      </c>
      <c r="B81" s="124">
        <f>CHOOSE(_xlfn.NUMBERVALUE(MID(H81,6,2)),"فروردین","اردیبهشت","خرداد","تیر","مرداد","شهریور","مهر","آبان","آذر","دی","بهمن","اسفند")</f>
        <v/>
      </c>
      <c r="C81" s="176" t="inlineStr">
        <is>
          <t>یخچال ساید‌بای‌ساید</t>
        </is>
      </c>
      <c r="D81" s="176" t="inlineStr">
        <is>
          <t>C2S-29HS1</t>
        </is>
      </c>
      <c r="E81" s="176" t="inlineStr">
        <is>
          <t>52240001N01659</t>
        </is>
      </c>
      <c r="F81" s="173" t="inlineStr">
        <is>
          <t>تعويض فيلتر - غيرگارانتي</t>
        </is>
      </c>
      <c r="G81" s="173" t="inlineStr">
        <is>
          <t>تعويض فيلتر / غيرگارانتي - سايد باي سايد</t>
        </is>
      </c>
      <c r="H81" s="176" t="inlineStr">
        <is>
          <t>1405/01/17</t>
        </is>
      </c>
      <c r="I81" s="124" t="inlineStr">
        <is>
          <t>1403/08/30</t>
        </is>
      </c>
      <c r="J81" s="124" t="inlineStr">
        <is>
          <t>1404/05/13</t>
        </is>
      </c>
      <c r="K81" s="177">
        <f>IFERROR(VLOOKUP(LEFT(H81,7),'تبدیل تاریخ'!$A$2:$B$73,2,FALSE())+VALUE(RIGHT(H81,2))-1,"")</f>
        <v/>
      </c>
      <c r="L81" s="177">
        <f>IFERROR(VLOOKUP(LEFT(I81,7),'تبدیل تاریخ'!$A$2:$B$73,2,FALSE())+VALUE(RIGHT(I81,2))-1,"")</f>
        <v/>
      </c>
      <c r="M81" s="177">
        <f>IF(J81="","",IFERROR(VLOOKUP(LEFT(J81,7),'تبدیل تاریخ'!$A$2:$B$73,2,FALSE())+VALUE(RIGHT(J81,2))-1,""))</f>
        <v/>
      </c>
      <c r="N81" s="124">
        <f>IF(OR(K81="",M81=""),"",CEILING((K81-M81)/30,1))</f>
        <v/>
      </c>
      <c r="O81" s="124">
        <f>IF(OR(ISNUMBER(SEARCH("بدون مورد",G81)),ISNUMBER(SEARCH("غير گارانتي",G81)),ISNUMBER(SEARCH("غیر گارانتی",G81)),ISNUMBER(SEARCH("بدون اجرت",G81)),ISNUMBER(SEARCH("فيلتر",G81)),ISNUMBER(SEARCH("فیلتر",G81))),"غیرگارانتی/بدون قطعه",IF(OR(ISNUMBER(SEARCH("ريست",G81)),ISNUMBER(SEARCH("ریست",G81))),"ریست نرم‌افزاری (بدون قطعه)",IF(OR(ISNUMBER(SEARCH("تعویض محصول",G81)),ISNUMBER(SEARCH("تعویض دستگاه",G81))),"تعویض کامل دستگاه (Replacement)",IF(ISNUMBER(SEARCH("پمپ",G81)),IF(ISNUMBER(SEARCH("نشت",G81)),"نشتی - پمپ تخلیه (تعمیر/آب‌بندی)","خرابی - پمپ تخلیه (تعویض)"),IF(ISNUMBER(SEARCH("کمپرسور",G81)),"خرابی - کمپرسور (تعویض)",IF(ISNUMBER(SEARCH("کمک فنر",G81)),"خرابی - کمک فنر (تعویض)",IF(ISNUMBER(SEARCH("لولا",G81)),"مکانیزم درب - لولا (تعویض)",IF(OR(ISNUMBER(SEARCH("قلاب",G81)),ISNUMBER(SEARCH("ميکروسوئيچ",G81)),ISNUMBER(SEARCH("میکروسوئیچ",G81))),"مکانیزم درب - میکروسوئیچ/قلاب (تعویض/تنظیم)",IF(ISNUMBER(SEARCH("زبانه",G81)),"مکانیزم درب - زبانه (تعویض)",IF(OR(ISNUMBER(SEARCH("شيلنگ",G81)),ISNUMBER(SEARCH("شیلنگ",G81))),IF(OR(ISNUMBER(SEARCH("نشتی",G81)),ISNUMBER(SEARCH("نشتي",G81))),"نشتی - شیلنگ (تعمیر/آب‌بندی)",IF(OR(ISNUMBER(SEARCH("يخ",G81)),ISNUMBER(SEARCH("یخ",G81))),"شیلنگ یخساز - یخ‌زدگی (بازبینی)","شیلنگ - برخورد/لهیدگی (بازبینی)")),IF(OR(ISNUMBER(SEARCH("تنظيم ديسپل",G81)),ISNUMBER(SEARCH("تنظیم دیسپل",G81)),ISNUMBER(SEARCH("تنظيم صفحه نمايش",G81)),ISNUMBER(SEARCH("تنظیم صفحه نمایش",G81))),"تنظیم - تنظیمات دستگاه/دیسپلی (تعمیر)",IF(OR(ISNUMBER(SEARCH("برد",G81)),ISNUMBER(SEARCH("سوکت",G81)),ISNUMBER(SEARCH("ديسپل",G81)),ISNUMBER(SEARCH("دیسپل",G81))),"خرابی - برد الکترونیک (تعویض)",IF(OR(ISNUMBER(SEARCH("يخساز",G81)),ISNUMBER(SEARCH("یخساز",G81)),ISNUMBER(SEARCH("دمپر",G81))),IF(OR(ISNUMBER(SEARCH("خرابی",G81)),ISNUMBER(SEARCH("خراب",G81)),ISNUMBER(SEARCH("عدم کارکرد",G81)),ISNUMBER(SEARCH("عدم عملکرد",G81))),"یخساز - خرابی موتور/سنسور/برد (تعویض)","یخساز - تنظیم/عایق (تعمیر)"),IF(OR(ISNUMBER(SEARCH("لاستيک",G81)),ISNUMBER(SEARCH("لاستیک",G81))),"لاستیک درزگیر - دفرمگی/پارگی (تعویض)",IF(OR(ISNUMBER(SEARCH("گسکت",G81)),ISNUMBER(SEARCH("گسگت",G81))),"لاستیک درزگیر - دفرمگی/پارگی (تعویض)",IF(ISNUMBER(SEARCH("مخزن نمک",G81)),"نشتی - درب مخزن نمک (تعمیر/آب‌بندی)",IF(ISNUMBER(SEARCH("براکت",G81)),"نشتی - براکت ریل (تعمیر/آب‌بندی)",IF(ISNUMBER(SEARCH("جاپودر",G81)),"نشتی - جاپودری (تعمیر/آب‌بندی)",IF(ISNUMBER(SEARCH("مقسم",G81)),"نشتی - مقسم آب (تعمیر/آب‌بندی)",IF(OR(ISNUMBER(SEARCH("سنسور دما",G81)),ISNUMBER(SEARCH("ترموستات",G81))),"خرابی - ترموستات (تعویض)",IF(OR(ISNUMBER(SEARCH("هيدروستات",G81)),ISNUMBER(SEARCH("هیدروستات",G81))),"خرابی - هیدروستات (تعویض)",IF(OR(ISNUMBER(SEARCH("بلبرينگ",G81)),ISNUMBER(SEARCH("بلبرینگ",G81))),"خرابی - بلبرینگ (تعویض)",IF(OR(ISNUMBER(SEARCH("شيربرق",G81)),ISNUMBER(SEARCH("شیربرق",G81))),"خرابی - شیربرقی (تعویض)",IF(OR(ISNUMBER(SEARCH("واتر جت",G81)),ISNUMBER(SEARCH("واترجت",G81))),"خرابی - واترجت (تعویض)",IF(OR(ISNUMBER(SEARCH("سيم",G81)),ISNUMBER(SEARCH("سیم",G81)),ISNUMBER(SEARCH("اتصال",G81))),"سیم‌کشی/اتصالات (تعویض/بازبینی)",IF(OR(ISNUMBER(SEARCH("تصوير",G81)),ISNUMBER(SEARCH("تصویر",G81))),"برد نمایش تلویزیون (تعویض)",IF(OR(ISNUMBER(SEARCH("ريموت",G81)),ISNUMBER(SEARCH("ریموت",G81))),"ریموت کنترل (تعویض/تعمیر)",IF(OR(ISNUMBER(SEARCH("ال اي دي",G81)),ISNUMBER(SEARCH("ال ای دی",G81)),ISNUMBER(SEARCH("LED",G81))),"خرابی - لامپ/LED داخلی (تعویض)",IF(ISNUMBER(SEARCH("زنگ زدگ",G81)),"زنگ‌زدگی بدنه/قطعه (تعویض)",IF(OR(ISNUMBER(SEARCH("قطعات تزئين",G81)),ISNUMBER(SEARCH("قطعات تزئین",G81))),"قطعات تزئینی - شکستگی/کسری (تعویض)",IF(ISNUMBER(SEARCH("سبد",G81)),"سبد ظرفشویی - شکستگی (تعویض)",IF(ISNUMBER(SEARCH("تاب درام",G81)),"خرابی - تاب برداشتن درام (تعویض)",IF(ISNUMBER(SEARCH("درام",G81)),"خرابی - سایر ایراد درام (تعویض)",IF(ISNUMBER(SEARCH("موتور",G81)),"خرابی - موتور (تعویض)",IF(ISNUMBER(SEARCH("تسمه",G81)),"خرابی - تسمه (تعویض)",IF(OR(ISNUMBER(SEARCH("پيچ ولوم",G81)),ISNUMBER(SEARCH("پیچ ولوم",G81))),"تنظیم - پیچ ولوم/دکمه (تعمیر)",IF(OR(ISNUMBER(SEARCH("کسري قطعات",G81)),ISNUMBER(SEARCH("کسری قطعات",G81))),"کسری قطعات تزئینی (تعویض)",IF(ISNUMBER(SEARCH("پرچ",G81)),"پرچ/بدنه کابین(تعمیر)",IF(OR(ISNUMBER(SEARCH("نشت",G81)),ISNUMBER(SEARCH("آبريزش",G81)),ISNUMBER(SEARCH("آبریزش",G81))),"نشتی آب - محل نامشخص (نیازمند بازدید)",IF(ISNUMBER(SEARCH("درب",G81)),"سایر اجزای درب (بازبینی)",IF(ISNUMBER(SEARCH("ضربه",G81)),"بدنه/کابین - ضربه (بازبینی/تعویض پنل)",IF(ISNUMBER(SEARCH("تراز",G81)),"تراز/لرزش - نصب (رگلاژ پایه)",IF(OR(ISNUMBER(SEARCH("تعویض",G81)),ISNUMBER(SEARCH("تعويض",G81))),"تعویض کامل دستگاه (Replacement)","سایر (نیازمند بررسی دستی)")))))))))))))))))))))))))))))))))))))))))))</f>
        <v/>
      </c>
      <c r="P81" s="124" t="inlineStr">
        <is>
          <t>*</t>
        </is>
      </c>
      <c r="Q81" s="124">
        <f>IF(ISNUMBER(SEARCH("عهده شرکت",F81)),"شرکت",IF(ISNUMBER(SEARCH("عهده مشتري",F81)),"مشتری",IF(ISNUMBER(SEARCH("عهده مشتری",F81)),"مشتری","نامشخص")))</f>
        <v/>
      </c>
      <c r="R81" s="178">
        <f>IF(O81="تعویض کامل دستگاه (Replacement)",IF(SUMIF('قیمت‌ها و مفروضات'!$A$9:$A$13,C81,'قیمت‌ها و مفروضات'!$C$9:$C$13)&lt;&gt;0,SUMIF('قیمت‌ها و مفروضات'!$A$9:$A$13,C81,'قیمت‌ها و مفروضات'!$C$9:$C$13),SUMIF('قیمت‌ها و مفروضات'!$A$9:$A$13,C81,'قیمت‌ها و مفروضات'!$B$9:$B$13)),IF(SUMIF('قیمت‌ها و مفروضات'!$A$18:$A$63,O81,'قیمت‌ها و مفروضات'!$C$18:$C$63)&lt;&gt;0,SUMIF('قیمت‌ها و مفروضات'!$A$18:$A$63,O81,'قیمت‌ها و مفروضات'!$C$18:$C$63),SUMIF('قیمت‌ها و مفروضات'!$A$18:$A$63,O81,'قیمت‌ها و مفروضات'!$B$18:$B$63)))</f>
        <v/>
      </c>
      <c r="S81" s="178">
        <f>'قیمت‌ها و مفروضات'!$B$3+'قیمت‌ها و مفروضات'!$B$4</f>
        <v/>
      </c>
      <c r="T81" s="178">
        <f>R81+S81</f>
        <v/>
      </c>
      <c r="U81" s="178">
        <f>IF(COUNTIF($E$2:E81,E81)&gt;1,"بله (تکراری)","خیر")</f>
        <v/>
      </c>
      <c r="V81" s="178">
        <f>IF(U81="بله (تکراری)",S81,0)</f>
        <v/>
      </c>
      <c r="W81" s="208" t="inlineStr"/>
      <c r="X81" s="208" t="inlineStr"/>
    </row>
    <row r="82" ht="58.5" customHeight="1" s="151">
      <c r="A82" s="176" t="n">
        <v>130006277</v>
      </c>
      <c r="B82" s="124">
        <f>CHOOSE(_xlfn.NUMBERVALUE(MID(H82,6,2)),"فروردین","اردیبهشت","خرداد","تیر","مرداد","شهریور","مهر","آبان","آذر","دی","بهمن","اسفند")</f>
        <v/>
      </c>
      <c r="C82" s="176" t="inlineStr">
        <is>
          <t>ماشين ظرفشويي</t>
        </is>
      </c>
      <c r="D82" s="176" t="inlineStr">
        <is>
          <t>CDW-H16T</t>
        </is>
      </c>
      <c r="E82" s="176" t="inlineStr">
        <is>
          <t>52220004N05131</t>
        </is>
      </c>
      <c r="F82" s="173" t="inlineStr">
        <is>
          <t>خطاي F11**اياب و ذهاب به عهده شرکت</t>
        </is>
      </c>
      <c r="G82" s="124" t="inlineStr">
        <is>
          <t>نشتي پمپ تخليه</t>
        </is>
      </c>
      <c r="H82" s="176" t="inlineStr">
        <is>
          <t>1405/01/24</t>
        </is>
      </c>
      <c r="I82" s="124" t="inlineStr">
        <is>
          <t>1404/08/29</t>
        </is>
      </c>
      <c r="J82" s="124" t="inlineStr">
        <is>
          <t>1404/09/09</t>
        </is>
      </c>
      <c r="K82" s="177">
        <f>IFERROR(VLOOKUP(LEFT(H82,7),'تبدیل تاریخ'!$A$2:$B$73,2,FALSE())+VALUE(RIGHT(H82,2))-1,"")</f>
        <v/>
      </c>
      <c r="L82" s="177">
        <f>IFERROR(VLOOKUP(LEFT(I82,7),'تبدیل تاریخ'!$A$2:$B$73,2,FALSE())+VALUE(RIGHT(I82,2))-1,"")</f>
        <v/>
      </c>
      <c r="M82" s="177">
        <f>IF(J82="","",IFERROR(VLOOKUP(LEFT(J82,7),'تبدیل تاریخ'!$A$2:$B$73,2,FALSE())+VALUE(RIGHT(J82,2))-1,""))</f>
        <v/>
      </c>
      <c r="N82" s="124">
        <f>IF(OR(K82="",M82=""),"",CEILING((K82-M82)/30,1))</f>
        <v/>
      </c>
      <c r="O82" s="124">
        <f>IF(OR(ISNUMBER(SEARCH("بدون مورد",G82)),ISNUMBER(SEARCH("غير گارانتي",G82)),ISNUMBER(SEARCH("غیر گارانتی",G82)),ISNUMBER(SEARCH("بدون اجرت",G82)),ISNUMBER(SEARCH("فيلتر",G82)),ISNUMBER(SEARCH("فیلتر",G82))),"غیرگارانتی/بدون قطعه",IF(OR(ISNUMBER(SEARCH("ريست",G82)),ISNUMBER(SEARCH("ریست",G82))),"ریست نرم‌افزاری (بدون قطعه)",IF(OR(ISNUMBER(SEARCH("تعویض محصول",G82)),ISNUMBER(SEARCH("تعویض دستگاه",G82))),"تعویض کامل دستگاه (Replacement)",IF(ISNUMBER(SEARCH("پمپ",G82)),IF(ISNUMBER(SEARCH("نشت",G82)),"نشتی - پمپ تخلیه (تعمیر/آب‌بندی)","خرابی - پمپ تخلیه (تعویض)"),IF(ISNUMBER(SEARCH("کمپرسور",G82)),"خرابی - کمپرسور (تعویض)",IF(ISNUMBER(SEARCH("کمک فنر",G82)),"خرابی - کمک فنر (تعویض)",IF(ISNUMBER(SEARCH("لولا",G82)),"مکانیزم درب - لولا (تعویض)",IF(OR(ISNUMBER(SEARCH("قلاب",G82)),ISNUMBER(SEARCH("ميکروسوئيچ",G82)),ISNUMBER(SEARCH("میکروسوئیچ",G82))),"مکانیزم درب - میکروسوئیچ/قلاب (تعویض/تنظیم)",IF(ISNUMBER(SEARCH("زبانه",G82)),"مکانیزم درب - زبانه (تعویض)",IF(OR(ISNUMBER(SEARCH("شيلنگ",G82)),ISNUMBER(SEARCH("شیلنگ",G82))),IF(OR(ISNUMBER(SEARCH("نشتی",G82)),ISNUMBER(SEARCH("نشتي",G82))),"نشتی - شیلنگ (تعمیر/آب‌بندی)",IF(OR(ISNUMBER(SEARCH("يخ",G82)),ISNUMBER(SEARCH("یخ",G82))),"شیلنگ یخساز - یخ‌زدگی (بازبینی)","شیلنگ - برخورد/لهیدگی (بازبینی)")),IF(OR(ISNUMBER(SEARCH("تنظيم ديسپل",G82)),ISNUMBER(SEARCH("تنظیم دیسپل",G82)),ISNUMBER(SEARCH("تنظيم صفحه نمايش",G82)),ISNUMBER(SEARCH("تنظیم صفحه نمایش",G82))),"تنظیم - تنظیمات دستگاه/دیسپلی (تعمیر)",IF(OR(ISNUMBER(SEARCH("برد",G82)),ISNUMBER(SEARCH("سوکت",G82)),ISNUMBER(SEARCH("ديسپل",G82)),ISNUMBER(SEARCH("دیسپل",G82))),"خرابی - برد الکترونیک (تعویض)",IF(OR(ISNUMBER(SEARCH("يخساز",G82)),ISNUMBER(SEARCH("یخساز",G82)),ISNUMBER(SEARCH("دمپر",G82))),IF(OR(ISNUMBER(SEARCH("خرابی",G82)),ISNUMBER(SEARCH("خراب",G82)),ISNUMBER(SEARCH("عدم کارکرد",G82)),ISNUMBER(SEARCH("عدم عملکرد",G82))),"یخساز - خرابی موتور/سنسور/برد (تعویض)","یخساز - تنظیم/عایق (تعمیر)"),IF(OR(ISNUMBER(SEARCH("لاستيک",G82)),ISNUMBER(SEARCH("لاستیک",G82))),"لاستیک درزگیر - دفرمگی/پارگی (تعویض)",IF(OR(ISNUMBER(SEARCH("گسکت",G82)),ISNUMBER(SEARCH("گسگت",G82))),"لاستیک درزگیر - دفرمگی/پارگی (تعویض)",IF(ISNUMBER(SEARCH("مخزن نمک",G82)),"نشتی - درب مخزن نمک (تعمیر/آب‌بندی)",IF(ISNUMBER(SEARCH("براکت",G82)),"نشتی - براکت ریل (تعمیر/آب‌بندی)",IF(ISNUMBER(SEARCH("جاپودر",G82)),"نشتی - جاپودری (تعمیر/آب‌بندی)",IF(ISNUMBER(SEARCH("مقسم",G82)),"نشتی - مقسم آب (تعمیر/آب‌بندی)",IF(OR(ISNUMBER(SEARCH("سنسور دما",G82)),ISNUMBER(SEARCH("ترموستات",G82))),"خرابی - ترموستات (تعویض)",IF(OR(ISNUMBER(SEARCH("هيدروستات",G82)),ISNUMBER(SEARCH("هیدروستات",G82))),"خرابی - هیدروستات (تعویض)",IF(OR(ISNUMBER(SEARCH("بلبرينگ",G82)),ISNUMBER(SEARCH("بلبرینگ",G82))),"خرابی - بلبرینگ (تعویض)",IF(OR(ISNUMBER(SEARCH("شيربرق",G82)),ISNUMBER(SEARCH("شیربرق",G82))),"خرابی - شیربرقی (تعویض)",IF(OR(ISNUMBER(SEARCH("واتر جت",G82)),ISNUMBER(SEARCH("واترجت",G82))),"خرابی - واترجت (تعویض)",IF(OR(ISNUMBER(SEARCH("سيم",G82)),ISNUMBER(SEARCH("سیم",G82)),ISNUMBER(SEARCH("اتصال",G82))),"سیم‌کشی/اتصالات (تعویض/بازبینی)",IF(OR(ISNUMBER(SEARCH("تصوير",G82)),ISNUMBER(SEARCH("تصویر",G82))),"برد نمایش تلویزیون (تعویض)",IF(OR(ISNUMBER(SEARCH("ريموت",G82)),ISNUMBER(SEARCH("ریموت",G82))),"ریموت کنترل (تعویض/تعمیر)",IF(OR(ISNUMBER(SEARCH("ال اي دي",G82)),ISNUMBER(SEARCH("ال ای دی",G82)),ISNUMBER(SEARCH("LED",G82))),"خرابی - لامپ/LED داخلی (تعویض)",IF(ISNUMBER(SEARCH("زنگ زدگ",G82)),"زنگ‌زدگی بدنه/قطعه (تعویض)",IF(OR(ISNUMBER(SEARCH("قطعات تزئين",G82)),ISNUMBER(SEARCH("قطعات تزئین",G82))),"قطعات تزئینی - شکستگی/کسری (تعویض)",IF(ISNUMBER(SEARCH("سبد",G82)),"سبد ظرفشویی - شکستگی (تعویض)",IF(ISNUMBER(SEARCH("تاب درام",G82)),"خرابی - تاب برداشتن درام (تعویض)",IF(ISNUMBER(SEARCH("درام",G82)),"خرابی - سایر ایراد درام (تعویض)",IF(ISNUMBER(SEARCH("موتور",G82)),"خرابی - موتور (تعویض)",IF(ISNUMBER(SEARCH("تسمه",G82)),"خرابی - تسمه (تعویض)",IF(OR(ISNUMBER(SEARCH("پيچ ولوم",G82)),ISNUMBER(SEARCH("پیچ ولوم",G82))),"تنظیم - پیچ ولوم/دکمه (تعمیر)",IF(OR(ISNUMBER(SEARCH("کسري قطعات",G82)),ISNUMBER(SEARCH("کسری قطعات",G82))),"کسری قطعات تزئینی (تعویض)",IF(ISNUMBER(SEARCH("پرچ",G82)),"پرچ/بدنه کابین(تعمیر)",IF(OR(ISNUMBER(SEARCH("نشت",G82)),ISNUMBER(SEARCH("آبريزش",G82)),ISNUMBER(SEARCH("آبریزش",G82))),"نشتی آب - محل نامشخص (نیازمند بازدید)",IF(ISNUMBER(SEARCH("درب",G82)),"سایر اجزای درب (بازبینی)",IF(ISNUMBER(SEARCH("ضربه",G82)),"بدنه/کابین - ضربه (بازبینی/تعویض پنل)",IF(ISNUMBER(SEARCH("تراز",G82)),"تراز/لرزش - نصب (رگلاژ پایه)",IF(OR(ISNUMBER(SEARCH("تعویض",G82)),ISNUMBER(SEARCH("تعويض",G82))),"تعویض کامل دستگاه (Replacement)","سایر (نیازمند بررسی دستی)")))))))))))))))))))))))))))))))))))))))))))</f>
        <v/>
      </c>
      <c r="P82" s="124" t="inlineStr">
        <is>
          <t>*</t>
        </is>
      </c>
      <c r="Q82" s="124">
        <f>IF(ISNUMBER(SEARCH("عهده شرکت",F82)),"شرکت",IF(ISNUMBER(SEARCH("عهده مشتري",F82)),"مشتری",IF(ISNUMBER(SEARCH("عهده مشتری",F82)),"مشتری","نامشخص")))</f>
        <v/>
      </c>
      <c r="R82" s="178">
        <f>IF(O82="تعویض کامل دستگاه (Replacement)",IF(SUMIF('قیمت‌ها و مفروضات'!$A$9:$A$13,C82,'قیمت‌ها و مفروضات'!$C$9:$C$13)&lt;&gt;0,SUMIF('قیمت‌ها و مفروضات'!$A$9:$A$13,C82,'قیمت‌ها و مفروضات'!$C$9:$C$13),SUMIF('قیمت‌ها و مفروضات'!$A$9:$A$13,C82,'قیمت‌ها و مفروضات'!$B$9:$B$13)),IF(SUMIF('قیمت‌ها و مفروضات'!$A$18:$A$63,O82,'قیمت‌ها و مفروضات'!$C$18:$C$63)&lt;&gt;0,SUMIF('قیمت‌ها و مفروضات'!$A$18:$A$63,O82,'قیمت‌ها و مفروضات'!$C$18:$C$63),SUMIF('قیمت‌ها و مفروضات'!$A$18:$A$63,O82,'قیمت‌ها و مفروضات'!$B$18:$B$63)))</f>
        <v/>
      </c>
      <c r="S82" s="178">
        <f>'قیمت‌ها و مفروضات'!$B$3+'قیمت‌ها و مفروضات'!$B$4</f>
        <v/>
      </c>
      <c r="T82" s="178">
        <f>R82+S82</f>
        <v/>
      </c>
      <c r="U82" s="178">
        <f>IF(COUNTIF($E$2:E82,E82)&gt;1,"بله (تکراری)","خیر")</f>
        <v/>
      </c>
      <c r="V82" s="178">
        <f>IF(U82="بله (تکراری)",S82,0)</f>
        <v/>
      </c>
      <c r="W82" s="208" t="inlineStr"/>
      <c r="X82" s="208" t="inlineStr"/>
    </row>
    <row r="83" ht="58.5" customHeight="1" s="151">
      <c r="A83" s="176" t="n">
        <v>210011669</v>
      </c>
      <c r="B83" s="124">
        <f>CHOOSE(_xlfn.NUMBERVALUE(MID(H83,6,2)),"فروردین","اردیبهشت","خرداد","تیر","مرداد","شهریور","مهر","آبان","آذر","دی","بهمن","اسفند")</f>
        <v/>
      </c>
      <c r="C83" s="176" t="inlineStr">
        <is>
          <t>یخچال ساید‌بای‌ساید</t>
        </is>
      </c>
      <c r="D83" s="176" t="inlineStr">
        <is>
          <t>C2S-29HS1</t>
        </is>
      </c>
      <c r="E83" s="176" t="inlineStr">
        <is>
          <t>52240001N01024</t>
        </is>
      </c>
      <c r="F83" s="173" t="inlineStr">
        <is>
          <t>تعويض فيلتر - غيرگارانتي</t>
        </is>
      </c>
      <c r="G83" s="173" t="inlineStr">
        <is>
          <t>تعويض فيلتر / غيرگارانتي - سايد باي سايد</t>
        </is>
      </c>
      <c r="H83" s="176" t="inlineStr">
        <is>
          <t>1405/01/16</t>
        </is>
      </c>
      <c r="I83" s="124" t="inlineStr">
        <is>
          <t>1403/04/13</t>
        </is>
      </c>
      <c r="J83" s="124" t="inlineStr">
        <is>
          <t>1404/06/04</t>
        </is>
      </c>
      <c r="K83" s="177">
        <f>IFERROR(VLOOKUP(LEFT(H83,7),'تبدیل تاریخ'!$A$2:$B$73,2,FALSE())+VALUE(RIGHT(H83,2))-1,"")</f>
        <v/>
      </c>
      <c r="L83" s="177">
        <f>IFERROR(VLOOKUP(LEFT(I83,7),'تبدیل تاریخ'!$A$2:$B$73,2,FALSE())+VALUE(RIGHT(I83,2))-1,"")</f>
        <v/>
      </c>
      <c r="M83" s="177">
        <f>IF(J83="","",IFERROR(VLOOKUP(LEFT(J83,7),'تبدیل تاریخ'!$A$2:$B$73,2,FALSE())+VALUE(RIGHT(J83,2))-1,""))</f>
        <v/>
      </c>
      <c r="N83" s="124">
        <f>IF(OR(K83="",M83=""),"",CEILING((K83-M83)/30,1))</f>
        <v/>
      </c>
      <c r="O83" s="124">
        <f>IF(OR(ISNUMBER(SEARCH("بدون مورد",G83)),ISNUMBER(SEARCH("غير گارانتي",G83)),ISNUMBER(SEARCH("غیر گارانتی",G83)),ISNUMBER(SEARCH("بدون اجرت",G83)),ISNUMBER(SEARCH("فيلتر",G83)),ISNUMBER(SEARCH("فیلتر",G83))),"غیرگارانتی/بدون قطعه",IF(OR(ISNUMBER(SEARCH("ريست",G83)),ISNUMBER(SEARCH("ریست",G83))),"ریست نرم‌افزاری (بدون قطعه)",IF(OR(ISNUMBER(SEARCH("تعویض محصول",G83)),ISNUMBER(SEARCH("تعویض دستگاه",G83))),"تعویض کامل دستگاه (Replacement)",IF(ISNUMBER(SEARCH("پمپ",G83)),IF(ISNUMBER(SEARCH("نشت",G83)),"نشتی - پمپ تخلیه (تعمیر/آب‌بندی)","خرابی - پمپ تخلیه (تعویض)"),IF(ISNUMBER(SEARCH("کمپرسور",G83)),"خرابی - کمپرسور (تعویض)",IF(ISNUMBER(SEARCH("کمک فنر",G83)),"خرابی - کمک فنر (تعویض)",IF(ISNUMBER(SEARCH("لولا",G83)),"مکانیزم درب - لولا (تعویض)",IF(OR(ISNUMBER(SEARCH("قلاب",G83)),ISNUMBER(SEARCH("ميکروسوئيچ",G83)),ISNUMBER(SEARCH("میکروسوئیچ",G83))),"مکانیزم درب - میکروسوئیچ/قلاب (تعویض/تنظیم)",IF(ISNUMBER(SEARCH("زبانه",G83)),"مکانیزم درب - زبانه (تعویض)",IF(OR(ISNUMBER(SEARCH("شيلنگ",G83)),ISNUMBER(SEARCH("شیلنگ",G83))),IF(OR(ISNUMBER(SEARCH("نشتی",G83)),ISNUMBER(SEARCH("نشتي",G83))),"نشتی - شیلنگ (تعمیر/آب‌بندی)",IF(OR(ISNUMBER(SEARCH("يخ",G83)),ISNUMBER(SEARCH("یخ",G83))),"شیلنگ یخساز - یخ‌زدگی (بازبینی)","شیلنگ - برخورد/لهیدگی (بازبینی)")),IF(OR(ISNUMBER(SEARCH("تنظيم ديسپل",G83)),ISNUMBER(SEARCH("تنظیم دیسپل",G83)),ISNUMBER(SEARCH("تنظيم صفحه نمايش",G83)),ISNUMBER(SEARCH("تنظیم صفحه نمایش",G83))),"تنظیم - تنظیمات دستگاه/دیسپلی (تعمیر)",IF(OR(ISNUMBER(SEARCH("برد",G83)),ISNUMBER(SEARCH("سوکت",G83)),ISNUMBER(SEARCH("ديسپل",G83)),ISNUMBER(SEARCH("دیسپل",G83))),"خرابی - برد الکترونیک (تعویض)",IF(OR(ISNUMBER(SEARCH("يخساز",G83)),ISNUMBER(SEARCH("یخساز",G83)),ISNUMBER(SEARCH("دمپر",G83))),IF(OR(ISNUMBER(SEARCH("خرابی",G83)),ISNUMBER(SEARCH("خراب",G83)),ISNUMBER(SEARCH("عدم کارکرد",G83)),ISNUMBER(SEARCH("عدم عملکرد",G83))),"یخساز - خرابی موتور/سنسور/برد (تعویض)","یخساز - تنظیم/عایق (تعمیر)"),IF(OR(ISNUMBER(SEARCH("لاستيک",G83)),ISNUMBER(SEARCH("لاستیک",G83))),"لاستیک درزگیر - دفرمگی/پارگی (تعویض)",IF(OR(ISNUMBER(SEARCH("گسکت",G83)),ISNUMBER(SEARCH("گسگت",G83))),"لاستیک درزگیر - دفرمگی/پارگی (تعویض)",IF(ISNUMBER(SEARCH("مخزن نمک",G83)),"نشتی - درب مخزن نمک (تعمیر/آب‌بندی)",IF(ISNUMBER(SEARCH("براکت",G83)),"نشتی - براکت ریل (تعمیر/آب‌بندی)",IF(ISNUMBER(SEARCH("جاپودر",G83)),"نشتی - جاپودری (تعمیر/آب‌بندی)",IF(ISNUMBER(SEARCH("مقسم",G83)),"نشتی - مقسم آب (تعمیر/آب‌بندی)",IF(OR(ISNUMBER(SEARCH("سنسور دما",G83)),ISNUMBER(SEARCH("ترموستات",G83))),"خرابی - ترموستات (تعویض)",IF(OR(ISNUMBER(SEARCH("هيدروستات",G83)),ISNUMBER(SEARCH("هیدروستات",G83))),"خرابی - هیدروستات (تعویض)",IF(OR(ISNUMBER(SEARCH("بلبرينگ",G83)),ISNUMBER(SEARCH("بلبرینگ",G83))),"خرابی - بلبرینگ (تعویض)",IF(OR(ISNUMBER(SEARCH("شيربرق",G83)),ISNUMBER(SEARCH("شیربرق",G83))),"خرابی - شیربرقی (تعویض)",IF(OR(ISNUMBER(SEARCH("واتر جت",G83)),ISNUMBER(SEARCH("واترجت",G83))),"خرابی - واترجت (تعویض)",IF(OR(ISNUMBER(SEARCH("سيم",G83)),ISNUMBER(SEARCH("سیم",G83)),ISNUMBER(SEARCH("اتصال",G83))),"سیم‌کشی/اتصالات (تعویض/بازبینی)",IF(OR(ISNUMBER(SEARCH("تصوير",G83)),ISNUMBER(SEARCH("تصویر",G83))),"برد نمایش تلویزیون (تعویض)",IF(OR(ISNUMBER(SEARCH("ريموت",G83)),ISNUMBER(SEARCH("ریموت",G83))),"ریموت کنترل (تعویض/تعمیر)",IF(OR(ISNUMBER(SEARCH("ال اي دي",G83)),ISNUMBER(SEARCH("ال ای دی",G83)),ISNUMBER(SEARCH("LED",G83))),"خرابی - لامپ/LED داخلی (تعویض)",IF(ISNUMBER(SEARCH("زنگ زدگ",G83)),"زنگ‌زدگی بدنه/قطعه (تعویض)",IF(OR(ISNUMBER(SEARCH("قطعات تزئين",G83)),ISNUMBER(SEARCH("قطعات تزئین",G83))),"قطعات تزئینی - شکستگی/کسری (تعویض)",IF(ISNUMBER(SEARCH("سبد",G83)),"سبد ظرفشویی - شکستگی (تعویض)",IF(ISNUMBER(SEARCH("تاب درام",G83)),"خرابی - تاب برداشتن درام (تعویض)",IF(ISNUMBER(SEARCH("درام",G83)),"خرابی - سایر ایراد درام (تعویض)",IF(ISNUMBER(SEARCH("موتور",G83)),"خرابی - موتور (تعویض)",IF(ISNUMBER(SEARCH("تسمه",G83)),"خرابی - تسمه (تعویض)",IF(OR(ISNUMBER(SEARCH("پيچ ولوم",G83)),ISNUMBER(SEARCH("پیچ ولوم",G83))),"تنظیم - پیچ ولوم/دکمه (تعمیر)",IF(OR(ISNUMBER(SEARCH("کسري قطعات",G83)),ISNUMBER(SEARCH("کسری قطعات",G83))),"کسری قطعات تزئینی (تعویض)",IF(ISNUMBER(SEARCH("پرچ",G83)),"پرچ/بدنه کابین(تعمیر)",IF(OR(ISNUMBER(SEARCH("نشت",G83)),ISNUMBER(SEARCH("آبريزش",G83)),ISNUMBER(SEARCH("آبریزش",G83))),"نشتی آب - محل نامشخص (نیازمند بازدید)",IF(ISNUMBER(SEARCH("درب",G83)),"سایر اجزای درب (بازبینی)",IF(ISNUMBER(SEARCH("ضربه",G83)),"بدنه/کابین - ضربه (بازبینی/تعویض پنل)",IF(ISNUMBER(SEARCH("تراز",G83)),"تراز/لرزش - نصب (رگلاژ پایه)",IF(OR(ISNUMBER(SEARCH("تعویض",G83)),ISNUMBER(SEARCH("تعويض",G83))),"تعویض کامل دستگاه (Replacement)","سایر (نیازمند بررسی دستی)")))))))))))))))))))))))))))))))))))))))))))</f>
        <v/>
      </c>
      <c r="P83" s="124" t="inlineStr">
        <is>
          <t>*</t>
        </is>
      </c>
      <c r="Q83" s="124">
        <f>IF(ISNUMBER(SEARCH("عهده شرکت",F83)),"شرکت",IF(ISNUMBER(SEARCH("عهده مشتري",F83)),"مشتری",IF(ISNUMBER(SEARCH("عهده مشتری",F83)),"مشتری","نامشخص")))</f>
        <v/>
      </c>
      <c r="R83" s="178">
        <f>IF(O83="تعویض کامل دستگاه (Replacement)",IF(SUMIF('قیمت‌ها و مفروضات'!$A$9:$A$13,C83,'قیمت‌ها و مفروضات'!$C$9:$C$13)&lt;&gt;0,SUMIF('قیمت‌ها و مفروضات'!$A$9:$A$13,C83,'قیمت‌ها و مفروضات'!$C$9:$C$13),SUMIF('قیمت‌ها و مفروضات'!$A$9:$A$13,C83,'قیمت‌ها و مفروضات'!$B$9:$B$13)),IF(SUMIF('قیمت‌ها و مفروضات'!$A$18:$A$63,O83,'قیمت‌ها و مفروضات'!$C$18:$C$63)&lt;&gt;0,SUMIF('قیمت‌ها و مفروضات'!$A$18:$A$63,O83,'قیمت‌ها و مفروضات'!$C$18:$C$63),SUMIF('قیمت‌ها و مفروضات'!$A$18:$A$63,O83,'قیمت‌ها و مفروضات'!$B$18:$B$63)))</f>
        <v/>
      </c>
      <c r="S83" s="178">
        <f>'قیمت‌ها و مفروضات'!$B$3+'قیمت‌ها و مفروضات'!$B$4</f>
        <v/>
      </c>
      <c r="T83" s="178">
        <f>R83+S83</f>
        <v/>
      </c>
      <c r="U83" s="178">
        <f>IF(COUNTIF($E$2:E83,E83)&gt;1,"بله (تکراری)","خیر")</f>
        <v/>
      </c>
      <c r="V83" s="178">
        <f>IF(U83="بله (تکراری)",S83,0)</f>
        <v/>
      </c>
      <c r="W83" s="208" t="inlineStr"/>
      <c r="X83" s="208" t="inlineStr"/>
    </row>
    <row r="84" ht="58.5" customHeight="1" s="151">
      <c r="A84" s="176" t="n">
        <v>210006037</v>
      </c>
      <c r="B84" s="124">
        <f>CHOOSE(_xlfn.NUMBERVALUE(MID(H84,6,2)),"فروردین","اردیبهشت","خرداد","تیر","مرداد","شهریور","مهر","آبان","آذر","دی","بهمن","اسفند")</f>
        <v/>
      </c>
      <c r="C84" s="176" t="inlineStr">
        <is>
          <t>يخچال ميني</t>
        </is>
      </c>
      <c r="D84" s="176" t="inlineStr">
        <is>
          <t>MINI-R (BK01)</t>
        </is>
      </c>
      <c r="E84" s="176" t="inlineStr">
        <is>
          <t>52240002N00380</t>
        </is>
      </c>
      <c r="F84" s="173" t="inlineStr">
        <is>
          <t>رنگ پريدگي درب اياب و ذهاب به عهده شرکت</t>
        </is>
      </c>
      <c r="G84" s="173" t="inlineStr">
        <is>
          <t>رنگ پريدگي درب - يخچال ميني</t>
        </is>
      </c>
      <c r="H84" s="176" t="inlineStr">
        <is>
          <t>1405/01/19</t>
        </is>
      </c>
      <c r="I84" s="124" t="inlineStr">
        <is>
          <t>1403/10/26</t>
        </is>
      </c>
      <c r="J84" s="124" t="inlineStr">
        <is>
          <t>1403/10/26</t>
        </is>
      </c>
      <c r="K84" s="177">
        <f>IFERROR(VLOOKUP(LEFT(H84,7),'تبدیل تاریخ'!$A$2:$B$73,2,FALSE())+VALUE(RIGHT(H84,2))-1,"")</f>
        <v/>
      </c>
      <c r="L84" s="177">
        <f>IFERROR(VLOOKUP(LEFT(I84,7),'تبدیل تاریخ'!$A$2:$B$73,2,FALSE())+VALUE(RIGHT(I84,2))-1,"")</f>
        <v/>
      </c>
      <c r="M84" s="177">
        <f>IF(J84="","",IFERROR(VLOOKUP(LEFT(J84,7),'تبدیل تاریخ'!$A$2:$B$73,2,FALSE())+VALUE(RIGHT(J84,2))-1,""))</f>
        <v/>
      </c>
      <c r="N84" s="124">
        <f>IF(OR(K84="",M84=""),"",CEILING((K84-M84)/30,1))</f>
        <v/>
      </c>
      <c r="O84" s="124">
        <f>IF(OR(ISNUMBER(SEARCH("بدون مورد",G84)),ISNUMBER(SEARCH("غير گارانتي",G84)),ISNUMBER(SEARCH("غیر گارانتی",G84)),ISNUMBER(SEARCH("بدون اجرت",G84)),ISNUMBER(SEARCH("فيلتر",G84)),ISNUMBER(SEARCH("فیلتر",G84))),"غیرگارانتی/بدون قطعه",IF(OR(ISNUMBER(SEARCH("ريست",G84)),ISNUMBER(SEARCH("ریست",G84))),"ریست نرم‌افزاری (بدون قطعه)",IF(OR(ISNUMBER(SEARCH("تعویض محصول",G84)),ISNUMBER(SEARCH("تعویض دستگاه",G84))),"تعویض کامل دستگاه (Replacement)",IF(ISNUMBER(SEARCH("پمپ",G84)),IF(ISNUMBER(SEARCH("نشت",G84)),"نشتی - پمپ تخلیه (تعمیر/آب‌بندی)","خرابی - پمپ تخلیه (تعویض)"),IF(ISNUMBER(SEARCH("کمپرسور",G84)),"خرابی - کمپرسور (تعویض)",IF(ISNUMBER(SEARCH("کمک فنر",G84)),"خرابی - کمک فنر (تعویض)",IF(ISNUMBER(SEARCH("لولا",G84)),"مکانیزم درب - لولا (تعویض)",IF(OR(ISNUMBER(SEARCH("قلاب",G84)),ISNUMBER(SEARCH("ميکروسوئيچ",G84)),ISNUMBER(SEARCH("میکروسوئیچ",G84))),"مکانیزم درب - میکروسوئیچ/قلاب (تعویض/تنظیم)",IF(ISNUMBER(SEARCH("زبانه",G84)),"مکانیزم درب - زبانه (تعویض)",IF(OR(ISNUMBER(SEARCH("شيلنگ",G84)),ISNUMBER(SEARCH("شیلنگ",G84))),IF(OR(ISNUMBER(SEARCH("نشتی",G84)),ISNUMBER(SEARCH("نشتي",G84))),"نشتی - شیلنگ (تعمیر/آب‌بندی)",IF(OR(ISNUMBER(SEARCH("يخ",G84)),ISNUMBER(SEARCH("یخ",G84))),"شیلنگ یخساز - یخ‌زدگی (بازبینی)","شیلنگ - برخورد/لهیدگی (بازبینی)")),IF(OR(ISNUMBER(SEARCH("تنظيم ديسپل",G84)),ISNUMBER(SEARCH("تنظیم دیسپل",G84)),ISNUMBER(SEARCH("تنظيم صفحه نمايش",G84)),ISNUMBER(SEARCH("تنظیم صفحه نمایش",G84))),"تنظیم - تنظیمات دستگاه/دیسپلی (تعمیر)",IF(OR(ISNUMBER(SEARCH("برد",G84)),ISNUMBER(SEARCH("سوکت",G84)),ISNUMBER(SEARCH("ديسپل",G84)),ISNUMBER(SEARCH("دیسپل",G84))),"خرابی - برد الکترونیک (تعویض)",IF(OR(ISNUMBER(SEARCH("يخساز",G84)),ISNUMBER(SEARCH("یخساز",G84)),ISNUMBER(SEARCH("دمپر",G84))),IF(OR(ISNUMBER(SEARCH("خرابی",G84)),ISNUMBER(SEARCH("خراب",G84)),ISNUMBER(SEARCH("عدم کارکرد",G84)),ISNUMBER(SEARCH("عدم عملکرد",G84))),"یخساز - خرابی موتور/سنسور/برد (تعویض)","یخساز - تنظیم/عایق (تعمیر)"),IF(OR(ISNUMBER(SEARCH("لاستيک",G84)),ISNUMBER(SEARCH("لاستیک",G84))),"لاستیک درزگیر - دفرمگی/پارگی (تعویض)",IF(OR(ISNUMBER(SEARCH("گسکت",G84)),ISNUMBER(SEARCH("گسگت",G84))),"لاستیک درزگیر - دفرمگی/پارگی (تعویض)",IF(ISNUMBER(SEARCH("مخزن نمک",G84)),"نشتی - درب مخزن نمک (تعمیر/آب‌بندی)",IF(ISNUMBER(SEARCH("براکت",G84)),"نشتی - براکت ریل (تعمیر/آب‌بندی)",IF(ISNUMBER(SEARCH("جاپودر",G84)),"نشتی - جاپودری (تعمیر/آب‌بندی)",IF(ISNUMBER(SEARCH("مقسم",G84)),"نشتی - مقسم آب (تعمیر/آب‌بندی)",IF(OR(ISNUMBER(SEARCH("سنسور دما",G84)),ISNUMBER(SEARCH("ترموستات",G84))),"خرابی - ترموستات (تعویض)",IF(OR(ISNUMBER(SEARCH("هيدروستات",G84)),ISNUMBER(SEARCH("هیدروستات",G84))),"خرابی - هیدروستات (تعویض)",IF(OR(ISNUMBER(SEARCH("بلبرينگ",G84)),ISNUMBER(SEARCH("بلبرینگ",G84))),"خرابی - بلبرینگ (تعویض)",IF(OR(ISNUMBER(SEARCH("شيربرق",G84)),ISNUMBER(SEARCH("شیربرق",G84))),"خرابی - شیربرقی (تعویض)",IF(OR(ISNUMBER(SEARCH("واتر جت",G84)),ISNUMBER(SEARCH("واترجت",G84))),"خرابی - واترجت (تعویض)",IF(OR(ISNUMBER(SEARCH("سيم",G84)),ISNUMBER(SEARCH("سیم",G84)),ISNUMBER(SEARCH("اتصال",G84))),"سیم‌کشی/اتصالات (تعویض/بازبینی)",IF(OR(ISNUMBER(SEARCH("تصوير",G84)),ISNUMBER(SEARCH("تصویر",G84))),"برد نمایش تلویزیون (تعویض)",IF(OR(ISNUMBER(SEARCH("ريموت",G84)),ISNUMBER(SEARCH("ریموت",G84))),"ریموت کنترل (تعویض/تعمیر)",IF(OR(ISNUMBER(SEARCH("ال اي دي",G84)),ISNUMBER(SEARCH("ال ای دی",G84)),ISNUMBER(SEARCH("LED",G84))),"خرابی - لامپ/LED داخلی (تعویض)",IF(ISNUMBER(SEARCH("زنگ زدگ",G84)),"زنگ‌زدگی بدنه/قطعه (تعویض)",IF(OR(ISNUMBER(SEARCH("قطعات تزئين",G84)),ISNUMBER(SEARCH("قطعات تزئین",G84))),"قطعات تزئینی - شکستگی/کسری (تعویض)",IF(ISNUMBER(SEARCH("سبد",G84)),"سبد ظرفشویی - شکستگی (تعویض)",IF(ISNUMBER(SEARCH("تاب درام",G84)),"خرابی - تاب برداشتن درام (تعویض)",IF(ISNUMBER(SEARCH("درام",G84)),"خرابی - سایر ایراد درام (تعویض)",IF(ISNUMBER(SEARCH("موتور",G84)),"خرابی - موتور (تعویض)",IF(ISNUMBER(SEARCH("تسمه",G84)),"خرابی - تسمه (تعویض)",IF(OR(ISNUMBER(SEARCH("پيچ ولوم",G84)),ISNUMBER(SEARCH("پیچ ولوم",G84))),"تنظیم - پیچ ولوم/دکمه (تعمیر)",IF(OR(ISNUMBER(SEARCH("کسري قطعات",G84)),ISNUMBER(SEARCH("کسری قطعات",G84))),"کسری قطعات تزئینی (تعویض)",IF(ISNUMBER(SEARCH("پرچ",G84)),"پرچ/بدنه کابین(تعمیر)",IF(OR(ISNUMBER(SEARCH("نشت",G84)),ISNUMBER(SEARCH("آبريزش",G84)),ISNUMBER(SEARCH("آبریزش",G84))),"نشتی آب - محل نامشخص (نیازمند بازدید)",IF(ISNUMBER(SEARCH("درب",G84)),"سایر اجزای درب (بازبینی)",IF(ISNUMBER(SEARCH("ضربه",G84)),"بدنه/کابین - ضربه (بازبینی/تعویض پنل)",IF(ISNUMBER(SEARCH("تراز",G84)),"تراز/لرزش - نصب (رگلاژ پایه)",IF(OR(ISNUMBER(SEARCH("تعویض",G84)),ISNUMBER(SEARCH("تعويض",G84))),"تعویض کامل دستگاه (Replacement)","سایر (نیازمند بررسی دستی)")))))))))))))))))))))))))))))))))))))))))))</f>
        <v/>
      </c>
      <c r="P84" s="124" t="inlineStr">
        <is>
          <t>*</t>
        </is>
      </c>
      <c r="Q84" s="124">
        <f>IF(ISNUMBER(SEARCH("عهده شرکت",F84)),"شرکت",IF(ISNUMBER(SEARCH("عهده مشتري",F84)),"مشتری",IF(ISNUMBER(SEARCH("عهده مشتری",F84)),"مشتری","نامشخص")))</f>
        <v/>
      </c>
      <c r="R84" s="178">
        <f>IF(O84="تعویض کامل دستگاه (Replacement)",IF(SUMIF('قیمت‌ها و مفروضات'!$A$9:$A$13,C84,'قیمت‌ها و مفروضات'!$C$9:$C$13)&lt;&gt;0,SUMIF('قیمت‌ها و مفروضات'!$A$9:$A$13,C84,'قیمت‌ها و مفروضات'!$C$9:$C$13),SUMIF('قیمت‌ها و مفروضات'!$A$9:$A$13,C84,'قیمت‌ها و مفروضات'!$B$9:$B$13)),IF(SUMIF('قیمت‌ها و مفروضات'!$A$18:$A$63,O84,'قیمت‌ها و مفروضات'!$C$18:$C$63)&lt;&gt;0,SUMIF('قیمت‌ها و مفروضات'!$A$18:$A$63,O84,'قیمت‌ها و مفروضات'!$C$18:$C$63),SUMIF('قیمت‌ها و مفروضات'!$A$18:$A$63,O84,'قیمت‌ها و مفروضات'!$B$18:$B$63)))</f>
        <v/>
      </c>
      <c r="S84" s="178">
        <f>'قیمت‌ها و مفروضات'!$B$3+'قیمت‌ها و مفروضات'!$B$4</f>
        <v/>
      </c>
      <c r="T84" s="178">
        <f>R84+S84</f>
        <v/>
      </c>
      <c r="U84" s="178">
        <f>IF(COUNTIF($E$2:E84,E84)&gt;1,"بله (تکراری)","خیر")</f>
        <v/>
      </c>
      <c r="V84" s="178">
        <f>IF(U84="بله (تکراری)",S84,0)</f>
        <v/>
      </c>
      <c r="W84" s="208" t="inlineStr"/>
      <c r="X84" s="208" t="inlineStr"/>
    </row>
    <row r="85" ht="58.5" customHeight="1" s="151">
      <c r="A85" s="176" t="n">
        <v>710002358</v>
      </c>
      <c r="B85" s="124">
        <f>CHOOSE(_xlfn.NUMBERVALUE(MID(H85,6,2)),"فروردین","اردیبهشت","خرداد","تیر","مرداد","شهریور","مهر","آبان","آذر","دی","بهمن","اسفند")</f>
        <v/>
      </c>
      <c r="C85" s="176" t="inlineStr">
        <is>
          <t>ماشين ظرفشويي</t>
        </is>
      </c>
      <c r="D85" s="176" t="inlineStr">
        <is>
          <t>CDW-H16T</t>
        </is>
      </c>
      <c r="E85" s="176" t="inlineStr">
        <is>
          <t>52220005N04863</t>
        </is>
      </c>
      <c r="F85" s="173" t="inlineStr">
        <is>
          <t>اياب و ذهاب به عهده شرکت ** بسته نشدن درب</t>
        </is>
      </c>
      <c r="G85" s="173" t="inlineStr">
        <is>
          <t>ريست دستگاه - ظرفشويي</t>
        </is>
      </c>
      <c r="H85" s="176" t="inlineStr">
        <is>
          <t>1405/01/19</t>
        </is>
      </c>
      <c r="I85" s="124" t="inlineStr">
        <is>
          <t>1404/08/22</t>
        </is>
      </c>
      <c r="J85" s="124" t="inlineStr">
        <is>
          <t>1404/10/24</t>
        </is>
      </c>
      <c r="K85" s="177">
        <f>IFERROR(VLOOKUP(LEFT(H85,7),'تبدیل تاریخ'!$A$2:$B$73,2,FALSE())+VALUE(RIGHT(H85,2))-1,"")</f>
        <v/>
      </c>
      <c r="L85" s="177">
        <f>IFERROR(VLOOKUP(LEFT(I85,7),'تبدیل تاریخ'!$A$2:$B$73,2,FALSE())+VALUE(RIGHT(I85,2))-1,"")</f>
        <v/>
      </c>
      <c r="M85" s="177">
        <f>IF(J85="","",IFERROR(VLOOKUP(LEFT(J85,7),'تبدیل تاریخ'!$A$2:$B$73,2,FALSE())+VALUE(RIGHT(J85,2))-1,""))</f>
        <v/>
      </c>
      <c r="N85" s="124">
        <f>IF(OR(K85="",M85=""),"",CEILING((K85-M85)/30,1))</f>
        <v/>
      </c>
      <c r="O85" s="124">
        <f>IF(OR(ISNUMBER(SEARCH("بدون مورد",G85)),ISNUMBER(SEARCH("غير گارانتي",G85)),ISNUMBER(SEARCH("غیر گارانتی",G85)),ISNUMBER(SEARCH("بدون اجرت",G85)),ISNUMBER(SEARCH("فيلتر",G85)),ISNUMBER(SEARCH("فیلتر",G85))),"غیرگارانتی/بدون قطعه",IF(OR(ISNUMBER(SEARCH("ريست",G85)),ISNUMBER(SEARCH("ریست",G85))),"ریست نرم‌افزاری (بدون قطعه)",IF(OR(ISNUMBER(SEARCH("تعویض محصول",G85)),ISNUMBER(SEARCH("تعویض دستگاه",G85))),"تعویض کامل دستگاه (Replacement)",IF(ISNUMBER(SEARCH("پمپ",G85)),IF(ISNUMBER(SEARCH("نشت",G85)),"نشتی - پمپ تخلیه (تعمیر/آب‌بندی)","خرابی - پمپ تخلیه (تعویض)"),IF(ISNUMBER(SEARCH("کمپرسور",G85)),"خرابی - کمپرسور (تعویض)",IF(ISNUMBER(SEARCH("کمک فنر",G85)),"خرابی - کمک فنر (تعویض)",IF(ISNUMBER(SEARCH("لولا",G85)),"مکانیزم درب - لولا (تعویض)",IF(OR(ISNUMBER(SEARCH("قلاب",G85)),ISNUMBER(SEARCH("ميکروسوئيچ",G85)),ISNUMBER(SEARCH("میکروسوئیچ",G85))),"مکانیزم درب - میکروسوئیچ/قلاب (تعویض/تنظیم)",IF(ISNUMBER(SEARCH("زبانه",G85)),"مکانیزم درب - زبانه (تعویض)",IF(OR(ISNUMBER(SEARCH("شيلنگ",G85)),ISNUMBER(SEARCH("شیلنگ",G85))),IF(OR(ISNUMBER(SEARCH("نشتی",G85)),ISNUMBER(SEARCH("نشتي",G85))),"نشتی - شیلنگ (تعمیر/آب‌بندی)",IF(OR(ISNUMBER(SEARCH("يخ",G85)),ISNUMBER(SEARCH("یخ",G85))),"شیلنگ یخساز - یخ‌زدگی (بازبینی)","شیلنگ - برخورد/لهیدگی (بازبینی)")),IF(OR(ISNUMBER(SEARCH("تنظيم ديسپل",G85)),ISNUMBER(SEARCH("تنظیم دیسپل",G85)),ISNUMBER(SEARCH("تنظيم صفحه نمايش",G85)),ISNUMBER(SEARCH("تنظیم صفحه نمایش",G85))),"تنظیم - تنظیمات دستگاه/دیسپلی (تعمیر)",IF(OR(ISNUMBER(SEARCH("برد",G85)),ISNUMBER(SEARCH("سوکت",G85)),ISNUMBER(SEARCH("ديسپل",G85)),ISNUMBER(SEARCH("دیسپل",G85))),"خرابی - برد الکترونیک (تعویض)",IF(OR(ISNUMBER(SEARCH("يخساز",G85)),ISNUMBER(SEARCH("یخساز",G85)),ISNUMBER(SEARCH("دمپر",G85))),IF(OR(ISNUMBER(SEARCH("خرابی",G85)),ISNUMBER(SEARCH("خراب",G85)),ISNUMBER(SEARCH("عدم کارکرد",G85)),ISNUMBER(SEARCH("عدم عملکرد",G85))),"یخساز - خرابی موتور/سنسور/برد (تعویض)","یخساز - تنظیم/عایق (تعمیر)"),IF(OR(ISNUMBER(SEARCH("لاستيک",G85)),ISNUMBER(SEARCH("لاستیک",G85))),"لاستیک درزگیر - دفرمگی/پارگی (تعویض)",IF(OR(ISNUMBER(SEARCH("گسکت",G85)),ISNUMBER(SEARCH("گسگت",G85))),"لاستیک درزگیر - دفرمگی/پارگی (تعویض)",IF(ISNUMBER(SEARCH("مخزن نمک",G85)),"نشتی - درب مخزن نمک (تعمیر/آب‌بندی)",IF(ISNUMBER(SEARCH("براکت",G85)),"نشتی - براکت ریل (تعمیر/آب‌بندی)",IF(ISNUMBER(SEARCH("جاپودر",G85)),"نشتی - جاپودری (تعمیر/آب‌بندی)",IF(ISNUMBER(SEARCH("مقسم",G85)),"نشتی - مقسم آب (تعمیر/آب‌بندی)",IF(OR(ISNUMBER(SEARCH("سنسور دما",G85)),ISNUMBER(SEARCH("ترموستات",G85))),"خرابی - ترموستات (تعویض)",IF(OR(ISNUMBER(SEARCH("هيدروستات",G85)),ISNUMBER(SEARCH("هیدروستات",G85))),"خرابی - هیدروستات (تعویض)",IF(OR(ISNUMBER(SEARCH("بلبرينگ",G85)),ISNUMBER(SEARCH("بلبرینگ",G85))),"خرابی - بلبرینگ (تعویض)",IF(OR(ISNUMBER(SEARCH("شيربرق",G85)),ISNUMBER(SEARCH("شیربرق",G85))),"خرابی - شیربرقی (تعویض)",IF(OR(ISNUMBER(SEARCH("واتر جت",G85)),ISNUMBER(SEARCH("واترجت",G85))),"خرابی - واترجت (تعویض)",IF(OR(ISNUMBER(SEARCH("سيم",G85)),ISNUMBER(SEARCH("سیم",G85)),ISNUMBER(SEARCH("اتصال",G85))),"سیم‌کشی/اتصالات (تعویض/بازبینی)",IF(OR(ISNUMBER(SEARCH("تصوير",G85)),ISNUMBER(SEARCH("تصویر",G85))),"برد نمایش تلویزیون (تعویض)",IF(OR(ISNUMBER(SEARCH("ريموت",G85)),ISNUMBER(SEARCH("ریموت",G85))),"ریموت کنترل (تعویض/تعمیر)",IF(OR(ISNUMBER(SEARCH("ال اي دي",G85)),ISNUMBER(SEARCH("ال ای دی",G85)),ISNUMBER(SEARCH("LED",G85))),"خرابی - لامپ/LED داخلی (تعویض)",IF(ISNUMBER(SEARCH("زنگ زدگ",G85)),"زنگ‌زدگی بدنه/قطعه (تعویض)",IF(OR(ISNUMBER(SEARCH("قطعات تزئين",G85)),ISNUMBER(SEARCH("قطعات تزئین",G85))),"قطعات تزئینی - شکستگی/کسری (تعویض)",IF(ISNUMBER(SEARCH("سبد",G85)),"سبد ظرفشویی - شکستگی (تعویض)",IF(ISNUMBER(SEARCH("تاب درام",G85)),"خرابی - تاب برداشتن درام (تعویض)",IF(ISNUMBER(SEARCH("درام",G85)),"خرابی - سایر ایراد درام (تعویض)",IF(ISNUMBER(SEARCH("موتور",G85)),"خرابی - موتور (تعویض)",IF(ISNUMBER(SEARCH("تسمه",G85)),"خرابی - تسمه (تعویض)",IF(OR(ISNUMBER(SEARCH("پيچ ولوم",G85)),ISNUMBER(SEARCH("پیچ ولوم",G85))),"تنظیم - پیچ ولوم/دکمه (تعمیر)",IF(OR(ISNUMBER(SEARCH("کسري قطعات",G85)),ISNUMBER(SEARCH("کسری قطعات",G85))),"کسری قطعات تزئینی (تعویض)",IF(ISNUMBER(SEARCH("پرچ",G85)),"پرچ/بدنه کابین(تعمیر)",IF(OR(ISNUMBER(SEARCH("نشت",G85)),ISNUMBER(SEARCH("آبريزش",G85)),ISNUMBER(SEARCH("آبریزش",G85))),"نشتی آب - محل نامشخص (نیازمند بازدید)",IF(ISNUMBER(SEARCH("درب",G85)),"سایر اجزای درب (بازبینی)",IF(ISNUMBER(SEARCH("ضربه",G85)),"بدنه/کابین - ضربه (بازبینی/تعویض پنل)",IF(ISNUMBER(SEARCH("تراز",G85)),"تراز/لرزش - نصب (رگلاژ پایه)",IF(OR(ISNUMBER(SEARCH("تعویض",G85)),ISNUMBER(SEARCH("تعويض",G85))),"تعویض کامل دستگاه (Replacement)","سایر (نیازمند بررسی دستی)")))))))))))))))))))))))))))))))))))))))))))</f>
        <v/>
      </c>
      <c r="P85" s="124" t="inlineStr">
        <is>
          <t>*</t>
        </is>
      </c>
      <c r="Q85" s="124">
        <f>IF(ISNUMBER(SEARCH("عهده شرکت",F85)),"شرکت",IF(ISNUMBER(SEARCH("عهده مشتري",F85)),"مشتری",IF(ISNUMBER(SEARCH("عهده مشتری",F85)),"مشتری","نامشخص")))</f>
        <v/>
      </c>
      <c r="R85" s="178">
        <f>IF(O85="تعویض کامل دستگاه (Replacement)",IF(SUMIF('قیمت‌ها و مفروضات'!$A$9:$A$13,C85,'قیمت‌ها و مفروضات'!$C$9:$C$13)&lt;&gt;0,SUMIF('قیمت‌ها و مفروضات'!$A$9:$A$13,C85,'قیمت‌ها و مفروضات'!$C$9:$C$13),SUMIF('قیمت‌ها و مفروضات'!$A$9:$A$13,C85,'قیمت‌ها و مفروضات'!$B$9:$B$13)),IF(SUMIF('قیمت‌ها و مفروضات'!$A$18:$A$63,O85,'قیمت‌ها و مفروضات'!$C$18:$C$63)&lt;&gt;0,SUMIF('قیمت‌ها و مفروضات'!$A$18:$A$63,O85,'قیمت‌ها و مفروضات'!$C$18:$C$63),SUMIF('قیمت‌ها و مفروضات'!$A$18:$A$63,O85,'قیمت‌ها و مفروضات'!$B$18:$B$63)))</f>
        <v/>
      </c>
      <c r="S85" s="178">
        <f>'قیمت‌ها و مفروضات'!$B$3+'قیمت‌ها و مفروضات'!$B$4</f>
        <v/>
      </c>
      <c r="T85" s="178">
        <f>R85+S85</f>
        <v/>
      </c>
      <c r="U85" s="178">
        <f>IF(COUNTIF($E$2:E85,E85)&gt;1,"بله (تکراری)","خیر")</f>
        <v/>
      </c>
      <c r="V85" s="178">
        <f>IF(U85="بله (تکراری)",S85,0)</f>
        <v/>
      </c>
      <c r="W85" s="208" t="inlineStr"/>
      <c r="X85" s="208" t="inlineStr"/>
    </row>
    <row r="86" ht="58.5" customHeight="1" s="151">
      <c r="A86" s="176" t="n">
        <v>210011917</v>
      </c>
      <c r="B86" s="124">
        <f>CHOOSE(_xlfn.NUMBERVALUE(MID(H86,6,2)),"فروردین","اردیبهشت","خرداد","تیر","مرداد","شهریور","مهر","آبان","آذر","دی","بهمن","اسفند")</f>
        <v/>
      </c>
      <c r="C86" s="176" t="inlineStr">
        <is>
          <t>ماشين ظرفشويي</t>
        </is>
      </c>
      <c r="D86" s="176" t="inlineStr">
        <is>
          <t>CDW-H16T</t>
        </is>
      </c>
      <c r="E86" s="176" t="inlineStr">
        <is>
          <t>52220005N04894</t>
        </is>
      </c>
      <c r="F86" s="173" t="inlineStr">
        <is>
          <t>عدم تخليه آب تميز داخل درام**اياب و ذهاب به عهده شرکت</t>
        </is>
      </c>
      <c r="G86" s="173" t="inlineStr">
        <is>
          <t>نشتي از شيلنگ ورودي</t>
        </is>
      </c>
      <c r="H86" s="176" t="inlineStr">
        <is>
          <t>1405/01/20</t>
        </is>
      </c>
      <c r="I86" s="124" t="inlineStr">
        <is>
          <t>1404/08/24</t>
        </is>
      </c>
      <c r="J86" s="124" t="inlineStr">
        <is>
          <t>1405/01/19</t>
        </is>
      </c>
      <c r="K86" s="177">
        <f>IFERROR(VLOOKUP(LEFT(H86,7),'تبدیل تاریخ'!$A$2:$B$73,2,FALSE())+VALUE(RIGHT(H86,2))-1,"")</f>
        <v/>
      </c>
      <c r="L86" s="177">
        <f>IFERROR(VLOOKUP(LEFT(I86,7),'تبدیل تاریخ'!$A$2:$B$73,2,FALSE())+VALUE(RIGHT(I86,2))-1,"")</f>
        <v/>
      </c>
      <c r="M86" s="177">
        <f>IF(J86="","",IFERROR(VLOOKUP(LEFT(J86,7),'تبدیل تاریخ'!$A$2:$B$73,2,FALSE())+VALUE(RIGHT(J86,2))-1,""))</f>
        <v/>
      </c>
      <c r="N86" s="124">
        <f>IF(OR(K86="",M86=""),"",CEILING((K86-M86)/30,1))</f>
        <v/>
      </c>
      <c r="O86" s="124">
        <f>IF(OR(ISNUMBER(SEARCH("بدون مورد",G86)),ISNUMBER(SEARCH("غير گارانتي",G86)),ISNUMBER(SEARCH("غیر گارانتی",G86)),ISNUMBER(SEARCH("بدون اجرت",G86)),ISNUMBER(SEARCH("فيلتر",G86)),ISNUMBER(SEARCH("فیلتر",G86))),"غیرگارانتی/بدون قطعه",IF(OR(ISNUMBER(SEARCH("ريست",G86)),ISNUMBER(SEARCH("ریست",G86))),"ریست نرم‌افزاری (بدون قطعه)",IF(OR(ISNUMBER(SEARCH("تعویض محصول",G86)),ISNUMBER(SEARCH("تعویض دستگاه",G86))),"تعویض کامل دستگاه (Replacement)",IF(ISNUMBER(SEARCH("پمپ",G86)),IF(ISNUMBER(SEARCH("نشت",G86)),"نشتی - پمپ تخلیه (تعمیر/آب‌بندی)","خرابی - پمپ تخلیه (تعویض)"),IF(ISNUMBER(SEARCH("کمپرسور",G86)),"خرابی - کمپرسور (تعویض)",IF(ISNUMBER(SEARCH("کمک فنر",G86)),"خرابی - کمک فنر (تعویض)",IF(ISNUMBER(SEARCH("لولا",G86)),"مکانیزم درب - لولا (تعویض)",IF(OR(ISNUMBER(SEARCH("قلاب",G86)),ISNUMBER(SEARCH("ميکروسوئيچ",G86)),ISNUMBER(SEARCH("میکروسوئیچ",G86))),"مکانیزم درب - میکروسوئیچ/قلاب (تعویض/تنظیم)",IF(ISNUMBER(SEARCH("زبانه",G86)),"مکانیزم درب - زبانه (تعویض)",IF(OR(ISNUMBER(SEARCH("شيلنگ",G86)),ISNUMBER(SEARCH("شیلنگ",G86))),IF(OR(ISNUMBER(SEARCH("نشتی",G86)),ISNUMBER(SEARCH("نشتي",G86))),"نشتی - شیلنگ (تعمیر/آب‌بندی)",IF(OR(ISNUMBER(SEARCH("يخ",G86)),ISNUMBER(SEARCH("یخ",G86))),"شیلنگ یخساز - یخ‌زدگی (بازبینی)","شیلنگ - برخورد/لهیدگی (بازبینی)")),IF(OR(ISNUMBER(SEARCH("تنظيم ديسپل",G86)),ISNUMBER(SEARCH("تنظیم دیسپل",G86)),ISNUMBER(SEARCH("تنظيم صفحه نمايش",G86)),ISNUMBER(SEARCH("تنظیم صفحه نمایش",G86))),"تنظیم - تنظیمات دستگاه/دیسپلی (تعمیر)",IF(OR(ISNUMBER(SEARCH("برد",G86)),ISNUMBER(SEARCH("سوکت",G86)),ISNUMBER(SEARCH("ديسپل",G86)),ISNUMBER(SEARCH("دیسپل",G86))),"خرابی - برد الکترونیک (تعویض)",IF(OR(ISNUMBER(SEARCH("يخساز",G86)),ISNUMBER(SEARCH("یخساز",G86)),ISNUMBER(SEARCH("دمپر",G86))),IF(OR(ISNUMBER(SEARCH("خرابی",G86)),ISNUMBER(SEARCH("خراب",G86)),ISNUMBER(SEARCH("عدم کارکرد",G86)),ISNUMBER(SEARCH("عدم عملکرد",G86))),"یخساز - خرابی موتور/سنسور/برد (تعویض)","یخساز - تنظیم/عایق (تعمیر)"),IF(OR(ISNUMBER(SEARCH("لاستيک",G86)),ISNUMBER(SEARCH("لاستیک",G86))),"لاستیک درزگیر - دفرمگی/پارگی (تعویض)",IF(OR(ISNUMBER(SEARCH("گسکت",G86)),ISNUMBER(SEARCH("گسگت",G86))),"لاستیک درزگیر - دفرمگی/پارگی (تعویض)",IF(ISNUMBER(SEARCH("مخزن نمک",G86)),"نشتی - درب مخزن نمک (تعمیر/آب‌بندی)",IF(ISNUMBER(SEARCH("براکت",G86)),"نشتی - براکت ریل (تعمیر/آب‌بندی)",IF(ISNUMBER(SEARCH("جاپودر",G86)),"نشتی - جاپودری (تعمیر/آب‌بندی)",IF(ISNUMBER(SEARCH("مقسم",G86)),"نشتی - مقسم آب (تعمیر/آب‌بندی)",IF(OR(ISNUMBER(SEARCH("سنسور دما",G86)),ISNUMBER(SEARCH("ترموستات",G86))),"خرابی - ترموستات (تعویض)",IF(OR(ISNUMBER(SEARCH("هيدروستات",G86)),ISNUMBER(SEARCH("هیدروستات",G86))),"خرابی - هیدروستات (تعویض)",IF(OR(ISNUMBER(SEARCH("بلبرينگ",G86)),ISNUMBER(SEARCH("بلبرینگ",G86))),"خرابی - بلبرینگ (تعویض)",IF(OR(ISNUMBER(SEARCH("شيربرق",G86)),ISNUMBER(SEARCH("شیربرق",G86))),"خرابی - شیربرقی (تعویض)",IF(OR(ISNUMBER(SEARCH("واتر جت",G86)),ISNUMBER(SEARCH("واترجت",G86))),"خرابی - واترجت (تعویض)",IF(OR(ISNUMBER(SEARCH("سيم",G86)),ISNUMBER(SEARCH("سیم",G86)),ISNUMBER(SEARCH("اتصال",G86))),"سیم‌کشی/اتصالات (تعویض/بازبینی)",IF(OR(ISNUMBER(SEARCH("تصوير",G86)),ISNUMBER(SEARCH("تصویر",G86))),"برد نمایش تلویزیون (تعویض)",IF(OR(ISNUMBER(SEARCH("ريموت",G86)),ISNUMBER(SEARCH("ریموت",G86))),"ریموت کنترل (تعویض/تعمیر)",IF(OR(ISNUMBER(SEARCH("ال اي دي",G86)),ISNUMBER(SEARCH("ال ای دی",G86)),ISNUMBER(SEARCH("LED",G86))),"خرابی - لامپ/LED داخلی (تعویض)",IF(ISNUMBER(SEARCH("زنگ زدگ",G86)),"زنگ‌زدگی بدنه/قطعه (تعویض)",IF(OR(ISNUMBER(SEARCH("قطعات تزئين",G86)),ISNUMBER(SEARCH("قطعات تزئین",G86))),"قطعات تزئینی - شکستگی/کسری (تعویض)",IF(ISNUMBER(SEARCH("سبد",G86)),"سبد ظرفشویی - شکستگی (تعویض)",IF(ISNUMBER(SEARCH("تاب درام",G86)),"خرابی - تاب برداشتن درام (تعویض)",IF(ISNUMBER(SEARCH("درام",G86)),"خرابی - سایر ایراد درام (تعویض)",IF(ISNUMBER(SEARCH("موتور",G86)),"خرابی - موتور (تعویض)",IF(ISNUMBER(SEARCH("تسمه",G86)),"خرابی - تسمه (تعویض)",IF(OR(ISNUMBER(SEARCH("پيچ ولوم",G86)),ISNUMBER(SEARCH("پیچ ولوم",G86))),"تنظیم - پیچ ولوم/دکمه (تعمیر)",IF(OR(ISNUMBER(SEARCH("کسري قطعات",G86)),ISNUMBER(SEARCH("کسری قطعات",G86))),"کسری قطعات تزئینی (تعویض)",IF(ISNUMBER(SEARCH("پرچ",G86)),"پرچ/بدنه کابین(تعمیر)",IF(OR(ISNUMBER(SEARCH("نشت",G86)),ISNUMBER(SEARCH("آبريزش",G86)),ISNUMBER(SEARCH("آبریزش",G86))),"نشتی آب - محل نامشخص (نیازمند بازدید)",IF(ISNUMBER(SEARCH("درب",G86)),"سایر اجزای درب (بازبینی)",IF(ISNUMBER(SEARCH("ضربه",G86)),"بدنه/کابین - ضربه (بازبینی/تعویض پنل)",IF(ISNUMBER(SEARCH("تراز",G86)),"تراز/لرزش - نصب (رگلاژ پایه)",IF(OR(ISNUMBER(SEARCH("تعویض",G86)),ISNUMBER(SEARCH("تعويض",G86))),"تعویض کامل دستگاه (Replacement)","سایر (نیازمند بررسی دستی)")))))))))))))))))))))))))))))))))))))))))))</f>
        <v/>
      </c>
      <c r="P86" s="124" t="inlineStr">
        <is>
          <t>*</t>
        </is>
      </c>
      <c r="Q86" s="124">
        <f>IF(ISNUMBER(SEARCH("عهده شرکت",F86)),"شرکت",IF(ISNUMBER(SEARCH("عهده مشتري",F86)),"مشتری",IF(ISNUMBER(SEARCH("عهده مشتری",F86)),"مشتری","نامشخص")))</f>
        <v/>
      </c>
      <c r="R86" s="178">
        <f>IF(O86="تعویض کامل دستگاه (Replacement)",IF(SUMIF('قیمت‌ها و مفروضات'!$A$9:$A$13,C86,'قیمت‌ها و مفروضات'!$C$9:$C$13)&lt;&gt;0,SUMIF('قیمت‌ها و مفروضات'!$A$9:$A$13,C86,'قیمت‌ها و مفروضات'!$C$9:$C$13),SUMIF('قیمت‌ها و مفروضات'!$A$9:$A$13,C86,'قیمت‌ها و مفروضات'!$B$9:$B$13)),IF(SUMIF('قیمت‌ها و مفروضات'!$A$18:$A$63,O86,'قیمت‌ها و مفروضات'!$C$18:$C$63)&lt;&gt;0,SUMIF('قیمت‌ها و مفروضات'!$A$18:$A$63,O86,'قیمت‌ها و مفروضات'!$C$18:$C$63),SUMIF('قیمت‌ها و مفروضات'!$A$18:$A$63,O86,'قیمت‌ها و مفروضات'!$B$18:$B$63)))</f>
        <v/>
      </c>
      <c r="S86" s="178">
        <f>'قیمت‌ها و مفروضات'!$B$3+'قیمت‌ها و مفروضات'!$B$4</f>
        <v/>
      </c>
      <c r="T86" s="178">
        <f>R86+S86</f>
        <v/>
      </c>
      <c r="U86" s="178">
        <f>IF(COUNTIF($E$2:E86,E86)&gt;1,"بله (تکراری)","خیر")</f>
        <v/>
      </c>
      <c r="V86" s="178">
        <f>IF(U86="بله (تکراری)",S86,0)</f>
        <v/>
      </c>
      <c r="W86" s="208" t="inlineStr"/>
      <c r="X86" s="208" t="inlineStr"/>
    </row>
    <row r="87" ht="58.5" customHeight="1" s="151">
      <c r="A87" s="176" t="n">
        <v>210012126</v>
      </c>
      <c r="B87" s="124">
        <f>CHOOSE(_xlfn.NUMBERVALUE(MID(H87,6,2)),"فروردین","اردیبهشت","خرداد","تیر","مرداد","شهریور","مهر","آبان","آذر","دی","بهمن","اسفند")</f>
        <v/>
      </c>
      <c r="C87" s="176" t="inlineStr">
        <is>
          <t>ماشين ظرفشويي</t>
        </is>
      </c>
      <c r="D87" s="176" t="inlineStr">
        <is>
          <t>CDW-H16T</t>
        </is>
      </c>
      <c r="E87" s="176" t="inlineStr">
        <is>
          <t>52220004N01662</t>
        </is>
      </c>
      <c r="F87" s="173" t="inlineStr">
        <is>
          <t>اياب و ذهاب به عهده شرکت ** بسته نشدن درب</t>
        </is>
      </c>
      <c r="G87" s="173" t="inlineStr">
        <is>
          <t>ريست دستگاه - ظرفشويي</t>
        </is>
      </c>
      <c r="H87" s="176" t="inlineStr">
        <is>
          <t>1405/01/22</t>
        </is>
      </c>
      <c r="I87" s="124" t="inlineStr">
        <is>
          <t>1403/11/09</t>
        </is>
      </c>
      <c r="J87" s="124" t="inlineStr">
        <is>
          <t>1404/04/21</t>
        </is>
      </c>
      <c r="K87" s="177">
        <f>IFERROR(VLOOKUP(LEFT(H87,7),'تبدیل تاریخ'!$A$2:$B$73,2,FALSE())+VALUE(RIGHT(H87,2))-1,"")</f>
        <v/>
      </c>
      <c r="L87" s="177">
        <f>IFERROR(VLOOKUP(LEFT(I87,7),'تبدیل تاریخ'!$A$2:$B$73,2,FALSE())+VALUE(RIGHT(I87,2))-1,"")</f>
        <v/>
      </c>
      <c r="M87" s="177">
        <f>IF(J87="","",IFERROR(VLOOKUP(LEFT(J87,7),'تبدیل تاریخ'!$A$2:$B$73,2,FALSE())+VALUE(RIGHT(J87,2))-1,""))</f>
        <v/>
      </c>
      <c r="N87" s="124">
        <f>IF(OR(K87="",M87=""),"",CEILING((K87-M87)/30,1))</f>
        <v/>
      </c>
      <c r="O87" s="124">
        <f>IF(OR(ISNUMBER(SEARCH("بدون مورد",G87)),ISNUMBER(SEARCH("غير گارانتي",G87)),ISNUMBER(SEARCH("غیر گارانتی",G87)),ISNUMBER(SEARCH("بدون اجرت",G87)),ISNUMBER(SEARCH("فيلتر",G87)),ISNUMBER(SEARCH("فیلتر",G87))),"غیرگارانتی/بدون قطعه",IF(OR(ISNUMBER(SEARCH("ريست",G87)),ISNUMBER(SEARCH("ریست",G87))),"ریست نرم‌افزاری (بدون قطعه)",IF(OR(ISNUMBER(SEARCH("تعویض محصول",G87)),ISNUMBER(SEARCH("تعویض دستگاه",G87))),"تعویض کامل دستگاه (Replacement)",IF(ISNUMBER(SEARCH("پمپ",G87)),IF(ISNUMBER(SEARCH("نشت",G87)),"نشتی - پمپ تخلیه (تعمیر/آب‌بندی)","خرابی - پمپ تخلیه (تعویض)"),IF(ISNUMBER(SEARCH("کمپرسور",G87)),"خرابی - کمپرسور (تعویض)",IF(ISNUMBER(SEARCH("کمک فنر",G87)),"خرابی - کمک فنر (تعویض)",IF(ISNUMBER(SEARCH("لولا",G87)),"مکانیزم درب - لولا (تعویض)",IF(OR(ISNUMBER(SEARCH("قلاب",G87)),ISNUMBER(SEARCH("ميکروسوئيچ",G87)),ISNUMBER(SEARCH("میکروسوئیچ",G87))),"مکانیزم درب - میکروسوئیچ/قلاب (تعویض/تنظیم)",IF(ISNUMBER(SEARCH("زبانه",G87)),"مکانیزم درب - زبانه (تعویض)",IF(OR(ISNUMBER(SEARCH("شيلنگ",G87)),ISNUMBER(SEARCH("شیلنگ",G87))),IF(OR(ISNUMBER(SEARCH("نشتی",G87)),ISNUMBER(SEARCH("نشتي",G87))),"نشتی - شیلنگ (تعمیر/آب‌بندی)",IF(OR(ISNUMBER(SEARCH("يخ",G87)),ISNUMBER(SEARCH("یخ",G87))),"شیلنگ یخساز - یخ‌زدگی (بازبینی)","شیلنگ - برخورد/لهیدگی (بازبینی)")),IF(OR(ISNUMBER(SEARCH("تنظيم ديسپل",G87)),ISNUMBER(SEARCH("تنظیم دیسپل",G87)),ISNUMBER(SEARCH("تنظيم صفحه نمايش",G87)),ISNUMBER(SEARCH("تنظیم صفحه نمایش",G87))),"تنظیم - تنظیمات دستگاه/دیسپلی (تعمیر)",IF(OR(ISNUMBER(SEARCH("برد",G87)),ISNUMBER(SEARCH("سوکت",G87)),ISNUMBER(SEARCH("ديسپل",G87)),ISNUMBER(SEARCH("دیسپل",G87))),"خرابی - برد الکترونیک (تعویض)",IF(OR(ISNUMBER(SEARCH("يخساز",G87)),ISNUMBER(SEARCH("یخساز",G87)),ISNUMBER(SEARCH("دمپر",G87))),IF(OR(ISNUMBER(SEARCH("خرابی",G87)),ISNUMBER(SEARCH("خراب",G87)),ISNUMBER(SEARCH("عدم کارکرد",G87)),ISNUMBER(SEARCH("عدم عملکرد",G87))),"یخساز - خرابی موتور/سنسور/برد (تعویض)","یخساز - تنظیم/عایق (تعمیر)"),IF(OR(ISNUMBER(SEARCH("لاستيک",G87)),ISNUMBER(SEARCH("لاستیک",G87))),"لاستیک درزگیر - دفرمگی/پارگی (تعویض)",IF(OR(ISNUMBER(SEARCH("گسکت",G87)),ISNUMBER(SEARCH("گسگت",G87))),"لاستیک درزگیر - دفرمگی/پارگی (تعویض)",IF(ISNUMBER(SEARCH("مخزن نمک",G87)),"نشتی - درب مخزن نمک (تعمیر/آب‌بندی)",IF(ISNUMBER(SEARCH("براکت",G87)),"نشتی - براکت ریل (تعمیر/آب‌بندی)",IF(ISNUMBER(SEARCH("جاپودر",G87)),"نشتی - جاپودری (تعمیر/آب‌بندی)",IF(ISNUMBER(SEARCH("مقسم",G87)),"نشتی - مقسم آب (تعمیر/آب‌بندی)",IF(OR(ISNUMBER(SEARCH("سنسور دما",G87)),ISNUMBER(SEARCH("ترموستات",G87))),"خرابی - ترموستات (تعویض)",IF(OR(ISNUMBER(SEARCH("هيدروستات",G87)),ISNUMBER(SEARCH("هیدروستات",G87))),"خرابی - هیدروستات (تعویض)",IF(OR(ISNUMBER(SEARCH("بلبرينگ",G87)),ISNUMBER(SEARCH("بلبرینگ",G87))),"خرابی - بلبرینگ (تعویض)",IF(OR(ISNUMBER(SEARCH("شيربرق",G87)),ISNUMBER(SEARCH("شیربرق",G87))),"خرابی - شیربرقی (تعویض)",IF(OR(ISNUMBER(SEARCH("واتر جت",G87)),ISNUMBER(SEARCH("واترجت",G87))),"خرابی - واترجت (تعویض)",IF(OR(ISNUMBER(SEARCH("سيم",G87)),ISNUMBER(SEARCH("سیم",G87)),ISNUMBER(SEARCH("اتصال",G87))),"سیم‌کشی/اتصالات (تعویض/بازبینی)",IF(OR(ISNUMBER(SEARCH("تصوير",G87)),ISNUMBER(SEARCH("تصویر",G87))),"برد نمایش تلویزیون (تعویض)",IF(OR(ISNUMBER(SEARCH("ريموت",G87)),ISNUMBER(SEARCH("ریموت",G87))),"ریموت کنترل (تعویض/تعمیر)",IF(OR(ISNUMBER(SEARCH("ال اي دي",G87)),ISNUMBER(SEARCH("ال ای دی",G87)),ISNUMBER(SEARCH("LED",G87))),"خرابی - لامپ/LED داخلی (تعویض)",IF(ISNUMBER(SEARCH("زنگ زدگ",G87)),"زنگ‌زدگی بدنه/قطعه (تعویض)",IF(OR(ISNUMBER(SEARCH("قطعات تزئين",G87)),ISNUMBER(SEARCH("قطعات تزئین",G87))),"قطعات تزئینی - شکستگی/کسری (تعویض)",IF(ISNUMBER(SEARCH("سبد",G87)),"سبد ظرفشویی - شکستگی (تعویض)",IF(ISNUMBER(SEARCH("تاب درام",G87)),"خرابی - تاب برداشتن درام (تعویض)",IF(ISNUMBER(SEARCH("درام",G87)),"خرابی - سایر ایراد درام (تعویض)",IF(ISNUMBER(SEARCH("موتور",G87)),"خرابی - موتور (تعویض)",IF(ISNUMBER(SEARCH("تسمه",G87)),"خرابی - تسمه (تعویض)",IF(OR(ISNUMBER(SEARCH("پيچ ولوم",G87)),ISNUMBER(SEARCH("پیچ ولوم",G87))),"تنظیم - پیچ ولوم/دکمه (تعمیر)",IF(OR(ISNUMBER(SEARCH("کسري قطعات",G87)),ISNUMBER(SEARCH("کسری قطعات",G87))),"کسری قطعات تزئینی (تعویض)",IF(ISNUMBER(SEARCH("پرچ",G87)),"پرچ/بدنه کابین(تعمیر)",IF(OR(ISNUMBER(SEARCH("نشت",G87)),ISNUMBER(SEARCH("آبريزش",G87)),ISNUMBER(SEARCH("آبریزش",G87))),"نشتی آب - محل نامشخص (نیازمند بازدید)",IF(ISNUMBER(SEARCH("درب",G87)),"سایر اجزای درب (بازبینی)",IF(ISNUMBER(SEARCH("ضربه",G87)),"بدنه/کابین - ضربه (بازبینی/تعویض پنل)",IF(ISNUMBER(SEARCH("تراز",G87)),"تراز/لرزش - نصب (رگلاژ پایه)",IF(OR(ISNUMBER(SEARCH("تعویض",G87)),ISNUMBER(SEARCH("تعويض",G87))),"تعویض کامل دستگاه (Replacement)","سایر (نیازمند بررسی دستی)")))))))))))))))))))))))))))))))))))))))))))</f>
        <v/>
      </c>
      <c r="P87" s="124" t="inlineStr">
        <is>
          <t>*</t>
        </is>
      </c>
      <c r="Q87" s="124">
        <f>IF(ISNUMBER(SEARCH("عهده شرکت",F87)),"شرکت",IF(ISNUMBER(SEARCH("عهده مشتري",F87)),"مشتری",IF(ISNUMBER(SEARCH("عهده مشتری",F87)),"مشتری","نامشخص")))</f>
        <v/>
      </c>
      <c r="R87" s="178">
        <f>IF(O87="تعویض کامل دستگاه (Replacement)",IF(SUMIF('قیمت‌ها و مفروضات'!$A$9:$A$13,C87,'قیمت‌ها و مفروضات'!$C$9:$C$13)&lt;&gt;0,SUMIF('قیمت‌ها و مفروضات'!$A$9:$A$13,C87,'قیمت‌ها و مفروضات'!$C$9:$C$13),SUMIF('قیمت‌ها و مفروضات'!$A$9:$A$13,C87,'قیمت‌ها و مفروضات'!$B$9:$B$13)),IF(SUMIF('قیمت‌ها و مفروضات'!$A$18:$A$63,O87,'قیمت‌ها و مفروضات'!$C$18:$C$63)&lt;&gt;0,SUMIF('قیمت‌ها و مفروضات'!$A$18:$A$63,O87,'قیمت‌ها و مفروضات'!$C$18:$C$63),SUMIF('قیمت‌ها و مفروضات'!$A$18:$A$63,O87,'قیمت‌ها و مفروضات'!$B$18:$B$63)))</f>
        <v/>
      </c>
      <c r="S87" s="178">
        <f>'قیمت‌ها و مفروضات'!$B$3+'قیمت‌ها و مفروضات'!$B$4</f>
        <v/>
      </c>
      <c r="T87" s="178">
        <f>R87+S87</f>
        <v/>
      </c>
      <c r="U87" s="178">
        <f>IF(COUNTIF($E$2:E87,E87)&gt;1,"بله (تکراری)","خیر")</f>
        <v/>
      </c>
      <c r="V87" s="178">
        <f>IF(U87="بله (تکراری)",S87,0)</f>
        <v/>
      </c>
      <c r="W87" s="208" t="inlineStr"/>
      <c r="X87" s="208" t="inlineStr"/>
    </row>
    <row r="88" ht="58.5" customHeight="1" s="151">
      <c r="A88" s="176" t="n">
        <v>210012002</v>
      </c>
      <c r="B88" s="124">
        <f>CHOOSE(_xlfn.NUMBERVALUE(MID(H88,6,2)),"فروردین","اردیبهشت","خرداد","تیر","مرداد","شهریور","مهر","آبان","آذر","دی","بهمن","اسفند")</f>
        <v/>
      </c>
      <c r="C88" s="176" t="inlineStr">
        <is>
          <t>يخچال ميني</t>
        </is>
      </c>
      <c r="D88" s="176" t="inlineStr">
        <is>
          <t>CM-RS5BK1</t>
        </is>
      </c>
      <c r="E88" s="176" t="inlineStr">
        <is>
          <t>52240002N00838</t>
        </is>
      </c>
      <c r="F88" s="173" t="inlineStr">
        <is>
          <t>گرم شدن محصول**اياب و ذهاب به عهده شرکت</t>
        </is>
      </c>
      <c r="G88" s="173" t="inlineStr">
        <is>
          <t>خرابي ترموستات - يخچال ميني</t>
        </is>
      </c>
      <c r="H88" s="176" t="inlineStr">
        <is>
          <t>1405/01/22</t>
        </is>
      </c>
      <c r="I88" s="124" t="inlineStr">
        <is>
          <t>1403/12/11</t>
        </is>
      </c>
      <c r="J88" s="124" t="inlineStr">
        <is>
          <t>1404/05/28</t>
        </is>
      </c>
      <c r="K88" s="177">
        <f>IFERROR(VLOOKUP(LEFT(H88,7),'تبدیل تاریخ'!$A$2:$B$73,2,FALSE())+VALUE(RIGHT(H88,2))-1,"")</f>
        <v/>
      </c>
      <c r="L88" s="177">
        <f>IFERROR(VLOOKUP(LEFT(I88,7),'تبدیل تاریخ'!$A$2:$B$73,2,FALSE())+VALUE(RIGHT(I88,2))-1,"")</f>
        <v/>
      </c>
      <c r="M88" s="177">
        <f>IF(J88="","",IFERROR(VLOOKUP(LEFT(J88,7),'تبدیل تاریخ'!$A$2:$B$73,2,FALSE())+VALUE(RIGHT(J88,2))-1,""))</f>
        <v/>
      </c>
      <c r="N88" s="124">
        <f>IF(OR(K88="",M88=""),"",CEILING((K88-M88)/30,1))</f>
        <v/>
      </c>
      <c r="O88" s="124">
        <f>IF(OR(ISNUMBER(SEARCH("بدون مورد",G88)),ISNUMBER(SEARCH("غير گارانتي",G88)),ISNUMBER(SEARCH("غیر گارانتی",G88)),ISNUMBER(SEARCH("بدون اجرت",G88)),ISNUMBER(SEARCH("فيلتر",G88)),ISNUMBER(SEARCH("فیلتر",G88))),"غیرگارانتی/بدون قطعه",IF(OR(ISNUMBER(SEARCH("ريست",G88)),ISNUMBER(SEARCH("ریست",G88))),"ریست نرم‌افزاری (بدون قطعه)",IF(OR(ISNUMBER(SEARCH("تعویض محصول",G88)),ISNUMBER(SEARCH("تعویض دستگاه",G88))),"تعویض کامل دستگاه (Replacement)",IF(ISNUMBER(SEARCH("پمپ",G88)),IF(ISNUMBER(SEARCH("نشت",G88)),"نشتی - پمپ تخلیه (تعمیر/آب‌بندی)","خرابی - پمپ تخلیه (تعویض)"),IF(ISNUMBER(SEARCH("کمپرسور",G88)),"خرابی - کمپرسور (تعویض)",IF(ISNUMBER(SEARCH("کمک فنر",G88)),"خرابی - کمک فنر (تعویض)",IF(ISNUMBER(SEARCH("لولا",G88)),"مکانیزم درب - لولا (تعویض)",IF(OR(ISNUMBER(SEARCH("قلاب",G88)),ISNUMBER(SEARCH("ميکروسوئيچ",G88)),ISNUMBER(SEARCH("میکروسوئیچ",G88))),"مکانیزم درب - میکروسوئیچ/قلاب (تعویض/تنظیم)",IF(ISNUMBER(SEARCH("زبانه",G88)),"مکانیزم درب - زبانه (تعویض)",IF(OR(ISNUMBER(SEARCH("شيلنگ",G88)),ISNUMBER(SEARCH("شیلنگ",G88))),IF(OR(ISNUMBER(SEARCH("نشتی",G88)),ISNUMBER(SEARCH("نشتي",G88))),"نشتی - شیلنگ (تعمیر/آب‌بندی)",IF(OR(ISNUMBER(SEARCH("يخ",G88)),ISNUMBER(SEARCH("یخ",G88))),"شیلنگ یخساز - یخ‌زدگی (بازبینی)","شیلنگ - برخورد/لهیدگی (بازبینی)")),IF(OR(ISNUMBER(SEARCH("تنظيم ديسپل",G88)),ISNUMBER(SEARCH("تنظیم دیسپل",G88)),ISNUMBER(SEARCH("تنظيم صفحه نمايش",G88)),ISNUMBER(SEARCH("تنظیم صفحه نمایش",G88))),"تنظیم - تنظیمات دستگاه/دیسپلی (تعمیر)",IF(OR(ISNUMBER(SEARCH("برد",G88)),ISNUMBER(SEARCH("سوکت",G88)),ISNUMBER(SEARCH("ديسپل",G88)),ISNUMBER(SEARCH("دیسپل",G88))),"خرابی - برد الکترونیک (تعویض)",IF(OR(ISNUMBER(SEARCH("يخساز",G88)),ISNUMBER(SEARCH("یخساز",G88)),ISNUMBER(SEARCH("دمپر",G88))),IF(OR(ISNUMBER(SEARCH("خرابی",G88)),ISNUMBER(SEARCH("خراب",G88)),ISNUMBER(SEARCH("عدم کارکرد",G88)),ISNUMBER(SEARCH("عدم عملکرد",G88))),"یخساز - خرابی موتور/سنسور/برد (تعویض)","یخساز - تنظیم/عایق (تعمیر)"),IF(OR(ISNUMBER(SEARCH("لاستيک",G88)),ISNUMBER(SEARCH("لاستیک",G88))),"لاستیک درزگیر - دفرمگی/پارگی (تعویض)",IF(OR(ISNUMBER(SEARCH("گسکت",G88)),ISNUMBER(SEARCH("گسگت",G88))),"لاستیک درزگیر - دفرمگی/پارگی (تعویض)",IF(ISNUMBER(SEARCH("مخزن نمک",G88)),"نشتی - درب مخزن نمک (تعمیر/آب‌بندی)",IF(ISNUMBER(SEARCH("براکت",G88)),"نشتی - براکت ریل (تعمیر/آب‌بندی)",IF(ISNUMBER(SEARCH("جاپودر",G88)),"نشتی - جاپودری (تعمیر/آب‌بندی)",IF(ISNUMBER(SEARCH("مقسم",G88)),"نشتی - مقسم آب (تعمیر/آب‌بندی)",IF(OR(ISNUMBER(SEARCH("سنسور دما",G88)),ISNUMBER(SEARCH("ترموستات",G88))),"خرابی - ترموستات (تعویض)",IF(OR(ISNUMBER(SEARCH("هيدروستات",G88)),ISNUMBER(SEARCH("هیدروستات",G88))),"خرابی - هیدروستات (تعویض)",IF(OR(ISNUMBER(SEARCH("بلبرينگ",G88)),ISNUMBER(SEARCH("بلبرینگ",G88))),"خرابی - بلبرینگ (تعویض)",IF(OR(ISNUMBER(SEARCH("شيربرق",G88)),ISNUMBER(SEARCH("شیربرق",G88))),"خرابی - شیربرقی (تعویض)",IF(OR(ISNUMBER(SEARCH("واتر جت",G88)),ISNUMBER(SEARCH("واترجت",G88))),"خرابی - واترجت (تعویض)",IF(OR(ISNUMBER(SEARCH("سيم",G88)),ISNUMBER(SEARCH("سیم",G88)),ISNUMBER(SEARCH("اتصال",G88))),"سیم‌کشی/اتصالات (تعویض/بازبینی)",IF(OR(ISNUMBER(SEARCH("تصوير",G88)),ISNUMBER(SEARCH("تصویر",G88))),"برد نمایش تلویزیون (تعویض)",IF(OR(ISNUMBER(SEARCH("ريموت",G88)),ISNUMBER(SEARCH("ریموت",G88))),"ریموت کنترل (تعویض/تعمیر)",IF(OR(ISNUMBER(SEARCH("ال اي دي",G88)),ISNUMBER(SEARCH("ال ای دی",G88)),ISNUMBER(SEARCH("LED",G88))),"خرابی - لامپ/LED داخلی (تعویض)",IF(ISNUMBER(SEARCH("زنگ زدگ",G88)),"زنگ‌زدگی بدنه/قطعه (تعویض)",IF(OR(ISNUMBER(SEARCH("قطعات تزئين",G88)),ISNUMBER(SEARCH("قطعات تزئین",G88))),"قطعات تزئینی - شکستگی/کسری (تعویض)",IF(ISNUMBER(SEARCH("سبد",G88)),"سبد ظرفشویی - شکستگی (تعویض)",IF(ISNUMBER(SEARCH("تاب درام",G88)),"خرابی - تاب برداشتن درام (تعویض)",IF(ISNUMBER(SEARCH("درام",G88)),"خرابی - سایر ایراد درام (تعویض)",IF(ISNUMBER(SEARCH("موتور",G88)),"خرابی - موتور (تعویض)",IF(ISNUMBER(SEARCH("تسمه",G88)),"خرابی - تسمه (تعویض)",IF(OR(ISNUMBER(SEARCH("پيچ ولوم",G88)),ISNUMBER(SEARCH("پیچ ولوم",G88))),"تنظیم - پیچ ولوم/دکمه (تعمیر)",IF(OR(ISNUMBER(SEARCH("کسري قطعات",G88)),ISNUMBER(SEARCH("کسری قطعات",G88))),"کسری قطعات تزئینی (تعویض)",IF(ISNUMBER(SEARCH("پرچ",G88)),"پرچ/بدنه کابین(تعمیر)",IF(OR(ISNUMBER(SEARCH("نشت",G88)),ISNUMBER(SEARCH("آبريزش",G88)),ISNUMBER(SEARCH("آبریزش",G88))),"نشتی آب - محل نامشخص (نیازمند بازدید)",IF(ISNUMBER(SEARCH("درب",G88)),"سایر اجزای درب (بازبینی)",IF(ISNUMBER(SEARCH("ضربه",G88)),"بدنه/کابین - ضربه (بازبینی/تعویض پنل)",IF(ISNUMBER(SEARCH("تراز",G88)),"تراز/لرزش - نصب (رگلاژ پایه)",IF(OR(ISNUMBER(SEARCH("تعویض",G88)),ISNUMBER(SEARCH("تعويض",G88))),"تعویض کامل دستگاه (Replacement)","سایر (نیازمند بررسی دستی)")))))))))))))))))))))))))))))))))))))))))))</f>
        <v/>
      </c>
      <c r="P88" s="124" t="inlineStr">
        <is>
          <t>ترموستات مینی</t>
        </is>
      </c>
      <c r="Q88" s="124">
        <f>IF(ISNUMBER(SEARCH("عهده شرکت",F88)),"شرکت",IF(ISNUMBER(SEARCH("عهده مشتري",F88)),"مشتری",IF(ISNUMBER(SEARCH("عهده مشتری",F88)),"مشتری","نامشخص")))</f>
        <v/>
      </c>
      <c r="R88" s="178">
        <f>IF(O88="تعویض کامل دستگاه (Replacement)",IF(SUMIF('قیمت‌ها و مفروضات'!$A$9:$A$13,C88,'قیمت‌ها و مفروضات'!$C$9:$C$13)&lt;&gt;0,SUMIF('قیمت‌ها و مفروضات'!$A$9:$A$13,C88,'قیمت‌ها و مفروضات'!$C$9:$C$13),SUMIF('قیمت‌ها و مفروضات'!$A$9:$A$13,C88,'قیمت‌ها و مفروضات'!$B$9:$B$13)),IF(SUMIF('قیمت‌ها و مفروضات'!$A$18:$A$63,O88,'قیمت‌ها و مفروضات'!$C$18:$C$63)&lt;&gt;0,SUMIF('قیمت‌ها و مفروضات'!$A$18:$A$63,O88,'قیمت‌ها و مفروضات'!$C$18:$C$63),SUMIF('قیمت‌ها و مفروضات'!$A$18:$A$63,O88,'قیمت‌ها و مفروضات'!$B$18:$B$63)))</f>
        <v/>
      </c>
      <c r="S88" s="178">
        <f>'قیمت‌ها و مفروضات'!$B$3+'قیمت‌ها و مفروضات'!$B$4</f>
        <v/>
      </c>
      <c r="T88" s="178">
        <f>R88+S88</f>
        <v/>
      </c>
      <c r="U88" s="178">
        <f>IF(COUNTIF($E$2:E88,E88)&gt;1,"بله (تکراری)","خیر")</f>
        <v/>
      </c>
      <c r="V88" s="178">
        <f>IF(U88="بله (تکراری)",S88,0)</f>
        <v/>
      </c>
      <c r="W88" s="208" t="inlineStr"/>
      <c r="X88" s="208" t="inlineStr"/>
    </row>
    <row r="89" ht="58.5" customHeight="1" s="151">
      <c r="A89" s="176" t="n">
        <v>510020243</v>
      </c>
      <c r="B89" s="124">
        <f>CHOOSE(_xlfn.NUMBERVALUE(MID(H89,6,2)),"فروردین","اردیبهشت","خرداد","تیر","مرداد","شهریور","مهر","آبان","آذر","دی","بهمن","اسفند")</f>
        <v/>
      </c>
      <c r="C89" s="176" t="inlineStr">
        <is>
          <t>ماشين لباسشويي</t>
        </is>
      </c>
      <c r="D89" s="176" t="inlineStr">
        <is>
          <t>CWM-BMW9T1</t>
        </is>
      </c>
      <c r="E89" s="176" t="inlineStr">
        <is>
          <t>52210007N01378</t>
        </is>
      </c>
      <c r="F89" s="173" t="inlineStr">
        <is>
          <t>صداي غيرعادي هنگام خشک کن**اياب و ذهاب به عهده شرکت</t>
        </is>
      </c>
      <c r="G89" s="173" t="inlineStr">
        <is>
          <t>تراز پايه تنظيم</t>
        </is>
      </c>
      <c r="H89" s="176" t="inlineStr">
        <is>
          <t>1405/01/23</t>
        </is>
      </c>
      <c r="I89" s="124" t="inlineStr">
        <is>
          <t>1404/05/13</t>
        </is>
      </c>
      <c r="J89" s="124" t="inlineStr">
        <is>
          <t>1404/12/17</t>
        </is>
      </c>
      <c r="K89" s="177">
        <f>IFERROR(VLOOKUP(LEFT(H89,7),'تبدیل تاریخ'!$A$2:$B$73,2,FALSE())+VALUE(RIGHT(H89,2))-1,"")</f>
        <v/>
      </c>
      <c r="L89" s="177">
        <f>IFERROR(VLOOKUP(LEFT(I89,7),'تبدیل تاریخ'!$A$2:$B$73,2,FALSE())+VALUE(RIGHT(I89,2))-1,"")</f>
        <v/>
      </c>
      <c r="M89" s="177">
        <f>IF(J89="","",IFERROR(VLOOKUP(LEFT(J89,7),'تبدیل تاریخ'!$A$2:$B$73,2,FALSE())+VALUE(RIGHT(J89,2))-1,""))</f>
        <v/>
      </c>
      <c r="N89" s="124">
        <f>IF(OR(K89="",M89=""),"",CEILING((K89-M89)/30,1))</f>
        <v/>
      </c>
      <c r="O89" s="124">
        <f>IF(OR(ISNUMBER(SEARCH("بدون مورد",G89)),ISNUMBER(SEARCH("غير گارانتي",G89)),ISNUMBER(SEARCH("غیر گارانتی",G89)),ISNUMBER(SEARCH("بدون اجرت",G89)),ISNUMBER(SEARCH("فيلتر",G89)),ISNUMBER(SEARCH("فیلتر",G89))),"غیرگارانتی/بدون قطعه",IF(OR(ISNUMBER(SEARCH("ريست",G89)),ISNUMBER(SEARCH("ریست",G89))),"ریست نرم‌افزاری (بدون قطعه)",IF(OR(ISNUMBER(SEARCH("تعویض محصول",G89)),ISNUMBER(SEARCH("تعویض دستگاه",G89))),"تعویض کامل دستگاه (Replacement)",IF(ISNUMBER(SEARCH("پمپ",G89)),IF(ISNUMBER(SEARCH("نشت",G89)),"نشتی - پمپ تخلیه (تعمیر/آب‌بندی)","خرابی - پمپ تخلیه (تعویض)"),IF(ISNUMBER(SEARCH("کمپرسور",G89)),"خرابی - کمپرسور (تعویض)",IF(ISNUMBER(SEARCH("کمک فنر",G89)),"خرابی - کمک فنر (تعویض)",IF(ISNUMBER(SEARCH("لولا",G89)),"مکانیزم درب - لولا (تعویض)",IF(OR(ISNUMBER(SEARCH("قلاب",G89)),ISNUMBER(SEARCH("ميکروسوئيچ",G89)),ISNUMBER(SEARCH("میکروسوئیچ",G89))),"مکانیزم درب - میکروسوئیچ/قلاب (تعویض/تنظیم)",IF(ISNUMBER(SEARCH("زبانه",G89)),"مکانیزم درب - زبانه (تعویض)",IF(OR(ISNUMBER(SEARCH("شيلنگ",G89)),ISNUMBER(SEARCH("شیلنگ",G89))),IF(OR(ISNUMBER(SEARCH("نشتی",G89)),ISNUMBER(SEARCH("نشتي",G89))),"نشتی - شیلنگ (تعمیر/آب‌بندی)",IF(OR(ISNUMBER(SEARCH("يخ",G89)),ISNUMBER(SEARCH("یخ",G89))),"شیلنگ یخساز - یخ‌زدگی (بازبینی)","شیلنگ - برخورد/لهیدگی (بازبینی)")),IF(OR(ISNUMBER(SEARCH("تنظيم ديسپل",G89)),ISNUMBER(SEARCH("تنظیم دیسپل",G89)),ISNUMBER(SEARCH("تنظيم صفحه نمايش",G89)),ISNUMBER(SEARCH("تنظیم صفحه نمایش",G89))),"تنظیم - تنظیمات دستگاه/دیسپلی (تعمیر)",IF(OR(ISNUMBER(SEARCH("برد",G89)),ISNUMBER(SEARCH("سوکت",G89)),ISNUMBER(SEARCH("ديسپل",G89)),ISNUMBER(SEARCH("دیسپل",G89))),"خرابی - برد الکترونیک (تعویض)",IF(OR(ISNUMBER(SEARCH("يخساز",G89)),ISNUMBER(SEARCH("یخساز",G89)),ISNUMBER(SEARCH("دمپر",G89))),IF(OR(ISNUMBER(SEARCH("خرابی",G89)),ISNUMBER(SEARCH("خراب",G89)),ISNUMBER(SEARCH("عدم کارکرد",G89)),ISNUMBER(SEARCH("عدم عملکرد",G89))),"یخساز - خرابی موتور/سنسور/برد (تعویض)","یخساز - تنظیم/عایق (تعمیر)"),IF(OR(ISNUMBER(SEARCH("لاستيک",G89)),ISNUMBER(SEARCH("لاستیک",G89))),"لاستیک درزگیر - دفرمگی/پارگی (تعویض)",IF(OR(ISNUMBER(SEARCH("گسکت",G89)),ISNUMBER(SEARCH("گسگت",G89))),"لاستیک درزگیر - دفرمگی/پارگی (تعویض)",IF(ISNUMBER(SEARCH("مخزن نمک",G89)),"نشتی - درب مخزن نمک (تعمیر/آب‌بندی)",IF(ISNUMBER(SEARCH("براکت",G89)),"نشتی - براکت ریل (تعمیر/آب‌بندی)",IF(ISNUMBER(SEARCH("جاپودر",G89)),"نشتی - جاپودری (تعمیر/آب‌بندی)",IF(ISNUMBER(SEARCH("مقسم",G89)),"نشتی - مقسم آب (تعمیر/آب‌بندی)",IF(OR(ISNUMBER(SEARCH("سنسور دما",G89)),ISNUMBER(SEARCH("ترموستات",G89))),"خرابی - ترموستات (تعویض)",IF(OR(ISNUMBER(SEARCH("هيدروستات",G89)),ISNUMBER(SEARCH("هیدروستات",G89))),"خرابی - هیدروستات (تعویض)",IF(OR(ISNUMBER(SEARCH("بلبرينگ",G89)),ISNUMBER(SEARCH("بلبرینگ",G89))),"خرابی - بلبرینگ (تعویض)",IF(OR(ISNUMBER(SEARCH("شيربرق",G89)),ISNUMBER(SEARCH("شیربرق",G89))),"خرابی - شیربرقی (تعویض)",IF(OR(ISNUMBER(SEARCH("واتر جت",G89)),ISNUMBER(SEARCH("واترجت",G89))),"خرابی - واترجت (تعویض)",IF(OR(ISNUMBER(SEARCH("سيم",G89)),ISNUMBER(SEARCH("سیم",G89)),ISNUMBER(SEARCH("اتصال",G89))),"سیم‌کشی/اتصالات (تعویض/بازبینی)",IF(OR(ISNUMBER(SEARCH("تصوير",G89)),ISNUMBER(SEARCH("تصویر",G89))),"برد نمایش تلویزیون (تعویض)",IF(OR(ISNUMBER(SEARCH("ريموت",G89)),ISNUMBER(SEARCH("ریموت",G89))),"ریموت کنترل (تعویض/تعمیر)",IF(OR(ISNUMBER(SEARCH("ال اي دي",G89)),ISNUMBER(SEARCH("ال ای دی",G89)),ISNUMBER(SEARCH("LED",G89))),"خرابی - لامپ/LED داخلی (تعویض)",IF(ISNUMBER(SEARCH("زنگ زدگ",G89)),"زنگ‌زدگی بدنه/قطعه (تعویض)",IF(OR(ISNUMBER(SEARCH("قطعات تزئين",G89)),ISNUMBER(SEARCH("قطعات تزئین",G89))),"قطعات تزئینی - شکستگی/کسری (تعویض)",IF(ISNUMBER(SEARCH("سبد",G89)),"سبد ظرفشویی - شکستگی (تعویض)",IF(ISNUMBER(SEARCH("تاب درام",G89)),"خرابی - تاب برداشتن درام (تعویض)",IF(ISNUMBER(SEARCH("درام",G89)),"خرابی - سایر ایراد درام (تعویض)",IF(ISNUMBER(SEARCH("موتور",G89)),"خرابی - موتور (تعویض)",IF(ISNUMBER(SEARCH("تسمه",G89)),"خرابی - تسمه (تعویض)",IF(OR(ISNUMBER(SEARCH("پيچ ولوم",G89)),ISNUMBER(SEARCH("پیچ ولوم",G89))),"تنظیم - پیچ ولوم/دکمه (تعمیر)",IF(OR(ISNUMBER(SEARCH("کسري قطعات",G89)),ISNUMBER(SEARCH("کسری قطعات",G89))),"کسری قطعات تزئینی (تعویض)",IF(ISNUMBER(SEARCH("پرچ",G89)),"پرچ/بدنه کابین(تعمیر)",IF(OR(ISNUMBER(SEARCH("نشت",G89)),ISNUMBER(SEARCH("آبريزش",G89)),ISNUMBER(SEARCH("آبریزش",G89))),"نشتی آب - محل نامشخص (نیازمند بازدید)",IF(ISNUMBER(SEARCH("درب",G89)),"سایر اجزای درب (بازبینی)",IF(ISNUMBER(SEARCH("ضربه",G89)),"بدنه/کابین - ضربه (بازبینی/تعویض پنل)",IF(ISNUMBER(SEARCH("تراز",G89)),"تراز/لرزش - نصب (رگلاژ پایه)",IF(OR(ISNUMBER(SEARCH("تعویض",G89)),ISNUMBER(SEARCH("تعويض",G89))),"تعویض کامل دستگاه (Replacement)","سایر (نیازمند بررسی دستی)")))))))))))))))))))))))))))))))))))))))))))</f>
        <v/>
      </c>
      <c r="P89" s="124" t="inlineStr">
        <is>
          <t>رگلاژ پایه تنظیم لباسشویی</t>
        </is>
      </c>
      <c r="Q89" s="124">
        <f>IF(ISNUMBER(SEARCH("عهده شرکت",F89)),"شرکت",IF(ISNUMBER(SEARCH("عهده مشتري",F89)),"مشتری",IF(ISNUMBER(SEARCH("عهده مشتری",F89)),"مشتری","نامشخص")))</f>
        <v/>
      </c>
      <c r="R89" s="178">
        <f>IF(O89="تعویض کامل دستگاه (Replacement)",IF(SUMIF('قیمت‌ها و مفروضات'!$A$9:$A$13,C89,'قیمت‌ها و مفروضات'!$C$9:$C$13)&lt;&gt;0,SUMIF('قیمت‌ها و مفروضات'!$A$9:$A$13,C89,'قیمت‌ها و مفروضات'!$C$9:$C$13),SUMIF('قیمت‌ها و مفروضات'!$A$9:$A$13,C89,'قیمت‌ها و مفروضات'!$B$9:$B$13)),IF(SUMIF('قیمت‌ها و مفروضات'!$A$18:$A$63,O89,'قیمت‌ها و مفروضات'!$C$18:$C$63)&lt;&gt;0,SUMIF('قیمت‌ها و مفروضات'!$A$18:$A$63,O89,'قیمت‌ها و مفروضات'!$C$18:$C$63),SUMIF('قیمت‌ها و مفروضات'!$A$18:$A$63,O89,'قیمت‌ها و مفروضات'!$B$18:$B$63)))</f>
        <v/>
      </c>
      <c r="S89" s="178">
        <f>'قیمت‌ها و مفروضات'!$B$3+'قیمت‌ها و مفروضات'!$B$4</f>
        <v/>
      </c>
      <c r="T89" s="178">
        <f>R89+S89</f>
        <v/>
      </c>
      <c r="U89" s="178">
        <f>IF(COUNTIF($E$2:E89,E89)&gt;1,"بله (تکراری)","خیر")</f>
        <v/>
      </c>
      <c r="V89" s="178">
        <f>IF(U89="بله (تکراری)",S89,0)</f>
        <v/>
      </c>
      <c r="W89" s="208" t="inlineStr"/>
      <c r="X89" s="208" t="inlineStr"/>
    </row>
    <row r="90" ht="58.5" customHeight="1" s="151">
      <c r="A90" s="176" t="n">
        <v>210012260</v>
      </c>
      <c r="B90" s="124">
        <f>CHOOSE(_xlfn.NUMBERVALUE(MID(H90,6,2)),"فروردین","اردیبهشت","خرداد","تیر","مرداد","شهریور","مهر","آبان","آذر","دی","بهمن","اسفند")</f>
        <v/>
      </c>
      <c r="C90" s="176" t="inlineStr">
        <is>
          <t>یخچال ساید‌بای‌ساید</t>
        </is>
      </c>
      <c r="D90" s="176" t="inlineStr">
        <is>
          <t>C2S-29HS1</t>
        </is>
      </c>
      <c r="E90" s="176" t="inlineStr">
        <is>
          <t>52240001N00401</t>
        </is>
      </c>
      <c r="F90" s="173" t="inlineStr">
        <is>
          <t>تعويض فيلتر - غيرگارانتي</t>
        </is>
      </c>
      <c r="G90" s="173" t="inlineStr">
        <is>
          <t>تعويض فيلتر / غيرگارانتي - سايد باي سايد</t>
        </is>
      </c>
      <c r="H90" s="176" t="inlineStr">
        <is>
          <t>1405/01/16</t>
        </is>
      </c>
      <c r="I90" s="124" t="inlineStr">
        <is>
          <t>1403/04/03</t>
        </is>
      </c>
      <c r="J90" s="124" t="inlineStr">
        <is>
          <t>1403/09/28</t>
        </is>
      </c>
      <c r="K90" s="177">
        <f>IFERROR(VLOOKUP(LEFT(H90,7),'تبدیل تاریخ'!$A$2:$B$73,2,FALSE())+VALUE(RIGHT(H90,2))-1,"")</f>
        <v/>
      </c>
      <c r="L90" s="177">
        <f>IFERROR(VLOOKUP(LEFT(I90,7),'تبدیل تاریخ'!$A$2:$B$73,2,FALSE())+VALUE(RIGHT(I90,2))-1,"")</f>
        <v/>
      </c>
      <c r="M90" s="177">
        <f>IF(J90="","",IFERROR(VLOOKUP(LEFT(J90,7),'تبدیل تاریخ'!$A$2:$B$73,2,FALSE())+VALUE(RIGHT(J90,2))-1,""))</f>
        <v/>
      </c>
      <c r="N90" s="124">
        <f>IF(OR(K90="",M90=""),"",CEILING((K90-M90)/30,1))</f>
        <v/>
      </c>
      <c r="O90" s="124">
        <f>IF(OR(ISNUMBER(SEARCH("بدون مورد",G90)),ISNUMBER(SEARCH("غير گارانتي",G90)),ISNUMBER(SEARCH("غیر گارانتی",G90)),ISNUMBER(SEARCH("بدون اجرت",G90)),ISNUMBER(SEARCH("فيلتر",G90)),ISNUMBER(SEARCH("فیلتر",G90))),"غیرگارانتی/بدون قطعه",IF(OR(ISNUMBER(SEARCH("ريست",G90)),ISNUMBER(SEARCH("ریست",G90))),"ریست نرم‌افزاری (بدون قطعه)",IF(OR(ISNUMBER(SEARCH("تعویض محصول",G90)),ISNUMBER(SEARCH("تعویض دستگاه",G90))),"تعویض کامل دستگاه (Replacement)",IF(ISNUMBER(SEARCH("پمپ",G90)),IF(ISNUMBER(SEARCH("نشت",G90)),"نشتی - پمپ تخلیه (تعمیر/آب‌بندی)","خرابی - پمپ تخلیه (تعویض)"),IF(ISNUMBER(SEARCH("کمپرسور",G90)),"خرابی - کمپرسور (تعویض)",IF(ISNUMBER(SEARCH("کمک فنر",G90)),"خرابی - کمک فنر (تعویض)",IF(ISNUMBER(SEARCH("لولا",G90)),"مکانیزم درب - لولا (تعویض)",IF(OR(ISNUMBER(SEARCH("قلاب",G90)),ISNUMBER(SEARCH("ميکروسوئيچ",G90)),ISNUMBER(SEARCH("میکروسوئیچ",G90))),"مکانیزم درب - میکروسوئیچ/قلاب (تعویض/تنظیم)",IF(ISNUMBER(SEARCH("زبانه",G90)),"مکانیزم درب - زبانه (تعویض)",IF(OR(ISNUMBER(SEARCH("شيلنگ",G90)),ISNUMBER(SEARCH("شیلنگ",G90))),IF(OR(ISNUMBER(SEARCH("نشتی",G90)),ISNUMBER(SEARCH("نشتي",G90))),"نشتی - شیلنگ (تعمیر/آب‌بندی)",IF(OR(ISNUMBER(SEARCH("يخ",G90)),ISNUMBER(SEARCH("یخ",G90))),"شیلنگ یخساز - یخ‌زدگی (بازبینی)","شیلنگ - برخورد/لهیدگی (بازبینی)")),IF(OR(ISNUMBER(SEARCH("تنظيم ديسپل",G90)),ISNUMBER(SEARCH("تنظیم دیسپل",G90)),ISNUMBER(SEARCH("تنظيم صفحه نمايش",G90)),ISNUMBER(SEARCH("تنظیم صفحه نمایش",G90))),"تنظیم - تنظیمات دستگاه/دیسپلی (تعمیر)",IF(OR(ISNUMBER(SEARCH("برد",G90)),ISNUMBER(SEARCH("سوکت",G90)),ISNUMBER(SEARCH("ديسپل",G90)),ISNUMBER(SEARCH("دیسپل",G90))),"خرابی - برد الکترونیک (تعویض)",IF(OR(ISNUMBER(SEARCH("يخساز",G90)),ISNUMBER(SEARCH("یخساز",G90)),ISNUMBER(SEARCH("دمپر",G90))),IF(OR(ISNUMBER(SEARCH("خرابی",G90)),ISNUMBER(SEARCH("خراب",G90)),ISNUMBER(SEARCH("عدم کارکرد",G90)),ISNUMBER(SEARCH("عدم عملکرد",G90))),"یخساز - خرابی موتور/سنسور/برد (تعویض)","یخساز - تنظیم/عایق (تعمیر)"),IF(OR(ISNUMBER(SEARCH("لاستيک",G90)),ISNUMBER(SEARCH("لاستیک",G90))),"لاستیک درزگیر - دفرمگی/پارگی (تعویض)",IF(OR(ISNUMBER(SEARCH("گسکت",G90)),ISNUMBER(SEARCH("گسگت",G90))),"لاستیک درزگیر - دفرمگی/پارگی (تعویض)",IF(ISNUMBER(SEARCH("مخزن نمک",G90)),"نشتی - درب مخزن نمک (تعمیر/آب‌بندی)",IF(ISNUMBER(SEARCH("براکت",G90)),"نشتی - براکت ریل (تعمیر/آب‌بندی)",IF(ISNUMBER(SEARCH("جاپودر",G90)),"نشتی - جاپودری (تعمیر/آب‌بندی)",IF(ISNUMBER(SEARCH("مقسم",G90)),"نشتی - مقسم آب (تعمیر/آب‌بندی)",IF(OR(ISNUMBER(SEARCH("سنسور دما",G90)),ISNUMBER(SEARCH("ترموستات",G90))),"خرابی - ترموستات (تعویض)",IF(OR(ISNUMBER(SEARCH("هيدروستات",G90)),ISNUMBER(SEARCH("هیدروستات",G90))),"خرابی - هیدروستات (تعویض)",IF(OR(ISNUMBER(SEARCH("بلبرينگ",G90)),ISNUMBER(SEARCH("بلبرینگ",G90))),"خرابی - بلبرینگ (تعویض)",IF(OR(ISNUMBER(SEARCH("شيربرق",G90)),ISNUMBER(SEARCH("شیربرق",G90))),"خرابی - شیربرقی (تعویض)",IF(OR(ISNUMBER(SEARCH("واتر جت",G90)),ISNUMBER(SEARCH("واترجت",G90))),"خرابی - واترجت (تعویض)",IF(OR(ISNUMBER(SEARCH("سيم",G90)),ISNUMBER(SEARCH("سیم",G90)),ISNUMBER(SEARCH("اتصال",G90))),"سیم‌کشی/اتصالات (تعویض/بازبینی)",IF(OR(ISNUMBER(SEARCH("تصوير",G90)),ISNUMBER(SEARCH("تصویر",G90))),"برد نمایش تلویزیون (تعویض)",IF(OR(ISNUMBER(SEARCH("ريموت",G90)),ISNUMBER(SEARCH("ریموت",G90))),"ریموت کنترل (تعویض/تعمیر)",IF(OR(ISNUMBER(SEARCH("ال اي دي",G90)),ISNUMBER(SEARCH("ال ای دی",G90)),ISNUMBER(SEARCH("LED",G90))),"خرابی - لامپ/LED داخلی (تعویض)",IF(ISNUMBER(SEARCH("زنگ زدگ",G90)),"زنگ‌زدگی بدنه/قطعه (تعویض)",IF(OR(ISNUMBER(SEARCH("قطعات تزئين",G90)),ISNUMBER(SEARCH("قطعات تزئین",G90))),"قطعات تزئینی - شکستگی/کسری (تعویض)",IF(ISNUMBER(SEARCH("سبد",G90)),"سبد ظرفشویی - شکستگی (تعویض)",IF(ISNUMBER(SEARCH("تاب درام",G90)),"خرابی - تاب برداشتن درام (تعویض)",IF(ISNUMBER(SEARCH("درام",G90)),"خرابی - سایر ایراد درام (تعویض)",IF(ISNUMBER(SEARCH("موتور",G90)),"خرابی - موتور (تعویض)",IF(ISNUMBER(SEARCH("تسمه",G90)),"خرابی - تسمه (تعویض)",IF(OR(ISNUMBER(SEARCH("پيچ ولوم",G90)),ISNUMBER(SEARCH("پیچ ولوم",G90))),"تنظیم - پیچ ولوم/دکمه (تعمیر)",IF(OR(ISNUMBER(SEARCH("کسري قطعات",G90)),ISNUMBER(SEARCH("کسری قطعات",G90))),"کسری قطعات تزئینی (تعویض)",IF(ISNUMBER(SEARCH("پرچ",G90)),"پرچ/بدنه کابین(تعمیر)",IF(OR(ISNUMBER(SEARCH("نشت",G90)),ISNUMBER(SEARCH("آبريزش",G90)),ISNUMBER(SEARCH("آبریزش",G90))),"نشتی آب - محل نامشخص (نیازمند بازدید)",IF(ISNUMBER(SEARCH("درب",G90)),"سایر اجزای درب (بازبینی)",IF(ISNUMBER(SEARCH("ضربه",G90)),"بدنه/کابین - ضربه (بازبینی/تعویض پنل)",IF(ISNUMBER(SEARCH("تراز",G90)),"تراز/لرزش - نصب (رگلاژ پایه)",IF(OR(ISNUMBER(SEARCH("تعویض",G90)),ISNUMBER(SEARCH("تعويض",G90))),"تعویض کامل دستگاه (Replacement)","سایر (نیازمند بررسی دستی)")))))))))))))))))))))))))))))))))))))))))))</f>
        <v/>
      </c>
      <c r="P90" s="124" t="inlineStr">
        <is>
          <t>*</t>
        </is>
      </c>
      <c r="Q90" s="124">
        <f>IF(ISNUMBER(SEARCH("عهده شرکت",F90)),"شرکت",IF(ISNUMBER(SEARCH("عهده مشتري",F90)),"مشتری",IF(ISNUMBER(SEARCH("عهده مشتری",F90)),"مشتری","نامشخص")))</f>
        <v/>
      </c>
      <c r="R90" s="178">
        <f>IF(O90="تعویض کامل دستگاه (Replacement)",IF(SUMIF('قیمت‌ها و مفروضات'!$A$9:$A$13,C90,'قیمت‌ها و مفروضات'!$C$9:$C$13)&lt;&gt;0,SUMIF('قیمت‌ها و مفروضات'!$A$9:$A$13,C90,'قیمت‌ها و مفروضات'!$C$9:$C$13),SUMIF('قیمت‌ها و مفروضات'!$A$9:$A$13,C90,'قیمت‌ها و مفروضات'!$B$9:$B$13)),IF(SUMIF('قیمت‌ها و مفروضات'!$A$18:$A$63,O90,'قیمت‌ها و مفروضات'!$C$18:$C$63)&lt;&gt;0,SUMIF('قیمت‌ها و مفروضات'!$A$18:$A$63,O90,'قیمت‌ها و مفروضات'!$C$18:$C$63),SUMIF('قیمت‌ها و مفروضات'!$A$18:$A$63,O90,'قیمت‌ها و مفروضات'!$B$18:$B$63)))</f>
        <v/>
      </c>
      <c r="S90" s="178">
        <f>'قیمت‌ها و مفروضات'!$B$3+'قیمت‌ها و مفروضات'!$B$4</f>
        <v/>
      </c>
      <c r="T90" s="178">
        <f>R90+S90</f>
        <v/>
      </c>
      <c r="U90" s="178">
        <f>IF(COUNTIF($E$2:E90,E90)&gt;1,"بله (تکراری)","خیر")</f>
        <v/>
      </c>
      <c r="V90" s="178">
        <f>IF(U90="بله (تکراری)",S90,0)</f>
        <v/>
      </c>
      <c r="W90" s="208" t="inlineStr"/>
      <c r="X90" s="208" t="inlineStr"/>
    </row>
    <row r="91" ht="58.5" customHeight="1" s="151">
      <c r="A91" s="176" t="n">
        <v>130006240</v>
      </c>
      <c r="B91" s="124">
        <f>CHOOSE(_xlfn.NUMBERVALUE(MID(H91,6,2)),"فروردین","اردیبهشت","خرداد","تیر","مرداد","شهریور","مهر","آبان","آذر","دی","بهمن","اسفند")</f>
        <v/>
      </c>
      <c r="C91" s="176" t="inlineStr">
        <is>
          <t>ماشين لباسشويي</t>
        </is>
      </c>
      <c r="D91" s="176" t="inlineStr">
        <is>
          <t>CWM-BMW9T1</t>
        </is>
      </c>
      <c r="E91" s="176" t="inlineStr">
        <is>
          <t>52210008N00610</t>
        </is>
      </c>
      <c r="F91" s="173" t="inlineStr">
        <is>
          <t>صداي غيرعادي هنگام خشک کن اياب و ذهاب به عهده شرکت</t>
        </is>
      </c>
      <c r="G91" s="173" t="inlineStr">
        <is>
          <t>تراز پايه تنظيم</t>
        </is>
      </c>
      <c r="H91" s="176" t="inlineStr">
        <is>
          <t>1405/01/17</t>
        </is>
      </c>
      <c r="I91" s="124" t="inlineStr">
        <is>
          <t>1404/02/13</t>
        </is>
      </c>
      <c r="J91" s="124" t="inlineStr">
        <is>
          <t>1404/07/13</t>
        </is>
      </c>
      <c r="K91" s="177">
        <f>IFERROR(VLOOKUP(LEFT(H91,7),'تبدیل تاریخ'!$A$2:$B$73,2,FALSE())+VALUE(RIGHT(H91,2))-1,"")</f>
        <v/>
      </c>
      <c r="L91" s="177">
        <f>IFERROR(VLOOKUP(LEFT(I91,7),'تبدیل تاریخ'!$A$2:$B$73,2,FALSE())+VALUE(RIGHT(I91,2))-1,"")</f>
        <v/>
      </c>
      <c r="M91" s="177">
        <f>IF(J91="","",IFERROR(VLOOKUP(LEFT(J91,7),'تبدیل تاریخ'!$A$2:$B$73,2,FALSE())+VALUE(RIGHT(J91,2))-1,""))</f>
        <v/>
      </c>
      <c r="N91" s="124">
        <f>IF(OR(K91="",M91=""),"",CEILING((K91-M91)/30,1))</f>
        <v/>
      </c>
      <c r="O91" s="124">
        <f>IF(OR(ISNUMBER(SEARCH("بدون مورد",G91)),ISNUMBER(SEARCH("غير گارانتي",G91)),ISNUMBER(SEARCH("غیر گارانتی",G91)),ISNUMBER(SEARCH("بدون اجرت",G91)),ISNUMBER(SEARCH("فيلتر",G91)),ISNUMBER(SEARCH("فیلتر",G91))),"غیرگارانتی/بدون قطعه",IF(OR(ISNUMBER(SEARCH("ريست",G91)),ISNUMBER(SEARCH("ریست",G91))),"ریست نرم‌افزاری (بدون قطعه)",IF(OR(ISNUMBER(SEARCH("تعویض محصول",G91)),ISNUMBER(SEARCH("تعویض دستگاه",G91))),"تعویض کامل دستگاه (Replacement)",IF(ISNUMBER(SEARCH("پمپ",G91)),IF(ISNUMBER(SEARCH("نشت",G91)),"نشتی - پمپ تخلیه (تعمیر/آب‌بندی)","خرابی - پمپ تخلیه (تعویض)"),IF(ISNUMBER(SEARCH("کمپرسور",G91)),"خرابی - کمپرسور (تعویض)",IF(ISNUMBER(SEARCH("کمک فنر",G91)),"خرابی - کمک فنر (تعویض)",IF(ISNUMBER(SEARCH("لولا",G91)),"مکانیزم درب - لولا (تعویض)",IF(OR(ISNUMBER(SEARCH("قلاب",G91)),ISNUMBER(SEARCH("ميکروسوئيچ",G91)),ISNUMBER(SEARCH("میکروسوئیچ",G91))),"مکانیزم درب - میکروسوئیچ/قلاب (تعویض/تنظیم)",IF(ISNUMBER(SEARCH("زبانه",G91)),"مکانیزم درب - زبانه (تعویض)",IF(OR(ISNUMBER(SEARCH("شيلنگ",G91)),ISNUMBER(SEARCH("شیلنگ",G91))),IF(OR(ISNUMBER(SEARCH("نشتی",G91)),ISNUMBER(SEARCH("نشتي",G91))),"نشتی - شیلنگ (تعمیر/آب‌بندی)",IF(OR(ISNUMBER(SEARCH("يخ",G91)),ISNUMBER(SEARCH("یخ",G91))),"شیلنگ یخساز - یخ‌زدگی (بازبینی)","شیلنگ - برخورد/لهیدگی (بازبینی)")),IF(OR(ISNUMBER(SEARCH("تنظيم ديسپل",G91)),ISNUMBER(SEARCH("تنظیم دیسپل",G91)),ISNUMBER(SEARCH("تنظيم صفحه نمايش",G91)),ISNUMBER(SEARCH("تنظیم صفحه نمایش",G91))),"تنظیم - تنظیمات دستگاه/دیسپلی (تعمیر)",IF(OR(ISNUMBER(SEARCH("برد",G91)),ISNUMBER(SEARCH("سوکت",G91)),ISNUMBER(SEARCH("ديسپل",G91)),ISNUMBER(SEARCH("دیسپل",G91))),"خرابی - برد الکترونیک (تعویض)",IF(OR(ISNUMBER(SEARCH("يخساز",G91)),ISNUMBER(SEARCH("یخساز",G91)),ISNUMBER(SEARCH("دمپر",G91))),IF(OR(ISNUMBER(SEARCH("خرابی",G91)),ISNUMBER(SEARCH("خراب",G91)),ISNUMBER(SEARCH("عدم کارکرد",G91)),ISNUMBER(SEARCH("عدم عملکرد",G91))),"یخساز - خرابی موتور/سنسور/برد (تعویض)","یخساز - تنظیم/عایق (تعمیر)"),IF(OR(ISNUMBER(SEARCH("لاستيک",G91)),ISNUMBER(SEARCH("لاستیک",G91))),"لاستیک درزگیر - دفرمگی/پارگی (تعویض)",IF(OR(ISNUMBER(SEARCH("گسکت",G91)),ISNUMBER(SEARCH("گسگت",G91))),"لاستیک درزگیر - دفرمگی/پارگی (تعویض)",IF(ISNUMBER(SEARCH("مخزن نمک",G91)),"نشتی - درب مخزن نمک (تعمیر/آب‌بندی)",IF(ISNUMBER(SEARCH("براکت",G91)),"نشتی - براکت ریل (تعمیر/آب‌بندی)",IF(ISNUMBER(SEARCH("جاپودر",G91)),"نشتی - جاپودری (تعمیر/آب‌بندی)",IF(ISNUMBER(SEARCH("مقسم",G91)),"نشتی - مقسم آب (تعمیر/آب‌بندی)",IF(OR(ISNUMBER(SEARCH("سنسور دما",G91)),ISNUMBER(SEARCH("ترموستات",G91))),"خرابی - ترموستات (تعویض)",IF(OR(ISNUMBER(SEARCH("هيدروستات",G91)),ISNUMBER(SEARCH("هیدروستات",G91))),"خرابی - هیدروستات (تعویض)",IF(OR(ISNUMBER(SEARCH("بلبرينگ",G91)),ISNUMBER(SEARCH("بلبرینگ",G91))),"خرابی - بلبرینگ (تعویض)",IF(OR(ISNUMBER(SEARCH("شيربرق",G91)),ISNUMBER(SEARCH("شیربرق",G91))),"خرابی - شیربرقی (تعویض)",IF(OR(ISNUMBER(SEARCH("واتر جت",G91)),ISNUMBER(SEARCH("واترجت",G91))),"خرابی - واترجت (تعویض)",IF(OR(ISNUMBER(SEARCH("سيم",G91)),ISNUMBER(SEARCH("سیم",G91)),ISNUMBER(SEARCH("اتصال",G91))),"سیم‌کشی/اتصالات (تعویض/بازبینی)",IF(OR(ISNUMBER(SEARCH("تصوير",G91)),ISNUMBER(SEARCH("تصویر",G91))),"برد نمایش تلویزیون (تعویض)",IF(OR(ISNUMBER(SEARCH("ريموت",G91)),ISNUMBER(SEARCH("ریموت",G91))),"ریموت کنترل (تعویض/تعمیر)",IF(OR(ISNUMBER(SEARCH("ال اي دي",G91)),ISNUMBER(SEARCH("ال ای دی",G91)),ISNUMBER(SEARCH("LED",G91))),"خرابی - لامپ/LED داخلی (تعویض)",IF(ISNUMBER(SEARCH("زنگ زدگ",G91)),"زنگ‌زدگی بدنه/قطعه (تعویض)",IF(OR(ISNUMBER(SEARCH("قطعات تزئين",G91)),ISNUMBER(SEARCH("قطعات تزئین",G91))),"قطعات تزئینی - شکستگی/کسری (تعویض)",IF(ISNUMBER(SEARCH("سبد",G91)),"سبد ظرفشویی - شکستگی (تعویض)",IF(ISNUMBER(SEARCH("تاب درام",G91)),"خرابی - تاب برداشتن درام (تعویض)",IF(ISNUMBER(SEARCH("درام",G91)),"خرابی - سایر ایراد درام (تعویض)",IF(ISNUMBER(SEARCH("موتور",G91)),"خرابی - موتور (تعویض)",IF(ISNUMBER(SEARCH("تسمه",G91)),"خرابی - تسمه (تعویض)",IF(OR(ISNUMBER(SEARCH("پيچ ولوم",G91)),ISNUMBER(SEARCH("پیچ ولوم",G91))),"تنظیم - پیچ ولوم/دکمه (تعمیر)",IF(OR(ISNUMBER(SEARCH("کسري قطعات",G91)),ISNUMBER(SEARCH("کسری قطعات",G91))),"کسری قطعات تزئینی (تعویض)",IF(ISNUMBER(SEARCH("پرچ",G91)),"پرچ/بدنه کابین(تعمیر)",IF(OR(ISNUMBER(SEARCH("نشت",G91)),ISNUMBER(SEARCH("آبريزش",G91)),ISNUMBER(SEARCH("آبریزش",G91))),"نشتی آب - محل نامشخص (نیازمند بازدید)",IF(ISNUMBER(SEARCH("درب",G91)),"سایر اجزای درب (بازبینی)",IF(ISNUMBER(SEARCH("ضربه",G91)),"بدنه/کابین - ضربه (بازبینی/تعویض پنل)",IF(ISNUMBER(SEARCH("تراز",G91)),"تراز/لرزش - نصب (رگلاژ پایه)",IF(OR(ISNUMBER(SEARCH("تعویض",G91)),ISNUMBER(SEARCH("تعويض",G91))),"تعویض کامل دستگاه (Replacement)","سایر (نیازمند بررسی دستی)")))))))))))))))))))))))))))))))))))))))))))</f>
        <v/>
      </c>
      <c r="P91" s="124" t="inlineStr">
        <is>
          <t>رگلاژ پایه تنظیم لباسشویی</t>
        </is>
      </c>
      <c r="Q91" s="124">
        <f>IF(ISNUMBER(SEARCH("عهده شرکت",F91)),"شرکت",IF(ISNUMBER(SEARCH("عهده مشتري",F91)),"مشتری",IF(ISNUMBER(SEARCH("عهده مشتری",F91)),"مشتری","نامشخص")))</f>
        <v/>
      </c>
      <c r="R91" s="178">
        <f>IF(O91="تعویض کامل دستگاه (Replacement)",IF(SUMIF('قیمت‌ها و مفروضات'!$A$9:$A$13,C91,'قیمت‌ها و مفروضات'!$C$9:$C$13)&lt;&gt;0,SUMIF('قیمت‌ها و مفروضات'!$A$9:$A$13,C91,'قیمت‌ها و مفروضات'!$C$9:$C$13),SUMIF('قیمت‌ها و مفروضات'!$A$9:$A$13,C91,'قیمت‌ها و مفروضات'!$B$9:$B$13)),IF(SUMIF('قیمت‌ها و مفروضات'!$A$18:$A$63,O91,'قیمت‌ها و مفروضات'!$C$18:$C$63)&lt;&gt;0,SUMIF('قیمت‌ها و مفروضات'!$A$18:$A$63,O91,'قیمت‌ها و مفروضات'!$C$18:$C$63),SUMIF('قیمت‌ها و مفروضات'!$A$18:$A$63,O91,'قیمت‌ها و مفروضات'!$B$18:$B$63)))</f>
        <v/>
      </c>
      <c r="S91" s="178">
        <f>'قیمت‌ها و مفروضات'!$B$3+'قیمت‌ها و مفروضات'!$B$4</f>
        <v/>
      </c>
      <c r="T91" s="178">
        <f>R91+S91</f>
        <v/>
      </c>
      <c r="U91" s="178">
        <f>IF(COUNTIF($E$2:E91,E91)&gt;1,"بله (تکراری)","خیر")</f>
        <v/>
      </c>
      <c r="V91" s="178">
        <f>IF(U91="بله (تکراری)",S91,0)</f>
        <v/>
      </c>
      <c r="W91" s="208" t="inlineStr"/>
      <c r="X91" s="208" t="inlineStr"/>
    </row>
    <row r="92" ht="58.5" customHeight="1" s="151">
      <c r="A92" s="176" t="n">
        <v>510020264</v>
      </c>
      <c r="B92" s="124">
        <f>CHOOSE(_xlfn.NUMBERVALUE(MID(H92,6,2)),"فروردین","اردیبهشت","خرداد","تیر","مرداد","شهریور","مهر","آبان","آذر","دی","بهمن","اسفند")</f>
        <v/>
      </c>
      <c r="C92" s="176" t="inlineStr">
        <is>
          <t>ماشين ظرفشويي</t>
        </is>
      </c>
      <c r="D92" s="176" t="inlineStr">
        <is>
          <t>CDW-H16T</t>
        </is>
      </c>
      <c r="E92" s="176" t="inlineStr">
        <is>
          <t>52220005N00902</t>
        </is>
      </c>
      <c r="F92" s="173" t="inlineStr">
        <is>
          <t>خطاي F11**اياب و ذهاب به عهده شرکت</t>
        </is>
      </c>
      <c r="G92" s="124" t="inlineStr">
        <is>
          <t>نشتي پمپ تخليه</t>
        </is>
      </c>
      <c r="H92" s="176" t="inlineStr">
        <is>
          <t>1405/01/23</t>
        </is>
      </c>
      <c r="I92" s="124" t="inlineStr">
        <is>
          <t>1403/08/30</t>
        </is>
      </c>
      <c r="J92" s="124" t="inlineStr">
        <is>
          <t>1404/06/01</t>
        </is>
      </c>
      <c r="K92" s="177">
        <f>IFERROR(VLOOKUP(LEFT(H92,7),'تبدیل تاریخ'!$A$2:$B$73,2,FALSE())+VALUE(RIGHT(H92,2))-1,"")</f>
        <v/>
      </c>
      <c r="L92" s="177">
        <f>IFERROR(VLOOKUP(LEFT(I92,7),'تبدیل تاریخ'!$A$2:$B$73,2,FALSE())+VALUE(RIGHT(I92,2))-1,"")</f>
        <v/>
      </c>
      <c r="M92" s="177">
        <f>IF(J92="","",IFERROR(VLOOKUP(LEFT(J92,7),'تبدیل تاریخ'!$A$2:$B$73,2,FALSE())+VALUE(RIGHT(J92,2))-1,""))</f>
        <v/>
      </c>
      <c r="N92" s="124">
        <f>IF(OR(K92="",M92=""),"",CEILING((K92-M92)/30,1))</f>
        <v/>
      </c>
      <c r="O92" s="124">
        <f>IF(OR(ISNUMBER(SEARCH("بدون مورد",G92)),ISNUMBER(SEARCH("غير گارانتي",G92)),ISNUMBER(SEARCH("غیر گارانتی",G92)),ISNUMBER(SEARCH("بدون اجرت",G92)),ISNUMBER(SEARCH("فيلتر",G92)),ISNUMBER(SEARCH("فیلتر",G92))),"غیرگارانتی/بدون قطعه",IF(OR(ISNUMBER(SEARCH("ريست",G92)),ISNUMBER(SEARCH("ریست",G92))),"ریست نرم‌افزاری (بدون قطعه)",IF(OR(ISNUMBER(SEARCH("تعویض محصول",G92)),ISNUMBER(SEARCH("تعویض دستگاه",G92))),"تعویض کامل دستگاه (Replacement)",IF(ISNUMBER(SEARCH("پمپ",G92)),IF(ISNUMBER(SEARCH("نشت",G92)),"نشتی - پمپ تخلیه (تعمیر/آب‌بندی)","خرابی - پمپ تخلیه (تعویض)"),IF(ISNUMBER(SEARCH("کمپرسور",G92)),"خرابی - کمپرسور (تعویض)",IF(ISNUMBER(SEARCH("کمک فنر",G92)),"خرابی - کمک فنر (تعویض)",IF(ISNUMBER(SEARCH("لولا",G92)),"مکانیزم درب - لولا (تعویض)",IF(OR(ISNUMBER(SEARCH("قلاب",G92)),ISNUMBER(SEARCH("ميکروسوئيچ",G92)),ISNUMBER(SEARCH("میکروسوئیچ",G92))),"مکانیزم درب - میکروسوئیچ/قلاب (تعویض/تنظیم)",IF(ISNUMBER(SEARCH("زبانه",G92)),"مکانیزم درب - زبانه (تعویض)",IF(OR(ISNUMBER(SEARCH("شيلنگ",G92)),ISNUMBER(SEARCH("شیلنگ",G92))),IF(OR(ISNUMBER(SEARCH("نشتی",G92)),ISNUMBER(SEARCH("نشتي",G92))),"نشتی - شیلنگ (تعمیر/آب‌بندی)",IF(OR(ISNUMBER(SEARCH("يخ",G92)),ISNUMBER(SEARCH("یخ",G92))),"شیلنگ یخساز - یخ‌زدگی (بازبینی)","شیلنگ - برخورد/لهیدگی (بازبینی)")),IF(OR(ISNUMBER(SEARCH("تنظيم ديسپل",G92)),ISNUMBER(SEARCH("تنظیم دیسپل",G92)),ISNUMBER(SEARCH("تنظيم صفحه نمايش",G92)),ISNUMBER(SEARCH("تنظیم صفحه نمایش",G92))),"تنظیم - تنظیمات دستگاه/دیسپلی (تعمیر)",IF(OR(ISNUMBER(SEARCH("برد",G92)),ISNUMBER(SEARCH("سوکت",G92)),ISNUMBER(SEARCH("ديسپل",G92)),ISNUMBER(SEARCH("دیسپل",G92))),"خرابی - برد الکترونیک (تعویض)",IF(OR(ISNUMBER(SEARCH("يخساز",G92)),ISNUMBER(SEARCH("یخساز",G92)),ISNUMBER(SEARCH("دمپر",G92))),IF(OR(ISNUMBER(SEARCH("خرابی",G92)),ISNUMBER(SEARCH("خراب",G92)),ISNUMBER(SEARCH("عدم کارکرد",G92)),ISNUMBER(SEARCH("عدم عملکرد",G92))),"یخساز - خرابی موتور/سنسور/برد (تعویض)","یخساز - تنظیم/عایق (تعمیر)"),IF(OR(ISNUMBER(SEARCH("لاستيک",G92)),ISNUMBER(SEARCH("لاستیک",G92))),"لاستیک درزگیر - دفرمگی/پارگی (تعویض)",IF(OR(ISNUMBER(SEARCH("گسکت",G92)),ISNUMBER(SEARCH("گسگت",G92))),"لاستیک درزگیر - دفرمگی/پارگی (تعویض)",IF(ISNUMBER(SEARCH("مخزن نمک",G92)),"نشتی - درب مخزن نمک (تعمیر/آب‌بندی)",IF(ISNUMBER(SEARCH("براکت",G92)),"نشتی - براکت ریل (تعمیر/آب‌بندی)",IF(ISNUMBER(SEARCH("جاپودر",G92)),"نشتی - جاپودری (تعمیر/آب‌بندی)",IF(ISNUMBER(SEARCH("مقسم",G92)),"نشتی - مقسم آب (تعمیر/آب‌بندی)",IF(OR(ISNUMBER(SEARCH("سنسور دما",G92)),ISNUMBER(SEARCH("ترموستات",G92))),"خرابی - ترموستات (تعویض)",IF(OR(ISNUMBER(SEARCH("هيدروستات",G92)),ISNUMBER(SEARCH("هیدروستات",G92))),"خرابی - هیدروستات (تعویض)",IF(OR(ISNUMBER(SEARCH("بلبرينگ",G92)),ISNUMBER(SEARCH("بلبرینگ",G92))),"خرابی - بلبرینگ (تعویض)",IF(OR(ISNUMBER(SEARCH("شيربرق",G92)),ISNUMBER(SEARCH("شیربرق",G92))),"خرابی - شیربرقی (تعویض)",IF(OR(ISNUMBER(SEARCH("واتر جت",G92)),ISNUMBER(SEARCH("واترجت",G92))),"خرابی - واترجت (تعویض)",IF(OR(ISNUMBER(SEARCH("سيم",G92)),ISNUMBER(SEARCH("سیم",G92)),ISNUMBER(SEARCH("اتصال",G92))),"سیم‌کشی/اتصالات (تعویض/بازبینی)",IF(OR(ISNUMBER(SEARCH("تصوير",G92)),ISNUMBER(SEARCH("تصویر",G92))),"برد نمایش تلویزیون (تعویض)",IF(OR(ISNUMBER(SEARCH("ريموت",G92)),ISNUMBER(SEARCH("ریموت",G92))),"ریموت کنترل (تعویض/تعمیر)",IF(OR(ISNUMBER(SEARCH("ال اي دي",G92)),ISNUMBER(SEARCH("ال ای دی",G92)),ISNUMBER(SEARCH("LED",G92))),"خرابی - لامپ/LED داخلی (تعویض)",IF(ISNUMBER(SEARCH("زنگ زدگ",G92)),"زنگ‌زدگی بدنه/قطعه (تعویض)",IF(OR(ISNUMBER(SEARCH("قطعات تزئين",G92)),ISNUMBER(SEARCH("قطعات تزئین",G92))),"قطعات تزئینی - شکستگی/کسری (تعویض)",IF(ISNUMBER(SEARCH("سبد",G92)),"سبد ظرفشویی - شکستگی (تعویض)",IF(ISNUMBER(SEARCH("تاب درام",G92)),"خرابی - تاب برداشتن درام (تعویض)",IF(ISNUMBER(SEARCH("درام",G92)),"خرابی - سایر ایراد درام (تعویض)",IF(ISNUMBER(SEARCH("موتور",G92)),"خرابی - موتور (تعویض)",IF(ISNUMBER(SEARCH("تسمه",G92)),"خرابی - تسمه (تعویض)",IF(OR(ISNUMBER(SEARCH("پيچ ولوم",G92)),ISNUMBER(SEARCH("پیچ ولوم",G92))),"تنظیم - پیچ ولوم/دکمه (تعمیر)",IF(OR(ISNUMBER(SEARCH("کسري قطعات",G92)),ISNUMBER(SEARCH("کسری قطعات",G92))),"کسری قطعات تزئینی (تعویض)",IF(ISNUMBER(SEARCH("پرچ",G92)),"پرچ/بدنه کابین(تعمیر)",IF(OR(ISNUMBER(SEARCH("نشت",G92)),ISNUMBER(SEARCH("آبريزش",G92)),ISNUMBER(SEARCH("آبریزش",G92))),"نشتی آب - محل نامشخص (نیازمند بازدید)",IF(ISNUMBER(SEARCH("درب",G92)),"سایر اجزای درب (بازبینی)",IF(ISNUMBER(SEARCH("ضربه",G92)),"بدنه/کابین - ضربه (بازبینی/تعویض پنل)",IF(ISNUMBER(SEARCH("تراز",G92)),"تراز/لرزش - نصب (رگلاژ پایه)",IF(OR(ISNUMBER(SEARCH("تعویض",G92)),ISNUMBER(SEARCH("تعويض",G92))),"تعویض کامل دستگاه (Replacement)","سایر (نیازمند بررسی دستی)")))))))))))))))))))))))))))))))))))))))))))</f>
        <v/>
      </c>
      <c r="P92" s="124" t="inlineStr">
        <is>
          <t>*</t>
        </is>
      </c>
      <c r="Q92" s="124">
        <f>IF(ISNUMBER(SEARCH("عهده شرکت",F92)),"شرکت",IF(ISNUMBER(SEARCH("عهده مشتري",F92)),"مشتری",IF(ISNUMBER(SEARCH("عهده مشتری",F92)),"مشتری","نامشخص")))</f>
        <v/>
      </c>
      <c r="R92" s="178">
        <f>IF(O92="تعویض کامل دستگاه (Replacement)",IF(SUMIF('قیمت‌ها و مفروضات'!$A$9:$A$13,C92,'قیمت‌ها و مفروضات'!$C$9:$C$13)&lt;&gt;0,SUMIF('قیمت‌ها و مفروضات'!$A$9:$A$13,C92,'قیمت‌ها و مفروضات'!$C$9:$C$13),SUMIF('قیمت‌ها و مفروضات'!$A$9:$A$13,C92,'قیمت‌ها و مفروضات'!$B$9:$B$13)),IF(SUMIF('قیمت‌ها و مفروضات'!$A$18:$A$63,O92,'قیمت‌ها و مفروضات'!$C$18:$C$63)&lt;&gt;0,SUMIF('قیمت‌ها و مفروضات'!$A$18:$A$63,O92,'قیمت‌ها و مفروضات'!$C$18:$C$63),SUMIF('قیمت‌ها و مفروضات'!$A$18:$A$63,O92,'قیمت‌ها و مفروضات'!$B$18:$B$63)))</f>
        <v/>
      </c>
      <c r="S92" s="178">
        <f>'قیمت‌ها و مفروضات'!$B$3+'قیمت‌ها و مفروضات'!$B$4</f>
        <v/>
      </c>
      <c r="T92" s="178">
        <f>R92+S92</f>
        <v/>
      </c>
      <c r="U92" s="178">
        <f>IF(COUNTIF($E$2:E92,E92)&gt;1,"بله (تکراری)","خیر")</f>
        <v/>
      </c>
      <c r="V92" s="178">
        <f>IF(U92="بله (تکراری)",S92,0)</f>
        <v/>
      </c>
      <c r="W92" s="208" t="inlineStr"/>
      <c r="X92" s="208" t="inlineStr"/>
    </row>
    <row r="93" ht="58.5" customHeight="1" s="151">
      <c r="A93" s="176" t="n">
        <v>210012274</v>
      </c>
      <c r="B93" s="124">
        <f>CHOOSE(_xlfn.NUMBERVALUE(MID(H93,6,2)),"فروردین","اردیبهشت","خرداد","تیر","مرداد","شهریور","مهر","آبان","آذر","دی","بهمن","اسفند")</f>
        <v/>
      </c>
      <c r="C93" s="176" t="inlineStr">
        <is>
          <t>ماشين ظرفشويي</t>
        </is>
      </c>
      <c r="D93" s="176" t="inlineStr">
        <is>
          <t>CDW-H15V</t>
        </is>
      </c>
      <c r="E93" s="176" t="inlineStr">
        <is>
          <t>52220002N01411</t>
        </is>
      </c>
      <c r="F93" s="173" t="inlineStr">
        <is>
          <t>زنگ زدگي کابين اياب و ذهاب به عهده شرکت</t>
        </is>
      </c>
      <c r="G93" s="173" t="inlineStr">
        <is>
          <t>زنگ زدگي کابين</t>
        </is>
      </c>
      <c r="H93" s="176" t="inlineStr">
        <is>
          <t>1405/01/24</t>
        </is>
      </c>
      <c r="I93" s="124" t="inlineStr">
        <is>
          <t>1403/08/06</t>
        </is>
      </c>
      <c r="J93" s="124" t="inlineStr">
        <is>
          <t>1405/01/15</t>
        </is>
      </c>
      <c r="K93" s="177">
        <f>IFERROR(VLOOKUP(LEFT(H93,7),'تبدیل تاریخ'!$A$2:$B$73,2,FALSE())+VALUE(RIGHT(H93,2))-1,"")</f>
        <v/>
      </c>
      <c r="L93" s="177">
        <f>IFERROR(VLOOKUP(LEFT(I93,7),'تبدیل تاریخ'!$A$2:$B$73,2,FALSE())+VALUE(RIGHT(I93,2))-1,"")</f>
        <v/>
      </c>
      <c r="M93" s="177">
        <f>IF(J93="","",IFERROR(VLOOKUP(LEFT(J93,7),'تبدیل تاریخ'!$A$2:$B$73,2,FALSE())+VALUE(RIGHT(J93,2))-1,""))</f>
        <v/>
      </c>
      <c r="N93" s="124">
        <f>IF(OR(K93="",M93=""),"",CEILING((K93-M93)/30,1))</f>
        <v/>
      </c>
      <c r="O93" s="124">
        <f>IF(OR(ISNUMBER(SEARCH("بدون مورد",G93)),ISNUMBER(SEARCH("غير گارانتي",G93)),ISNUMBER(SEARCH("غیر گارانتی",G93)),ISNUMBER(SEARCH("بدون اجرت",G93)),ISNUMBER(SEARCH("فيلتر",G93)),ISNUMBER(SEARCH("فیلتر",G93))),"غیرگارانتی/بدون قطعه",IF(OR(ISNUMBER(SEARCH("ريست",G93)),ISNUMBER(SEARCH("ریست",G93))),"ریست نرم‌افزاری (بدون قطعه)",IF(OR(ISNUMBER(SEARCH("تعویض محصول",G93)),ISNUMBER(SEARCH("تعویض دستگاه",G93))),"تعویض کامل دستگاه (Replacement)",IF(ISNUMBER(SEARCH("پمپ",G93)),IF(ISNUMBER(SEARCH("نشت",G93)),"نشتی - پمپ تخلیه (تعمیر/آب‌بندی)","خرابی - پمپ تخلیه (تعویض)"),IF(ISNUMBER(SEARCH("کمپرسور",G93)),"خرابی - کمپرسور (تعویض)",IF(ISNUMBER(SEARCH("کمک فنر",G93)),"خرابی - کمک فنر (تعویض)",IF(ISNUMBER(SEARCH("لولا",G93)),"مکانیزم درب - لولا (تعویض)",IF(OR(ISNUMBER(SEARCH("قلاب",G93)),ISNUMBER(SEARCH("ميکروسوئيچ",G93)),ISNUMBER(SEARCH("میکروسوئیچ",G93))),"مکانیزم درب - میکروسوئیچ/قلاب (تعویض/تنظیم)",IF(ISNUMBER(SEARCH("زبانه",G93)),"مکانیزم درب - زبانه (تعویض)",IF(OR(ISNUMBER(SEARCH("شيلنگ",G93)),ISNUMBER(SEARCH("شیلنگ",G93))),IF(OR(ISNUMBER(SEARCH("نشتی",G93)),ISNUMBER(SEARCH("نشتي",G93))),"نشتی - شیلنگ (تعمیر/آب‌بندی)",IF(OR(ISNUMBER(SEARCH("يخ",G93)),ISNUMBER(SEARCH("یخ",G93))),"شیلنگ یخساز - یخ‌زدگی (بازبینی)","شیلنگ - برخورد/لهیدگی (بازبینی)")),IF(OR(ISNUMBER(SEARCH("تنظيم ديسپل",G93)),ISNUMBER(SEARCH("تنظیم دیسپل",G93)),ISNUMBER(SEARCH("تنظيم صفحه نمايش",G93)),ISNUMBER(SEARCH("تنظیم صفحه نمایش",G93))),"تنظیم - تنظیمات دستگاه/دیسپلی (تعمیر)",IF(OR(ISNUMBER(SEARCH("برد",G93)),ISNUMBER(SEARCH("سوکت",G93)),ISNUMBER(SEARCH("ديسپل",G93)),ISNUMBER(SEARCH("دیسپل",G93))),"خرابی - برد الکترونیک (تعویض)",IF(OR(ISNUMBER(SEARCH("يخساز",G93)),ISNUMBER(SEARCH("یخساز",G93)),ISNUMBER(SEARCH("دمپر",G93))),IF(OR(ISNUMBER(SEARCH("خرابی",G93)),ISNUMBER(SEARCH("خراب",G93)),ISNUMBER(SEARCH("عدم کارکرد",G93)),ISNUMBER(SEARCH("عدم عملکرد",G93))),"یخساز - خرابی موتور/سنسور/برد (تعویض)","یخساز - تنظیم/عایق (تعمیر)"),IF(OR(ISNUMBER(SEARCH("لاستيک",G93)),ISNUMBER(SEARCH("لاستیک",G93))),"لاستیک درزگیر - دفرمگی/پارگی (تعویض)",IF(OR(ISNUMBER(SEARCH("گسکت",G93)),ISNUMBER(SEARCH("گسگت",G93))),"لاستیک درزگیر - دفرمگی/پارگی (تعویض)",IF(ISNUMBER(SEARCH("مخزن نمک",G93)),"نشتی - درب مخزن نمک (تعمیر/آب‌بندی)",IF(ISNUMBER(SEARCH("براکت",G93)),"نشتی - براکت ریل (تعمیر/آب‌بندی)",IF(ISNUMBER(SEARCH("جاپودر",G93)),"نشتی - جاپودری (تعمیر/آب‌بندی)",IF(ISNUMBER(SEARCH("مقسم",G93)),"نشتی - مقسم آب (تعمیر/آب‌بندی)",IF(OR(ISNUMBER(SEARCH("سنسور دما",G93)),ISNUMBER(SEARCH("ترموستات",G93))),"خرابی - ترموستات (تعویض)",IF(OR(ISNUMBER(SEARCH("هيدروستات",G93)),ISNUMBER(SEARCH("هیدروستات",G93))),"خرابی - هیدروستات (تعویض)",IF(OR(ISNUMBER(SEARCH("بلبرينگ",G93)),ISNUMBER(SEARCH("بلبرینگ",G93))),"خرابی - بلبرینگ (تعویض)",IF(OR(ISNUMBER(SEARCH("شيربرق",G93)),ISNUMBER(SEARCH("شیربرق",G93))),"خرابی - شیربرقی (تعویض)",IF(OR(ISNUMBER(SEARCH("واتر جت",G93)),ISNUMBER(SEARCH("واترجت",G93))),"خرابی - واترجت (تعویض)",IF(OR(ISNUMBER(SEARCH("سيم",G93)),ISNUMBER(SEARCH("سیم",G93)),ISNUMBER(SEARCH("اتصال",G93))),"سیم‌کشی/اتصالات (تعویض/بازبینی)",IF(OR(ISNUMBER(SEARCH("تصوير",G93)),ISNUMBER(SEARCH("تصویر",G93))),"برد نمایش تلویزیون (تعویض)",IF(OR(ISNUMBER(SEARCH("ريموت",G93)),ISNUMBER(SEARCH("ریموت",G93))),"ریموت کنترل (تعویض/تعمیر)",IF(OR(ISNUMBER(SEARCH("ال اي دي",G93)),ISNUMBER(SEARCH("ال ای دی",G93)),ISNUMBER(SEARCH("LED",G93))),"خرابی - لامپ/LED داخلی (تعویض)",IF(ISNUMBER(SEARCH("زنگ زدگ",G93)),"زنگ‌زدگی بدنه/قطعه (تعویض)",IF(OR(ISNUMBER(SEARCH("قطعات تزئين",G93)),ISNUMBER(SEARCH("قطعات تزئین",G93))),"قطعات تزئینی - شکستگی/کسری (تعویض)",IF(ISNUMBER(SEARCH("سبد",G93)),"سبد ظرفشویی - شکستگی (تعویض)",IF(ISNUMBER(SEARCH("تاب درام",G93)),"خرابی - تاب برداشتن درام (تعویض)",IF(ISNUMBER(SEARCH("درام",G93)),"خرابی - سایر ایراد درام (تعویض)",IF(ISNUMBER(SEARCH("موتور",G93)),"خرابی - موتور (تعویض)",IF(ISNUMBER(SEARCH("تسمه",G93)),"خرابی - تسمه (تعویض)",IF(OR(ISNUMBER(SEARCH("پيچ ولوم",G93)),ISNUMBER(SEARCH("پیچ ولوم",G93))),"تنظیم - پیچ ولوم/دکمه (تعمیر)",IF(OR(ISNUMBER(SEARCH("کسري قطعات",G93)),ISNUMBER(SEARCH("کسری قطعات",G93))),"کسری قطعات تزئینی (تعویض)",IF(ISNUMBER(SEARCH("پرچ",G93)),"پرچ/بدنه کابین(تعمیر)",IF(OR(ISNUMBER(SEARCH("نشت",G93)),ISNUMBER(SEARCH("آبريزش",G93)),ISNUMBER(SEARCH("آبریزش",G93))),"نشتی آب - محل نامشخص (نیازمند بازدید)",IF(ISNUMBER(SEARCH("درب",G93)),"سایر اجزای درب (بازبینی)",IF(ISNUMBER(SEARCH("ضربه",G93)),"بدنه/کابین - ضربه (بازبینی/تعویض پنل)",IF(ISNUMBER(SEARCH("تراز",G93)),"تراز/لرزش - نصب (رگلاژ پایه)",IF(OR(ISNUMBER(SEARCH("تعویض",G93)),ISNUMBER(SEARCH("تعويض",G93))),"تعویض کامل دستگاه (Replacement)","سایر (نیازمند بررسی دستی)")))))))))))))))))))))))))))))))))))))))))))</f>
        <v/>
      </c>
      <c r="P93" s="124" t="inlineStr">
        <is>
          <t xml:space="preserve">زنگ زدگی کابین </t>
        </is>
      </c>
      <c r="Q93" s="124">
        <f>IF(ISNUMBER(SEARCH("عهده شرکت",F93)),"شرکت",IF(ISNUMBER(SEARCH("عهده مشتري",F93)),"مشتری",IF(ISNUMBER(SEARCH("عهده مشتری",F93)),"مشتری","نامشخص")))</f>
        <v/>
      </c>
      <c r="R93" s="178">
        <f>IF(O93="تعویض کامل دستگاه (Replacement)",IF(SUMIF('قیمت‌ها و مفروضات'!$A$9:$A$13,C93,'قیمت‌ها و مفروضات'!$C$9:$C$13)&lt;&gt;0,SUMIF('قیمت‌ها و مفروضات'!$A$9:$A$13,C93,'قیمت‌ها و مفروضات'!$C$9:$C$13),SUMIF('قیمت‌ها و مفروضات'!$A$9:$A$13,C93,'قیمت‌ها و مفروضات'!$B$9:$B$13)),IF(SUMIF('قیمت‌ها و مفروضات'!$A$18:$A$63,O93,'قیمت‌ها و مفروضات'!$C$18:$C$63)&lt;&gt;0,SUMIF('قیمت‌ها و مفروضات'!$A$18:$A$63,O93,'قیمت‌ها و مفروضات'!$C$18:$C$63),SUMIF('قیمت‌ها و مفروضات'!$A$18:$A$63,O93,'قیمت‌ها و مفروضات'!$B$18:$B$63)))</f>
        <v/>
      </c>
      <c r="S93" s="178">
        <f>'قیمت‌ها و مفروضات'!$B$3+'قیمت‌ها و مفروضات'!$B$4</f>
        <v/>
      </c>
      <c r="T93" s="178">
        <f>R93+S93</f>
        <v/>
      </c>
      <c r="U93" s="178">
        <f>IF(COUNTIF($E$2:E93,E93)&gt;1,"بله (تکراری)","خیر")</f>
        <v/>
      </c>
      <c r="V93" s="178">
        <f>IF(U93="بله (تکراری)",S93,0)</f>
        <v/>
      </c>
      <c r="W93" s="208" t="inlineStr"/>
      <c r="X93" s="208" t="inlineStr"/>
    </row>
    <row r="94" ht="58.5" customHeight="1" s="151">
      <c r="A94" s="176" t="n">
        <v>210012249</v>
      </c>
      <c r="B94" s="124">
        <f>CHOOSE(_xlfn.NUMBERVALUE(MID(H94,6,2)),"فروردین","اردیبهشت","خرداد","تیر","مرداد","شهریور","مهر","آبان","آذر","دی","بهمن","اسفند")</f>
        <v/>
      </c>
      <c r="C94" s="176" t="inlineStr">
        <is>
          <t>يخچال ميني</t>
        </is>
      </c>
      <c r="D94" s="176" t="inlineStr">
        <is>
          <t>MINI-R (RE01)</t>
        </is>
      </c>
      <c r="E94" s="176" t="inlineStr">
        <is>
          <t>52240003N00589</t>
        </is>
      </c>
      <c r="F94" s="173" t="inlineStr">
        <is>
          <t>شکستگي قطعات تزئيني کابين- کد قطعه در ليست اقدامات درج مي گردد.**اياب و ذهاب به عهده شرکت</t>
        </is>
      </c>
      <c r="G94" s="173" t="inlineStr">
        <is>
          <t>شکستگي قطعات تزئيني داخل کابين - يخچال ميني</t>
        </is>
      </c>
      <c r="H94" s="176" t="inlineStr">
        <is>
          <t>1405/01/24</t>
        </is>
      </c>
      <c r="I94" s="124" t="inlineStr">
        <is>
          <t>1403/10/24</t>
        </is>
      </c>
      <c r="J94" s="124" t="inlineStr">
        <is>
          <t>1404/10/08</t>
        </is>
      </c>
      <c r="K94" s="177">
        <f>IFERROR(VLOOKUP(LEFT(H94,7),'تبدیل تاریخ'!$A$2:$B$73,2,FALSE())+VALUE(RIGHT(H94,2))-1,"")</f>
        <v/>
      </c>
      <c r="L94" s="177">
        <f>IFERROR(VLOOKUP(LEFT(I94,7),'تبدیل تاریخ'!$A$2:$B$73,2,FALSE())+VALUE(RIGHT(I94,2))-1,"")</f>
        <v/>
      </c>
      <c r="M94" s="177">
        <f>IF(J94="","",IFERROR(VLOOKUP(LEFT(J94,7),'تبدیل تاریخ'!$A$2:$B$73,2,FALSE())+VALUE(RIGHT(J94,2))-1,""))</f>
        <v/>
      </c>
      <c r="N94" s="124">
        <f>IF(OR(K94="",M94=""),"",CEILING((K94-M94)/30,1))</f>
        <v/>
      </c>
      <c r="O94" s="124">
        <f>IF(OR(ISNUMBER(SEARCH("بدون مورد",G94)),ISNUMBER(SEARCH("غير گارانتي",G94)),ISNUMBER(SEARCH("غیر گارانتی",G94)),ISNUMBER(SEARCH("بدون اجرت",G94)),ISNUMBER(SEARCH("فيلتر",G94)),ISNUMBER(SEARCH("فیلتر",G94))),"غیرگارانتی/بدون قطعه",IF(OR(ISNUMBER(SEARCH("ريست",G94)),ISNUMBER(SEARCH("ریست",G94))),"ریست نرم‌افزاری (بدون قطعه)",IF(OR(ISNUMBER(SEARCH("تعویض محصول",G94)),ISNUMBER(SEARCH("تعویض دستگاه",G94))),"تعویض کامل دستگاه (Replacement)",IF(ISNUMBER(SEARCH("پمپ",G94)),IF(ISNUMBER(SEARCH("نشت",G94)),"نشتی - پمپ تخلیه (تعمیر/آب‌بندی)","خرابی - پمپ تخلیه (تعویض)"),IF(ISNUMBER(SEARCH("کمپرسور",G94)),"خرابی - کمپرسور (تعویض)",IF(ISNUMBER(SEARCH("کمک فنر",G94)),"خرابی - کمک فنر (تعویض)",IF(ISNUMBER(SEARCH("لولا",G94)),"مکانیزم درب - لولا (تعویض)",IF(OR(ISNUMBER(SEARCH("قلاب",G94)),ISNUMBER(SEARCH("ميکروسوئيچ",G94)),ISNUMBER(SEARCH("میکروسوئیچ",G94))),"مکانیزم درب - میکروسوئیچ/قلاب (تعویض/تنظیم)",IF(ISNUMBER(SEARCH("زبانه",G94)),"مکانیزم درب - زبانه (تعویض)",IF(OR(ISNUMBER(SEARCH("شيلنگ",G94)),ISNUMBER(SEARCH("شیلنگ",G94))),IF(OR(ISNUMBER(SEARCH("نشتی",G94)),ISNUMBER(SEARCH("نشتي",G94))),"نشتی - شیلنگ (تعمیر/آب‌بندی)",IF(OR(ISNUMBER(SEARCH("يخ",G94)),ISNUMBER(SEARCH("یخ",G94))),"شیلنگ یخساز - یخ‌زدگی (بازبینی)","شیلنگ - برخورد/لهیدگی (بازبینی)")),IF(OR(ISNUMBER(SEARCH("تنظيم ديسپل",G94)),ISNUMBER(SEARCH("تنظیم دیسپل",G94)),ISNUMBER(SEARCH("تنظيم صفحه نمايش",G94)),ISNUMBER(SEARCH("تنظیم صفحه نمایش",G94))),"تنظیم - تنظیمات دستگاه/دیسپلی (تعمیر)",IF(OR(ISNUMBER(SEARCH("برد",G94)),ISNUMBER(SEARCH("سوکت",G94)),ISNUMBER(SEARCH("ديسپل",G94)),ISNUMBER(SEARCH("دیسپل",G94))),"خرابی - برد الکترونیک (تعویض)",IF(OR(ISNUMBER(SEARCH("يخساز",G94)),ISNUMBER(SEARCH("یخساز",G94)),ISNUMBER(SEARCH("دمپر",G94))),IF(OR(ISNUMBER(SEARCH("خرابی",G94)),ISNUMBER(SEARCH("خراب",G94)),ISNUMBER(SEARCH("عدم کارکرد",G94)),ISNUMBER(SEARCH("عدم عملکرد",G94))),"یخساز - خرابی موتور/سنسور/برد (تعویض)","یخساز - تنظیم/عایق (تعمیر)"),IF(OR(ISNUMBER(SEARCH("لاستيک",G94)),ISNUMBER(SEARCH("لاستیک",G94))),"لاستیک درزگیر - دفرمگی/پارگی (تعویض)",IF(OR(ISNUMBER(SEARCH("گسکت",G94)),ISNUMBER(SEARCH("گسگت",G94))),"لاستیک درزگیر - دفرمگی/پارگی (تعویض)",IF(ISNUMBER(SEARCH("مخزن نمک",G94)),"نشتی - درب مخزن نمک (تعمیر/آب‌بندی)",IF(ISNUMBER(SEARCH("براکت",G94)),"نشتی - براکت ریل (تعمیر/آب‌بندی)",IF(ISNUMBER(SEARCH("جاپودر",G94)),"نشتی - جاپودری (تعمیر/آب‌بندی)",IF(ISNUMBER(SEARCH("مقسم",G94)),"نشتی - مقسم آب (تعمیر/آب‌بندی)",IF(OR(ISNUMBER(SEARCH("سنسور دما",G94)),ISNUMBER(SEARCH("ترموستات",G94))),"خرابی - ترموستات (تعویض)",IF(OR(ISNUMBER(SEARCH("هيدروستات",G94)),ISNUMBER(SEARCH("هیدروستات",G94))),"خرابی - هیدروستات (تعویض)",IF(OR(ISNUMBER(SEARCH("بلبرينگ",G94)),ISNUMBER(SEARCH("بلبرینگ",G94))),"خرابی - بلبرینگ (تعویض)",IF(OR(ISNUMBER(SEARCH("شيربرق",G94)),ISNUMBER(SEARCH("شیربرق",G94))),"خرابی - شیربرقی (تعویض)",IF(OR(ISNUMBER(SEARCH("واتر جت",G94)),ISNUMBER(SEARCH("واترجت",G94))),"خرابی - واترجت (تعویض)",IF(OR(ISNUMBER(SEARCH("سيم",G94)),ISNUMBER(SEARCH("سیم",G94)),ISNUMBER(SEARCH("اتصال",G94))),"سیم‌کشی/اتصالات (تعویض/بازبینی)",IF(OR(ISNUMBER(SEARCH("تصوير",G94)),ISNUMBER(SEARCH("تصویر",G94))),"برد نمایش تلویزیون (تعویض)",IF(OR(ISNUMBER(SEARCH("ريموت",G94)),ISNUMBER(SEARCH("ریموت",G94))),"ریموت کنترل (تعویض/تعمیر)",IF(OR(ISNUMBER(SEARCH("ال اي دي",G94)),ISNUMBER(SEARCH("ال ای دی",G94)),ISNUMBER(SEARCH("LED",G94))),"خرابی - لامپ/LED داخلی (تعویض)",IF(ISNUMBER(SEARCH("زنگ زدگ",G94)),"زنگ‌زدگی بدنه/قطعه (تعویض)",IF(OR(ISNUMBER(SEARCH("قطعات تزئين",G94)),ISNUMBER(SEARCH("قطعات تزئین",G94))),"قطعات تزئینی - شکستگی/کسری (تعویض)",IF(ISNUMBER(SEARCH("سبد",G94)),"سبد ظرفشویی - شکستگی (تعویض)",IF(ISNUMBER(SEARCH("تاب درام",G94)),"خرابی - تاب برداشتن درام (تعویض)",IF(ISNUMBER(SEARCH("درام",G94)),"خرابی - سایر ایراد درام (تعویض)",IF(ISNUMBER(SEARCH("موتور",G94)),"خرابی - موتور (تعویض)",IF(ISNUMBER(SEARCH("تسمه",G94)),"خرابی - تسمه (تعویض)",IF(OR(ISNUMBER(SEARCH("پيچ ولوم",G94)),ISNUMBER(SEARCH("پیچ ولوم",G94))),"تنظیم - پیچ ولوم/دکمه (تعمیر)",IF(OR(ISNUMBER(SEARCH("کسري قطعات",G94)),ISNUMBER(SEARCH("کسری قطعات",G94))),"کسری قطعات تزئینی (تعویض)",IF(ISNUMBER(SEARCH("پرچ",G94)),"پرچ/بدنه کابین(تعمیر)",IF(OR(ISNUMBER(SEARCH("نشت",G94)),ISNUMBER(SEARCH("آبريزش",G94)),ISNUMBER(SEARCH("آبریزش",G94))),"نشتی آب - محل نامشخص (نیازمند بازدید)",IF(ISNUMBER(SEARCH("درب",G94)),"سایر اجزای درب (بازبینی)",IF(ISNUMBER(SEARCH("ضربه",G94)),"بدنه/کابین - ضربه (بازبینی/تعویض پنل)",IF(ISNUMBER(SEARCH("تراز",G94)),"تراز/لرزش - نصب (رگلاژ پایه)",IF(OR(ISNUMBER(SEARCH("تعویض",G94)),ISNUMBER(SEARCH("تعويض",G94))),"تعویض کامل دستگاه (Replacement)","سایر (نیازمند بررسی دستی)")))))))))))))))))))))))))))))))))))))))))))</f>
        <v/>
      </c>
      <c r="P94" s="124" t="inlineStr">
        <is>
          <t>*</t>
        </is>
      </c>
      <c r="Q94" s="124">
        <f>IF(ISNUMBER(SEARCH("عهده شرکت",F94)),"شرکت",IF(ISNUMBER(SEARCH("عهده مشتري",F94)),"مشتری",IF(ISNUMBER(SEARCH("عهده مشتری",F94)),"مشتری","نامشخص")))</f>
        <v/>
      </c>
      <c r="R94" s="178">
        <f>IF(O94="تعویض کامل دستگاه (Replacement)",IF(SUMIF('قیمت‌ها و مفروضات'!$A$9:$A$13,C94,'قیمت‌ها و مفروضات'!$C$9:$C$13)&lt;&gt;0,SUMIF('قیمت‌ها و مفروضات'!$A$9:$A$13,C94,'قیمت‌ها و مفروضات'!$C$9:$C$13),SUMIF('قیمت‌ها و مفروضات'!$A$9:$A$13,C94,'قیمت‌ها و مفروضات'!$B$9:$B$13)),IF(SUMIF('قیمت‌ها و مفروضات'!$A$18:$A$63,O94,'قیمت‌ها و مفروضات'!$C$18:$C$63)&lt;&gt;0,SUMIF('قیمت‌ها و مفروضات'!$A$18:$A$63,O94,'قیمت‌ها و مفروضات'!$C$18:$C$63),SUMIF('قیمت‌ها و مفروضات'!$A$18:$A$63,O94,'قیمت‌ها و مفروضات'!$B$18:$B$63)))</f>
        <v/>
      </c>
      <c r="S94" s="178">
        <f>'قیمت‌ها و مفروضات'!$B$3+'قیمت‌ها و مفروضات'!$B$4</f>
        <v/>
      </c>
      <c r="T94" s="178">
        <f>R94+S94</f>
        <v/>
      </c>
      <c r="U94" s="178">
        <f>IF(COUNTIF($E$2:E94,E94)&gt;1,"بله (تکراری)","خیر")</f>
        <v/>
      </c>
      <c r="V94" s="178">
        <f>IF(U94="بله (تکراری)",S94,0)</f>
        <v/>
      </c>
      <c r="W94" s="208" t="inlineStr"/>
      <c r="X94" s="208" t="inlineStr"/>
    </row>
    <row r="95" ht="58.5" customHeight="1" s="151">
      <c r="A95" s="176" t="n">
        <v>810003432</v>
      </c>
      <c r="B95" s="124">
        <f>CHOOSE(_xlfn.NUMBERVALUE(MID(H95,6,2)),"فروردین","اردیبهشت","خرداد","تیر","مرداد","شهریور","مهر","آبان","آذر","دی","بهمن","اسفند")</f>
        <v/>
      </c>
      <c r="C95" s="176" t="inlineStr">
        <is>
          <t>ماشين ظرفشويي</t>
        </is>
      </c>
      <c r="D95" s="176" t="inlineStr">
        <is>
          <t>CDW-H15V</t>
        </is>
      </c>
      <c r="E95" s="176" t="inlineStr">
        <is>
          <t>52220003N01306</t>
        </is>
      </c>
      <c r="F95" s="173" t="inlineStr">
        <is>
          <t>خطاي F54 ** اياب و ذهاب به عهده شرکت</t>
        </is>
      </c>
      <c r="G95" s="173" t="inlineStr">
        <is>
          <t>نشتي از شيلنگ تخليه</t>
        </is>
      </c>
      <c r="H95" s="176" t="inlineStr">
        <is>
          <t>1405/01/24</t>
        </is>
      </c>
      <c r="I95" s="124" t="inlineStr">
        <is>
          <t>1403/07/23</t>
        </is>
      </c>
      <c r="J95" s="124" t="inlineStr">
        <is>
          <t>1404/02/15</t>
        </is>
      </c>
      <c r="K95" s="177">
        <f>IFERROR(VLOOKUP(LEFT(H95,7),'تبدیل تاریخ'!$A$2:$B$73,2,FALSE())+VALUE(RIGHT(H95,2))-1,"")</f>
        <v/>
      </c>
      <c r="L95" s="177">
        <f>IFERROR(VLOOKUP(LEFT(I95,7),'تبدیل تاریخ'!$A$2:$B$73,2,FALSE())+VALUE(RIGHT(I95,2))-1,"")</f>
        <v/>
      </c>
      <c r="M95" s="177">
        <f>IF(J95="","",IFERROR(VLOOKUP(LEFT(J95,7),'تبدیل تاریخ'!$A$2:$B$73,2,FALSE())+VALUE(RIGHT(J95,2))-1,""))</f>
        <v/>
      </c>
      <c r="N95" s="124">
        <f>IF(OR(K95="",M95=""),"",CEILING((K95-M95)/30,1))</f>
        <v/>
      </c>
      <c r="O95" s="124">
        <f>IF(OR(ISNUMBER(SEARCH("بدون مورد",G95)),ISNUMBER(SEARCH("غير گارانتي",G95)),ISNUMBER(SEARCH("غیر گارانتی",G95)),ISNUMBER(SEARCH("بدون اجرت",G95)),ISNUMBER(SEARCH("فيلتر",G95)),ISNUMBER(SEARCH("فیلتر",G95))),"غیرگارانتی/بدون قطعه",IF(OR(ISNUMBER(SEARCH("ريست",G95)),ISNUMBER(SEARCH("ریست",G95))),"ریست نرم‌افزاری (بدون قطعه)",IF(OR(ISNUMBER(SEARCH("تعویض محصول",G95)),ISNUMBER(SEARCH("تعویض دستگاه",G95))),"تعویض کامل دستگاه (Replacement)",IF(ISNUMBER(SEARCH("پمپ",G95)),IF(ISNUMBER(SEARCH("نشت",G95)),"نشتی - پمپ تخلیه (تعمیر/آب‌بندی)","خرابی - پمپ تخلیه (تعویض)"),IF(ISNUMBER(SEARCH("کمپرسور",G95)),"خرابی - کمپرسور (تعویض)",IF(ISNUMBER(SEARCH("کمک فنر",G95)),"خرابی - کمک فنر (تعویض)",IF(ISNUMBER(SEARCH("لولا",G95)),"مکانیزم درب - لولا (تعویض)",IF(OR(ISNUMBER(SEARCH("قلاب",G95)),ISNUMBER(SEARCH("ميکروسوئيچ",G95)),ISNUMBER(SEARCH("میکروسوئیچ",G95))),"مکانیزم درب - میکروسوئیچ/قلاب (تعویض/تنظیم)",IF(ISNUMBER(SEARCH("زبانه",G95)),"مکانیزم درب - زبانه (تعویض)",IF(OR(ISNUMBER(SEARCH("شيلنگ",G95)),ISNUMBER(SEARCH("شیلنگ",G95))),IF(OR(ISNUMBER(SEARCH("نشتی",G95)),ISNUMBER(SEARCH("نشتي",G95))),"نشتی - شیلنگ (تعمیر/آب‌بندی)",IF(OR(ISNUMBER(SEARCH("يخ",G95)),ISNUMBER(SEARCH("یخ",G95))),"شیلنگ یخساز - یخ‌زدگی (بازبینی)","شیلنگ - برخورد/لهیدگی (بازبینی)")),IF(OR(ISNUMBER(SEARCH("تنظيم ديسپل",G95)),ISNUMBER(SEARCH("تنظیم دیسپل",G95)),ISNUMBER(SEARCH("تنظيم صفحه نمايش",G95)),ISNUMBER(SEARCH("تنظیم صفحه نمایش",G95))),"تنظیم - تنظیمات دستگاه/دیسپلی (تعمیر)",IF(OR(ISNUMBER(SEARCH("برد",G95)),ISNUMBER(SEARCH("سوکت",G95)),ISNUMBER(SEARCH("ديسپل",G95)),ISNUMBER(SEARCH("دیسپل",G95))),"خرابی - برد الکترونیک (تعویض)",IF(OR(ISNUMBER(SEARCH("يخساز",G95)),ISNUMBER(SEARCH("یخساز",G95)),ISNUMBER(SEARCH("دمپر",G95))),IF(OR(ISNUMBER(SEARCH("خرابی",G95)),ISNUMBER(SEARCH("خراب",G95)),ISNUMBER(SEARCH("عدم کارکرد",G95)),ISNUMBER(SEARCH("عدم عملکرد",G95))),"یخساز - خرابی موتور/سنسور/برد (تعویض)","یخساز - تنظیم/عایق (تعمیر)"),IF(OR(ISNUMBER(SEARCH("لاستيک",G95)),ISNUMBER(SEARCH("لاستیک",G95))),"لاستیک درزگیر - دفرمگی/پارگی (تعویض)",IF(OR(ISNUMBER(SEARCH("گسکت",G95)),ISNUMBER(SEARCH("گسگت",G95))),"لاستیک درزگیر - دفرمگی/پارگی (تعویض)",IF(ISNUMBER(SEARCH("مخزن نمک",G95)),"نشتی - درب مخزن نمک (تعمیر/آب‌بندی)",IF(ISNUMBER(SEARCH("براکت",G95)),"نشتی - براکت ریل (تعمیر/آب‌بندی)",IF(ISNUMBER(SEARCH("جاپودر",G95)),"نشتی - جاپودری (تعمیر/آب‌بندی)",IF(ISNUMBER(SEARCH("مقسم",G95)),"نشتی - مقسم آب (تعمیر/آب‌بندی)",IF(OR(ISNUMBER(SEARCH("سنسور دما",G95)),ISNUMBER(SEARCH("ترموستات",G95))),"خرابی - ترموستات (تعویض)",IF(OR(ISNUMBER(SEARCH("هيدروستات",G95)),ISNUMBER(SEARCH("هیدروستات",G95))),"خرابی - هیدروستات (تعویض)",IF(OR(ISNUMBER(SEARCH("بلبرينگ",G95)),ISNUMBER(SEARCH("بلبرینگ",G95))),"خرابی - بلبرینگ (تعویض)",IF(OR(ISNUMBER(SEARCH("شيربرق",G95)),ISNUMBER(SEARCH("شیربرق",G95))),"خرابی - شیربرقی (تعویض)",IF(OR(ISNUMBER(SEARCH("واتر جت",G95)),ISNUMBER(SEARCH("واترجت",G95))),"خرابی - واترجت (تعویض)",IF(OR(ISNUMBER(SEARCH("سيم",G95)),ISNUMBER(SEARCH("سیم",G95)),ISNUMBER(SEARCH("اتصال",G95))),"سیم‌کشی/اتصالات (تعویض/بازبینی)",IF(OR(ISNUMBER(SEARCH("تصوير",G95)),ISNUMBER(SEARCH("تصویر",G95))),"برد نمایش تلویزیون (تعویض)",IF(OR(ISNUMBER(SEARCH("ريموت",G95)),ISNUMBER(SEARCH("ریموت",G95))),"ریموت کنترل (تعویض/تعمیر)",IF(OR(ISNUMBER(SEARCH("ال اي دي",G95)),ISNUMBER(SEARCH("ال ای دی",G95)),ISNUMBER(SEARCH("LED",G95))),"خرابی - لامپ/LED داخلی (تعویض)",IF(ISNUMBER(SEARCH("زنگ زدگ",G95)),"زنگ‌زدگی بدنه/قطعه (تعویض)",IF(OR(ISNUMBER(SEARCH("قطعات تزئين",G95)),ISNUMBER(SEARCH("قطعات تزئین",G95))),"قطعات تزئینی - شکستگی/کسری (تعویض)",IF(ISNUMBER(SEARCH("سبد",G95)),"سبد ظرفشویی - شکستگی (تعویض)",IF(ISNUMBER(SEARCH("تاب درام",G95)),"خرابی - تاب برداشتن درام (تعویض)",IF(ISNUMBER(SEARCH("درام",G95)),"خرابی - سایر ایراد درام (تعویض)",IF(ISNUMBER(SEARCH("موتور",G95)),"خرابی - موتور (تعویض)",IF(ISNUMBER(SEARCH("تسمه",G95)),"خرابی - تسمه (تعویض)",IF(OR(ISNUMBER(SEARCH("پيچ ولوم",G95)),ISNUMBER(SEARCH("پیچ ولوم",G95))),"تنظیم - پیچ ولوم/دکمه (تعمیر)",IF(OR(ISNUMBER(SEARCH("کسري قطعات",G95)),ISNUMBER(SEARCH("کسری قطعات",G95))),"کسری قطعات تزئینی (تعویض)",IF(ISNUMBER(SEARCH("پرچ",G95)),"پرچ/بدنه کابین(تعمیر)",IF(OR(ISNUMBER(SEARCH("نشت",G95)),ISNUMBER(SEARCH("آبريزش",G95)),ISNUMBER(SEARCH("آبریزش",G95))),"نشتی آب - محل نامشخص (نیازمند بازدید)",IF(ISNUMBER(SEARCH("درب",G95)),"سایر اجزای درب (بازبینی)",IF(ISNUMBER(SEARCH("ضربه",G95)),"بدنه/کابین - ضربه (بازبینی/تعویض پنل)",IF(ISNUMBER(SEARCH("تراز",G95)),"تراز/لرزش - نصب (رگلاژ پایه)",IF(OR(ISNUMBER(SEARCH("تعویض",G95)),ISNUMBER(SEARCH("تعويض",G95))),"تعویض کامل دستگاه (Replacement)","سایر (نیازمند بررسی دستی)")))))))))))))))))))))))))))))))))))))))))))</f>
        <v/>
      </c>
      <c r="P95" s="124" t="inlineStr">
        <is>
          <t>*</t>
        </is>
      </c>
      <c r="Q95" s="124">
        <f>IF(ISNUMBER(SEARCH("عهده شرکت",F95)),"شرکت",IF(ISNUMBER(SEARCH("عهده مشتري",F95)),"مشتری",IF(ISNUMBER(SEARCH("عهده مشتری",F95)),"مشتری","نامشخص")))</f>
        <v/>
      </c>
      <c r="R95" s="178">
        <f>IF(O95="تعویض کامل دستگاه (Replacement)",IF(SUMIF('قیمت‌ها و مفروضات'!$A$9:$A$13,C95,'قیمت‌ها و مفروضات'!$C$9:$C$13)&lt;&gt;0,SUMIF('قیمت‌ها و مفروضات'!$A$9:$A$13,C95,'قیمت‌ها و مفروضات'!$C$9:$C$13),SUMIF('قیمت‌ها و مفروضات'!$A$9:$A$13,C95,'قیمت‌ها و مفروضات'!$B$9:$B$13)),IF(SUMIF('قیمت‌ها و مفروضات'!$A$18:$A$63,O95,'قیمت‌ها و مفروضات'!$C$18:$C$63)&lt;&gt;0,SUMIF('قیمت‌ها و مفروضات'!$A$18:$A$63,O95,'قیمت‌ها و مفروضات'!$C$18:$C$63),SUMIF('قیمت‌ها و مفروضات'!$A$18:$A$63,O95,'قیمت‌ها و مفروضات'!$B$18:$B$63)))</f>
        <v/>
      </c>
      <c r="S95" s="178">
        <f>'قیمت‌ها و مفروضات'!$B$3+'قیمت‌ها و مفروضات'!$B$4</f>
        <v/>
      </c>
      <c r="T95" s="178">
        <f>R95+S95</f>
        <v/>
      </c>
      <c r="U95" s="178">
        <f>IF(COUNTIF($E$2:E95,E95)&gt;1,"بله (تکراری)","خیر")</f>
        <v/>
      </c>
      <c r="V95" s="178">
        <f>IF(U95="بله (تکراری)",S95,0)</f>
        <v/>
      </c>
      <c r="W95" s="208" t="inlineStr"/>
      <c r="X95" s="208" t="inlineStr"/>
    </row>
    <row r="96" ht="58.5" customHeight="1" s="151">
      <c r="A96" s="176" t="n">
        <v>210012289</v>
      </c>
      <c r="B96" s="124">
        <f>CHOOSE(_xlfn.NUMBERVALUE(MID(H96,6,2)),"فروردین","اردیبهشت","خرداد","تیر","مرداد","شهریور","مهر","آبان","آذر","دی","بهمن","اسفند")</f>
        <v/>
      </c>
      <c r="C96" s="176" t="inlineStr">
        <is>
          <t>ماشين ظرفشويي</t>
        </is>
      </c>
      <c r="D96" s="176" t="inlineStr">
        <is>
          <t>CDW-H16T</t>
        </is>
      </c>
      <c r="E96" s="176" t="inlineStr">
        <is>
          <t>52220005N03900</t>
        </is>
      </c>
      <c r="F96" s="173" t="inlineStr">
        <is>
          <t>از کار افتادن محصول**اياب و ذهاب به عهده شرکت</t>
        </is>
      </c>
      <c r="G96" s="173" t="inlineStr">
        <is>
          <t>نشتي پمپ تخليه</t>
        </is>
      </c>
      <c r="H96" s="176" t="inlineStr">
        <is>
          <t>1405/01/25</t>
        </is>
      </c>
      <c r="I96" s="124" t="inlineStr">
        <is>
          <t>1404/07/14</t>
        </is>
      </c>
      <c r="J96" s="124" t="inlineStr">
        <is>
          <t>1404/08/26</t>
        </is>
      </c>
      <c r="K96" s="177">
        <f>IFERROR(VLOOKUP(LEFT(H96,7),'تبدیل تاریخ'!$A$2:$B$73,2,FALSE())+VALUE(RIGHT(H96,2))-1,"")</f>
        <v/>
      </c>
      <c r="L96" s="177">
        <f>IFERROR(VLOOKUP(LEFT(I96,7),'تبدیل تاریخ'!$A$2:$B$73,2,FALSE())+VALUE(RIGHT(I96,2))-1,"")</f>
        <v/>
      </c>
      <c r="M96" s="177">
        <f>IF(J96="","",IFERROR(VLOOKUP(LEFT(J96,7),'تبدیل تاریخ'!$A$2:$B$73,2,FALSE())+VALUE(RIGHT(J96,2))-1,""))</f>
        <v/>
      </c>
      <c r="N96" s="124">
        <f>IF(OR(K96="",M96=""),"",CEILING((K96-M96)/30,1))</f>
        <v/>
      </c>
      <c r="O96" s="124">
        <f>IF(OR(ISNUMBER(SEARCH("بدون مورد",G96)),ISNUMBER(SEARCH("غير گارانتي",G96)),ISNUMBER(SEARCH("غیر گارانتی",G96)),ISNUMBER(SEARCH("بدون اجرت",G96)),ISNUMBER(SEARCH("فيلتر",G96)),ISNUMBER(SEARCH("فیلتر",G96))),"غیرگارانتی/بدون قطعه",IF(OR(ISNUMBER(SEARCH("ريست",G96)),ISNUMBER(SEARCH("ریست",G96))),"ریست نرم‌افزاری (بدون قطعه)",IF(OR(ISNUMBER(SEARCH("تعویض محصول",G96)),ISNUMBER(SEARCH("تعویض دستگاه",G96))),"تعویض کامل دستگاه (Replacement)",IF(ISNUMBER(SEARCH("پمپ",G96)),IF(ISNUMBER(SEARCH("نشت",G96)),"نشتی - پمپ تخلیه (تعمیر/آب‌بندی)","خرابی - پمپ تخلیه (تعویض)"),IF(ISNUMBER(SEARCH("کمپرسور",G96)),"خرابی - کمپرسور (تعویض)",IF(ISNUMBER(SEARCH("کمک فنر",G96)),"خرابی - کمک فنر (تعویض)",IF(ISNUMBER(SEARCH("لولا",G96)),"مکانیزم درب - لولا (تعویض)",IF(OR(ISNUMBER(SEARCH("قلاب",G96)),ISNUMBER(SEARCH("ميکروسوئيچ",G96)),ISNUMBER(SEARCH("میکروسوئیچ",G96))),"مکانیزم درب - میکروسوئیچ/قلاب (تعویض/تنظیم)",IF(ISNUMBER(SEARCH("زبانه",G96)),"مکانیزم درب - زبانه (تعویض)",IF(OR(ISNUMBER(SEARCH("شيلنگ",G96)),ISNUMBER(SEARCH("شیلنگ",G96))),IF(OR(ISNUMBER(SEARCH("نشتی",G96)),ISNUMBER(SEARCH("نشتي",G96))),"نشتی - شیلنگ (تعمیر/آب‌بندی)",IF(OR(ISNUMBER(SEARCH("يخ",G96)),ISNUMBER(SEARCH("یخ",G96))),"شیلنگ یخساز - یخ‌زدگی (بازبینی)","شیلنگ - برخورد/لهیدگی (بازبینی)")),IF(OR(ISNUMBER(SEARCH("تنظيم ديسپل",G96)),ISNUMBER(SEARCH("تنظیم دیسپل",G96)),ISNUMBER(SEARCH("تنظيم صفحه نمايش",G96)),ISNUMBER(SEARCH("تنظیم صفحه نمایش",G96))),"تنظیم - تنظیمات دستگاه/دیسپلی (تعمیر)",IF(OR(ISNUMBER(SEARCH("برد",G96)),ISNUMBER(SEARCH("سوکت",G96)),ISNUMBER(SEARCH("ديسپل",G96)),ISNUMBER(SEARCH("دیسپل",G96))),"خرابی - برد الکترونیک (تعویض)",IF(OR(ISNUMBER(SEARCH("يخساز",G96)),ISNUMBER(SEARCH("یخساز",G96)),ISNUMBER(SEARCH("دمپر",G96))),IF(OR(ISNUMBER(SEARCH("خرابی",G96)),ISNUMBER(SEARCH("خراب",G96)),ISNUMBER(SEARCH("عدم کارکرد",G96)),ISNUMBER(SEARCH("عدم عملکرد",G96))),"یخساز - خرابی موتور/سنسور/برد (تعویض)","یخساز - تنظیم/عایق (تعمیر)"),IF(OR(ISNUMBER(SEARCH("لاستيک",G96)),ISNUMBER(SEARCH("لاستیک",G96))),"لاستیک درزگیر - دفرمگی/پارگی (تعویض)",IF(OR(ISNUMBER(SEARCH("گسکت",G96)),ISNUMBER(SEARCH("گسگت",G96))),"لاستیک درزگیر - دفرمگی/پارگی (تعویض)",IF(ISNUMBER(SEARCH("مخزن نمک",G96)),"نشتی - درب مخزن نمک (تعمیر/آب‌بندی)",IF(ISNUMBER(SEARCH("براکت",G96)),"نشتی - براکت ریل (تعمیر/آب‌بندی)",IF(ISNUMBER(SEARCH("جاپودر",G96)),"نشتی - جاپودری (تعمیر/آب‌بندی)",IF(ISNUMBER(SEARCH("مقسم",G96)),"نشتی - مقسم آب (تعمیر/آب‌بندی)",IF(OR(ISNUMBER(SEARCH("سنسور دما",G96)),ISNUMBER(SEARCH("ترموستات",G96))),"خرابی - ترموستات (تعویض)",IF(OR(ISNUMBER(SEARCH("هيدروستات",G96)),ISNUMBER(SEARCH("هیدروستات",G96))),"خرابی - هیدروستات (تعویض)",IF(OR(ISNUMBER(SEARCH("بلبرينگ",G96)),ISNUMBER(SEARCH("بلبرینگ",G96))),"خرابی - بلبرینگ (تعویض)",IF(OR(ISNUMBER(SEARCH("شيربرق",G96)),ISNUMBER(SEARCH("شیربرق",G96))),"خرابی - شیربرقی (تعویض)",IF(OR(ISNUMBER(SEARCH("واتر جت",G96)),ISNUMBER(SEARCH("واترجت",G96))),"خرابی - واترجت (تعویض)",IF(OR(ISNUMBER(SEARCH("سيم",G96)),ISNUMBER(SEARCH("سیم",G96)),ISNUMBER(SEARCH("اتصال",G96))),"سیم‌کشی/اتصالات (تعویض/بازبینی)",IF(OR(ISNUMBER(SEARCH("تصوير",G96)),ISNUMBER(SEARCH("تصویر",G96))),"برد نمایش تلویزیون (تعویض)",IF(OR(ISNUMBER(SEARCH("ريموت",G96)),ISNUMBER(SEARCH("ریموت",G96))),"ریموت کنترل (تعویض/تعمیر)",IF(OR(ISNUMBER(SEARCH("ال اي دي",G96)),ISNUMBER(SEARCH("ال ای دی",G96)),ISNUMBER(SEARCH("LED",G96))),"خرابی - لامپ/LED داخلی (تعویض)",IF(ISNUMBER(SEARCH("زنگ زدگ",G96)),"زنگ‌زدگی بدنه/قطعه (تعویض)",IF(OR(ISNUMBER(SEARCH("قطعات تزئين",G96)),ISNUMBER(SEARCH("قطعات تزئین",G96))),"قطعات تزئینی - شکستگی/کسری (تعویض)",IF(ISNUMBER(SEARCH("سبد",G96)),"سبد ظرفشویی - شکستگی (تعویض)",IF(ISNUMBER(SEARCH("تاب درام",G96)),"خرابی - تاب برداشتن درام (تعویض)",IF(ISNUMBER(SEARCH("درام",G96)),"خرابی - سایر ایراد درام (تعویض)",IF(ISNUMBER(SEARCH("موتور",G96)),"خرابی - موتور (تعویض)",IF(ISNUMBER(SEARCH("تسمه",G96)),"خرابی - تسمه (تعویض)",IF(OR(ISNUMBER(SEARCH("پيچ ولوم",G96)),ISNUMBER(SEARCH("پیچ ولوم",G96))),"تنظیم - پیچ ولوم/دکمه (تعمیر)",IF(OR(ISNUMBER(SEARCH("کسري قطعات",G96)),ISNUMBER(SEARCH("کسری قطعات",G96))),"کسری قطعات تزئینی (تعویض)",IF(ISNUMBER(SEARCH("پرچ",G96)),"پرچ/بدنه کابین(تعمیر)",IF(OR(ISNUMBER(SEARCH("نشت",G96)),ISNUMBER(SEARCH("آبريزش",G96)),ISNUMBER(SEARCH("آبریزش",G96))),"نشتی آب - محل نامشخص (نیازمند بازدید)",IF(ISNUMBER(SEARCH("درب",G96)),"سایر اجزای درب (بازبینی)",IF(ISNUMBER(SEARCH("ضربه",G96)),"بدنه/کابین - ضربه (بازبینی/تعویض پنل)",IF(ISNUMBER(SEARCH("تراز",G96)),"تراز/لرزش - نصب (رگلاژ پایه)",IF(OR(ISNUMBER(SEARCH("تعویض",G96)),ISNUMBER(SEARCH("تعويض",G96))),"تعویض کامل دستگاه (Replacement)","سایر (نیازمند بررسی دستی)")))))))))))))))))))))))))))))))))))))))))))</f>
        <v/>
      </c>
      <c r="P96" s="124" t="inlineStr">
        <is>
          <t>*</t>
        </is>
      </c>
      <c r="Q96" s="124">
        <f>IF(ISNUMBER(SEARCH("عهده شرکت",F96)),"شرکت",IF(ISNUMBER(SEARCH("عهده مشتري",F96)),"مشتری",IF(ISNUMBER(SEARCH("عهده مشتری",F96)),"مشتری","نامشخص")))</f>
        <v/>
      </c>
      <c r="R96" s="178">
        <f>IF(O96="تعویض کامل دستگاه (Replacement)",IF(SUMIF('قیمت‌ها و مفروضات'!$A$9:$A$13,C96,'قیمت‌ها و مفروضات'!$C$9:$C$13)&lt;&gt;0,SUMIF('قیمت‌ها و مفروضات'!$A$9:$A$13,C96,'قیمت‌ها و مفروضات'!$C$9:$C$13),SUMIF('قیمت‌ها و مفروضات'!$A$9:$A$13,C96,'قیمت‌ها و مفروضات'!$B$9:$B$13)),IF(SUMIF('قیمت‌ها و مفروضات'!$A$18:$A$63,O96,'قیمت‌ها و مفروضات'!$C$18:$C$63)&lt;&gt;0,SUMIF('قیمت‌ها و مفروضات'!$A$18:$A$63,O96,'قیمت‌ها و مفروضات'!$C$18:$C$63),SUMIF('قیمت‌ها و مفروضات'!$A$18:$A$63,O96,'قیمت‌ها و مفروضات'!$B$18:$B$63)))</f>
        <v/>
      </c>
      <c r="S96" s="178">
        <f>'قیمت‌ها و مفروضات'!$B$3+'قیمت‌ها و مفروضات'!$B$4</f>
        <v/>
      </c>
      <c r="T96" s="178">
        <f>R96+S96</f>
        <v/>
      </c>
      <c r="U96" s="178">
        <f>IF(COUNTIF($E$2:E96,E96)&gt;1,"بله (تکراری)","خیر")</f>
        <v/>
      </c>
      <c r="V96" s="178">
        <f>IF(U96="بله (تکراری)",S96,0)</f>
        <v/>
      </c>
      <c r="W96" s="208" t="inlineStr"/>
      <c r="X96" s="208" t="inlineStr"/>
    </row>
    <row r="97" ht="58.5" customHeight="1" s="151">
      <c r="A97" s="176" t="n">
        <v>210012285</v>
      </c>
      <c r="B97" s="124">
        <f>CHOOSE(_xlfn.NUMBERVALUE(MID(H97,6,2)),"فروردین","اردیبهشت","خرداد","تیر","مرداد","شهریور","مهر","آبان","آذر","دی","بهمن","اسفند")</f>
        <v/>
      </c>
      <c r="C97" s="176" t="inlineStr">
        <is>
          <t>ماشين ظرفشويي</t>
        </is>
      </c>
      <c r="D97" s="176" t="inlineStr">
        <is>
          <t>CDW-H16T</t>
        </is>
      </c>
      <c r="E97" s="176" t="inlineStr">
        <is>
          <t>52220004N02595</t>
        </is>
      </c>
      <c r="F97" s="173" t="inlineStr">
        <is>
          <t>خطاي F54اياب و ذهاب به عهده شرکت</t>
        </is>
      </c>
      <c r="G97" s="173" t="inlineStr">
        <is>
          <t xml:space="preserve">گرفتگی پمپ تخلیه </t>
        </is>
      </c>
      <c r="H97" s="176" t="inlineStr">
        <is>
          <t>1405/01/25</t>
        </is>
      </c>
      <c r="I97" s="124" t="inlineStr">
        <is>
          <t>1404/02/05</t>
        </is>
      </c>
      <c r="J97" s="124" t="inlineStr">
        <is>
          <t>1404/06/04</t>
        </is>
      </c>
      <c r="K97" s="177">
        <f>IFERROR(VLOOKUP(LEFT(H97,7),'تبدیل تاریخ'!$A$2:$B$73,2,FALSE())+VALUE(RIGHT(H97,2))-1,"")</f>
        <v/>
      </c>
      <c r="L97" s="177">
        <f>IFERROR(VLOOKUP(LEFT(I97,7),'تبدیل تاریخ'!$A$2:$B$73,2,FALSE())+VALUE(RIGHT(I97,2))-1,"")</f>
        <v/>
      </c>
      <c r="M97" s="177">
        <f>IF(J97="","",IFERROR(VLOOKUP(LEFT(J97,7),'تبدیل تاریخ'!$A$2:$B$73,2,FALSE())+VALUE(RIGHT(J97,2))-1,""))</f>
        <v/>
      </c>
      <c r="N97" s="124">
        <f>IF(OR(K97="",M97=""),"",CEILING((K97-M97)/30,1))</f>
        <v/>
      </c>
      <c r="O97" s="124">
        <f>IF(OR(ISNUMBER(SEARCH("بدون مورد",G97)),ISNUMBER(SEARCH("غير گارانتي",G97)),ISNUMBER(SEARCH("غیر گارانتی",G97)),ISNUMBER(SEARCH("بدون اجرت",G97)),ISNUMBER(SEARCH("فيلتر",G97)),ISNUMBER(SEARCH("فیلتر",G97))),"غیرگارانتی/بدون قطعه",IF(OR(ISNUMBER(SEARCH("ريست",G97)),ISNUMBER(SEARCH("ریست",G97))),"ریست نرم‌افزاری (بدون قطعه)",IF(OR(ISNUMBER(SEARCH("تعویض محصول",G97)),ISNUMBER(SEARCH("تعویض دستگاه",G97))),"تعویض کامل دستگاه (Replacement)",IF(ISNUMBER(SEARCH("پمپ",G97)),IF(ISNUMBER(SEARCH("نشت",G97)),"نشتی - پمپ تخلیه (تعمیر/آب‌بندی)","خرابی - پمپ تخلیه (تعویض)"),IF(ISNUMBER(SEARCH("کمپرسور",G97)),"خرابی - کمپرسور (تعویض)",IF(ISNUMBER(SEARCH("کمک فنر",G97)),"خرابی - کمک فنر (تعویض)",IF(ISNUMBER(SEARCH("لولا",G97)),"مکانیزم درب - لولا (تعویض)",IF(OR(ISNUMBER(SEARCH("قلاب",G97)),ISNUMBER(SEARCH("ميکروسوئيچ",G97)),ISNUMBER(SEARCH("میکروسوئیچ",G97))),"مکانیزم درب - میکروسوئیچ/قلاب (تعویض/تنظیم)",IF(ISNUMBER(SEARCH("زبانه",G97)),"مکانیزم درب - زبانه (تعویض)",IF(OR(ISNUMBER(SEARCH("شيلنگ",G97)),ISNUMBER(SEARCH("شیلنگ",G97))),IF(OR(ISNUMBER(SEARCH("نشتی",G97)),ISNUMBER(SEARCH("نشتي",G97))),"نشتی - شیلنگ (تعمیر/آب‌بندی)",IF(OR(ISNUMBER(SEARCH("يخ",G97)),ISNUMBER(SEARCH("یخ",G97))),"شیلنگ یخساز - یخ‌زدگی (بازبینی)","شیلنگ - برخورد/لهیدگی (بازبینی)")),IF(OR(ISNUMBER(SEARCH("تنظيم ديسپل",G97)),ISNUMBER(SEARCH("تنظیم دیسپل",G97)),ISNUMBER(SEARCH("تنظيم صفحه نمايش",G97)),ISNUMBER(SEARCH("تنظیم صفحه نمایش",G97))),"تنظیم - تنظیمات دستگاه/دیسپلی (تعمیر)",IF(OR(ISNUMBER(SEARCH("برد",G97)),ISNUMBER(SEARCH("سوکت",G97)),ISNUMBER(SEARCH("ديسپل",G97)),ISNUMBER(SEARCH("دیسپل",G97))),"خرابی - برد الکترونیک (تعویض)",IF(OR(ISNUMBER(SEARCH("يخساز",G97)),ISNUMBER(SEARCH("یخساز",G97)),ISNUMBER(SEARCH("دمپر",G97))),IF(OR(ISNUMBER(SEARCH("خرابی",G97)),ISNUMBER(SEARCH("خراب",G97)),ISNUMBER(SEARCH("عدم کارکرد",G97)),ISNUMBER(SEARCH("عدم عملکرد",G97))),"یخساز - خرابی موتور/سنسور/برد (تعویض)","یخساز - تنظیم/عایق (تعمیر)"),IF(OR(ISNUMBER(SEARCH("لاستيک",G97)),ISNUMBER(SEARCH("لاستیک",G97))),"لاستیک درزگیر - دفرمگی/پارگی (تعویض)",IF(OR(ISNUMBER(SEARCH("گسکت",G97)),ISNUMBER(SEARCH("گسگت",G97))),"لاستیک درزگیر - دفرمگی/پارگی (تعویض)",IF(ISNUMBER(SEARCH("مخزن نمک",G97)),"نشتی - درب مخزن نمک (تعمیر/آب‌بندی)",IF(ISNUMBER(SEARCH("براکت",G97)),"نشتی - براکت ریل (تعمیر/آب‌بندی)",IF(ISNUMBER(SEARCH("جاپودر",G97)),"نشتی - جاپودری (تعمیر/آب‌بندی)",IF(ISNUMBER(SEARCH("مقسم",G97)),"نشتی - مقسم آب (تعمیر/آب‌بندی)",IF(OR(ISNUMBER(SEARCH("سنسور دما",G97)),ISNUMBER(SEARCH("ترموستات",G97))),"خرابی - ترموستات (تعویض)",IF(OR(ISNUMBER(SEARCH("هيدروستات",G97)),ISNUMBER(SEARCH("هیدروستات",G97))),"خرابی - هیدروستات (تعویض)",IF(OR(ISNUMBER(SEARCH("بلبرينگ",G97)),ISNUMBER(SEARCH("بلبرینگ",G97))),"خرابی - بلبرینگ (تعویض)",IF(OR(ISNUMBER(SEARCH("شيربرق",G97)),ISNUMBER(SEARCH("شیربرق",G97))),"خرابی - شیربرقی (تعویض)",IF(OR(ISNUMBER(SEARCH("واتر جت",G97)),ISNUMBER(SEARCH("واترجت",G97))),"خرابی - واترجت (تعویض)",IF(OR(ISNUMBER(SEARCH("سيم",G97)),ISNUMBER(SEARCH("سیم",G97)),ISNUMBER(SEARCH("اتصال",G97))),"سیم‌کشی/اتصالات (تعویض/بازبینی)",IF(OR(ISNUMBER(SEARCH("تصوير",G97)),ISNUMBER(SEARCH("تصویر",G97))),"برد نمایش تلویزیون (تعویض)",IF(OR(ISNUMBER(SEARCH("ريموت",G97)),ISNUMBER(SEARCH("ریموت",G97))),"ریموت کنترل (تعویض/تعمیر)",IF(OR(ISNUMBER(SEARCH("ال اي دي",G97)),ISNUMBER(SEARCH("ال ای دی",G97)),ISNUMBER(SEARCH("LED",G97))),"خرابی - لامپ/LED داخلی (تعویض)",IF(ISNUMBER(SEARCH("زنگ زدگ",G97)),"زنگ‌زدگی بدنه/قطعه (تعویض)",IF(OR(ISNUMBER(SEARCH("قطعات تزئين",G97)),ISNUMBER(SEARCH("قطعات تزئین",G97))),"قطعات تزئینی - شکستگی/کسری (تعویض)",IF(ISNUMBER(SEARCH("سبد",G97)),"سبد ظرفشویی - شکستگی (تعویض)",IF(ISNUMBER(SEARCH("تاب درام",G97)),"خرابی - تاب برداشتن درام (تعویض)",IF(ISNUMBER(SEARCH("درام",G97)),"خرابی - سایر ایراد درام (تعویض)",IF(ISNUMBER(SEARCH("موتور",G97)),"خرابی - موتور (تعویض)",IF(ISNUMBER(SEARCH("تسمه",G97)),"خرابی - تسمه (تعویض)",IF(OR(ISNUMBER(SEARCH("پيچ ولوم",G97)),ISNUMBER(SEARCH("پیچ ولوم",G97))),"تنظیم - پیچ ولوم/دکمه (تعمیر)",IF(OR(ISNUMBER(SEARCH("کسري قطعات",G97)),ISNUMBER(SEARCH("کسری قطعات",G97))),"کسری قطعات تزئینی (تعویض)",IF(ISNUMBER(SEARCH("پرچ",G97)),"پرچ/بدنه کابین(تعمیر)",IF(OR(ISNUMBER(SEARCH("نشت",G97)),ISNUMBER(SEARCH("آبريزش",G97)),ISNUMBER(SEARCH("آبریزش",G97))),"نشتی آب - محل نامشخص (نیازمند بازدید)",IF(ISNUMBER(SEARCH("درب",G97)),"سایر اجزای درب (بازبینی)",IF(ISNUMBER(SEARCH("ضربه",G97)),"بدنه/کابین - ضربه (بازبینی/تعویض پنل)",IF(ISNUMBER(SEARCH("تراز",G97)),"تراز/لرزش - نصب (رگلاژ پایه)",IF(OR(ISNUMBER(SEARCH("تعویض",G97)),ISNUMBER(SEARCH("تعويض",G97))),"تعویض کامل دستگاه (Replacement)","سایر (نیازمند بررسی دستی)")))))))))))))))))))))))))))))))))))))))))))</f>
        <v/>
      </c>
      <c r="P97" s="124" t="inlineStr">
        <is>
          <t>پمپ تخلیه ظرفشویی</t>
        </is>
      </c>
      <c r="Q97" s="124">
        <f>IF(ISNUMBER(SEARCH("عهده شرکت",F97)),"شرکت",IF(ISNUMBER(SEARCH("عهده مشتري",F97)),"مشتری",IF(ISNUMBER(SEARCH("عهده مشتری",F97)),"مشتری","نامشخص")))</f>
        <v/>
      </c>
      <c r="R97" s="178">
        <f>IF(O97="تعویض کامل دستگاه (Replacement)",IF(SUMIF('قیمت‌ها و مفروضات'!$A$9:$A$13,C97,'قیمت‌ها و مفروضات'!$C$9:$C$13)&lt;&gt;0,SUMIF('قیمت‌ها و مفروضات'!$A$9:$A$13,C97,'قیمت‌ها و مفروضات'!$C$9:$C$13),SUMIF('قیمت‌ها و مفروضات'!$A$9:$A$13,C97,'قیمت‌ها و مفروضات'!$B$9:$B$13)),IF(SUMIF('قیمت‌ها و مفروضات'!$A$18:$A$63,O97,'قیمت‌ها و مفروضات'!$C$18:$C$63)&lt;&gt;0,SUMIF('قیمت‌ها و مفروضات'!$A$18:$A$63,O97,'قیمت‌ها و مفروضات'!$C$18:$C$63),SUMIF('قیمت‌ها و مفروضات'!$A$18:$A$63,O97,'قیمت‌ها و مفروضات'!$B$18:$B$63)))</f>
        <v/>
      </c>
      <c r="S97" s="178">
        <f>'قیمت‌ها و مفروضات'!$B$3+'قیمت‌ها و مفروضات'!$B$4</f>
        <v/>
      </c>
      <c r="T97" s="178">
        <f>R97+S97</f>
        <v/>
      </c>
      <c r="U97" s="178">
        <f>IF(COUNTIF($E$2:E97,E97)&gt;1,"بله (تکراری)","خیر")</f>
        <v/>
      </c>
      <c r="V97" s="178">
        <f>IF(U97="بله (تکراری)",S97,0)</f>
        <v/>
      </c>
      <c r="W97" s="208" t="inlineStr"/>
      <c r="X97" s="208" t="inlineStr"/>
    </row>
    <row r="98" ht="58.5" customHeight="1" s="151">
      <c r="A98" s="176" t="n">
        <v>130006273</v>
      </c>
      <c r="B98" s="124">
        <f>CHOOSE(_xlfn.NUMBERVALUE(MID(H98,6,2)),"فروردین","اردیبهشت","خرداد","تیر","مرداد","شهریور","مهر","آبان","آذر","دی","بهمن","اسفند")</f>
        <v/>
      </c>
      <c r="C98" s="176" t="inlineStr">
        <is>
          <t>یخچال ساید‌بای‌ساید</t>
        </is>
      </c>
      <c r="D98" s="176" t="inlineStr">
        <is>
          <t>C2S-29HS1</t>
        </is>
      </c>
      <c r="E98" s="176" t="inlineStr">
        <is>
          <t>52240001N02021</t>
        </is>
      </c>
      <c r="F98" s="173" t="inlineStr">
        <is>
          <t>عدم کارکرد يخساز**اياب و ذهاب به عهده شرکت</t>
        </is>
      </c>
      <c r="G98" s="173" t="inlineStr">
        <is>
          <t>اصلاح دمپر پلاستيکي پشت کابين - سايد باي سايد</t>
        </is>
      </c>
      <c r="H98" s="176" t="inlineStr">
        <is>
          <t>1405/01/26</t>
        </is>
      </c>
      <c r="I98" s="124" t="inlineStr">
        <is>
          <t>1403/09/13</t>
        </is>
      </c>
      <c r="J98" s="124" t="inlineStr">
        <is>
          <t>1404/12/03</t>
        </is>
      </c>
      <c r="K98" s="177">
        <f>IFERROR(VLOOKUP(LEFT(H98,7),'تبدیل تاریخ'!$A$2:$B$73,2,FALSE())+VALUE(RIGHT(H98,2))-1,"")</f>
        <v/>
      </c>
      <c r="L98" s="177">
        <f>IFERROR(VLOOKUP(LEFT(I98,7),'تبدیل تاریخ'!$A$2:$B$73,2,FALSE())+VALUE(RIGHT(I98,2))-1,"")</f>
        <v/>
      </c>
      <c r="M98" s="177">
        <f>IF(J98="","",IFERROR(VLOOKUP(LEFT(J98,7),'تبدیل تاریخ'!$A$2:$B$73,2,FALSE())+VALUE(RIGHT(J98,2))-1,""))</f>
        <v/>
      </c>
      <c r="N98" s="124">
        <f>IF(OR(K98="",M98=""),"",CEILING((K98-M98)/30,1))</f>
        <v/>
      </c>
      <c r="O98" s="124">
        <f>IF(OR(ISNUMBER(SEARCH("بدون مورد",G98)),ISNUMBER(SEARCH("غير گارانتي",G98)),ISNUMBER(SEARCH("غیر گارانتی",G98)),ISNUMBER(SEARCH("بدون اجرت",G98)),ISNUMBER(SEARCH("فيلتر",G98)),ISNUMBER(SEARCH("فیلتر",G98))),"غیرگارانتی/بدون قطعه",IF(OR(ISNUMBER(SEARCH("ريست",G98)),ISNUMBER(SEARCH("ریست",G98))),"ریست نرم‌افزاری (بدون قطعه)",IF(OR(ISNUMBER(SEARCH("تعویض محصول",G98)),ISNUMBER(SEARCH("تعویض دستگاه",G98))),"تعویض کامل دستگاه (Replacement)",IF(ISNUMBER(SEARCH("پمپ",G98)),IF(ISNUMBER(SEARCH("نشت",G98)),"نشتی - پمپ تخلیه (تعمیر/آب‌بندی)","خرابی - پمپ تخلیه (تعویض)"),IF(ISNUMBER(SEARCH("کمپرسور",G98)),"خرابی - کمپرسور (تعویض)",IF(ISNUMBER(SEARCH("کمک فنر",G98)),"خرابی - کمک فنر (تعویض)",IF(ISNUMBER(SEARCH("لولا",G98)),"مکانیزم درب - لولا (تعویض)",IF(OR(ISNUMBER(SEARCH("قلاب",G98)),ISNUMBER(SEARCH("ميکروسوئيچ",G98)),ISNUMBER(SEARCH("میکروسوئیچ",G98))),"مکانیزم درب - میکروسوئیچ/قلاب (تعویض/تنظیم)",IF(ISNUMBER(SEARCH("زبانه",G98)),"مکانیزم درب - زبانه (تعویض)",IF(OR(ISNUMBER(SEARCH("شيلنگ",G98)),ISNUMBER(SEARCH("شیلنگ",G98))),IF(OR(ISNUMBER(SEARCH("نشتی",G98)),ISNUMBER(SEARCH("نشتي",G98))),"نشتی - شیلنگ (تعمیر/آب‌بندی)",IF(OR(ISNUMBER(SEARCH("يخ",G98)),ISNUMBER(SEARCH("یخ",G98))),"شیلنگ یخساز - یخ‌زدگی (بازبینی)","شیلنگ - برخورد/لهیدگی (بازبینی)")),IF(OR(ISNUMBER(SEARCH("تنظيم ديسپل",G98)),ISNUMBER(SEARCH("تنظیم دیسپل",G98)),ISNUMBER(SEARCH("تنظيم صفحه نمايش",G98)),ISNUMBER(SEARCH("تنظیم صفحه نمایش",G98))),"تنظیم - تنظیمات دستگاه/دیسپلی (تعمیر)",IF(OR(ISNUMBER(SEARCH("برد",G98)),ISNUMBER(SEARCH("سوکت",G98)),ISNUMBER(SEARCH("ديسپل",G98)),ISNUMBER(SEARCH("دیسپل",G98))),"خرابی - برد الکترونیک (تعویض)",IF(OR(ISNUMBER(SEARCH("يخساز",G98)),ISNUMBER(SEARCH("یخساز",G98)),ISNUMBER(SEARCH("دمپر",G98))),IF(OR(ISNUMBER(SEARCH("خرابی",G98)),ISNUMBER(SEARCH("خراب",G98)),ISNUMBER(SEARCH("عدم کارکرد",G98)),ISNUMBER(SEARCH("عدم عملکرد",G98))),"یخساز - خرابی موتور/سنسور/برد (تعویض)","یخساز - تنظیم/عایق (تعمیر)"),IF(OR(ISNUMBER(SEARCH("لاستيک",G98)),ISNUMBER(SEARCH("لاستیک",G98))),"لاستیک درزگیر - دفرمگی/پارگی (تعویض)",IF(OR(ISNUMBER(SEARCH("گسکت",G98)),ISNUMBER(SEARCH("گسگت",G98))),"لاستیک درزگیر - دفرمگی/پارگی (تعویض)",IF(ISNUMBER(SEARCH("مخزن نمک",G98)),"نشتی - درب مخزن نمک (تعمیر/آب‌بندی)",IF(ISNUMBER(SEARCH("براکت",G98)),"نشتی - براکت ریل (تعمیر/آب‌بندی)",IF(ISNUMBER(SEARCH("جاپودر",G98)),"نشتی - جاپودری (تعمیر/آب‌بندی)",IF(ISNUMBER(SEARCH("مقسم",G98)),"نشتی - مقسم آب (تعمیر/آب‌بندی)",IF(OR(ISNUMBER(SEARCH("سنسور دما",G98)),ISNUMBER(SEARCH("ترموستات",G98))),"خرابی - ترموستات (تعویض)",IF(OR(ISNUMBER(SEARCH("هيدروستات",G98)),ISNUMBER(SEARCH("هیدروستات",G98))),"خرابی - هیدروستات (تعویض)",IF(OR(ISNUMBER(SEARCH("بلبرينگ",G98)),ISNUMBER(SEARCH("بلبرینگ",G98))),"خرابی - بلبرینگ (تعویض)",IF(OR(ISNUMBER(SEARCH("شيربرق",G98)),ISNUMBER(SEARCH("شیربرق",G98))),"خرابی - شیربرقی (تعویض)",IF(OR(ISNUMBER(SEARCH("واتر جت",G98)),ISNUMBER(SEARCH("واترجت",G98))),"خرابی - واترجت (تعویض)",IF(OR(ISNUMBER(SEARCH("سيم",G98)),ISNUMBER(SEARCH("سیم",G98)),ISNUMBER(SEARCH("اتصال",G98))),"سیم‌کشی/اتصالات (تعویض/بازبینی)",IF(OR(ISNUMBER(SEARCH("تصوير",G98)),ISNUMBER(SEARCH("تصویر",G98))),"برد نمایش تلویزیون (تعویض)",IF(OR(ISNUMBER(SEARCH("ريموت",G98)),ISNUMBER(SEARCH("ریموت",G98))),"ریموت کنترل (تعویض/تعمیر)",IF(OR(ISNUMBER(SEARCH("ال اي دي",G98)),ISNUMBER(SEARCH("ال ای دی",G98)),ISNUMBER(SEARCH("LED",G98))),"خرابی - لامپ/LED داخلی (تعویض)",IF(ISNUMBER(SEARCH("زنگ زدگ",G98)),"زنگ‌زدگی بدنه/قطعه (تعویض)",IF(OR(ISNUMBER(SEARCH("قطعات تزئين",G98)),ISNUMBER(SEARCH("قطعات تزئین",G98))),"قطعات تزئینی - شکستگی/کسری (تعویض)",IF(ISNUMBER(SEARCH("سبد",G98)),"سبد ظرفشویی - شکستگی (تعویض)",IF(ISNUMBER(SEARCH("تاب درام",G98)),"خرابی - تاب برداشتن درام (تعویض)",IF(ISNUMBER(SEARCH("درام",G98)),"خرابی - سایر ایراد درام (تعویض)",IF(ISNUMBER(SEARCH("موتور",G98)),"خرابی - موتور (تعویض)",IF(ISNUMBER(SEARCH("تسمه",G98)),"خرابی - تسمه (تعویض)",IF(OR(ISNUMBER(SEARCH("پيچ ولوم",G98)),ISNUMBER(SEARCH("پیچ ولوم",G98))),"تنظیم - پیچ ولوم/دکمه (تعمیر)",IF(OR(ISNUMBER(SEARCH("کسري قطعات",G98)),ISNUMBER(SEARCH("کسری قطعات",G98))),"کسری قطعات تزئینی (تعویض)",IF(ISNUMBER(SEARCH("پرچ",G98)),"پرچ/بدنه کابین(تعمیر)",IF(OR(ISNUMBER(SEARCH("نشت",G98)),ISNUMBER(SEARCH("آبريزش",G98)),ISNUMBER(SEARCH("آبریزش",G98))),"نشتی آب - محل نامشخص (نیازمند بازدید)",IF(ISNUMBER(SEARCH("درب",G98)),"سایر اجزای درب (بازبینی)",IF(ISNUMBER(SEARCH("ضربه",G98)),"بدنه/کابین - ضربه (بازبینی/تعویض پنل)",IF(ISNUMBER(SEARCH("تراز",G98)),"تراز/لرزش - نصب (رگلاژ پایه)",IF(OR(ISNUMBER(SEARCH("تعویض",G98)),ISNUMBER(SEARCH("تعويض",G98))),"تعویض کامل دستگاه (Replacement)","سایر (نیازمند بررسی دستی)")))))))))))))))))))))))))))))))))))))))))))</f>
        <v/>
      </c>
      <c r="P98" s="124" t="inlineStr">
        <is>
          <t>*</t>
        </is>
      </c>
      <c r="Q98" s="124">
        <f>IF(ISNUMBER(SEARCH("عهده شرکت",F98)),"شرکت",IF(ISNUMBER(SEARCH("عهده مشتري",F98)),"مشتری",IF(ISNUMBER(SEARCH("عهده مشتری",F98)),"مشتری","نامشخص")))</f>
        <v/>
      </c>
      <c r="R98" s="178">
        <f>IF(O98="تعویض کامل دستگاه (Replacement)",IF(SUMIF('قیمت‌ها و مفروضات'!$A$9:$A$13,C98,'قیمت‌ها و مفروضات'!$C$9:$C$13)&lt;&gt;0,SUMIF('قیمت‌ها و مفروضات'!$A$9:$A$13,C98,'قیمت‌ها و مفروضات'!$C$9:$C$13),SUMIF('قیمت‌ها و مفروضات'!$A$9:$A$13,C98,'قیمت‌ها و مفروضات'!$B$9:$B$13)),IF(SUMIF('قیمت‌ها و مفروضات'!$A$18:$A$63,O98,'قیمت‌ها و مفروضات'!$C$18:$C$63)&lt;&gt;0,SUMIF('قیمت‌ها و مفروضات'!$A$18:$A$63,O98,'قیمت‌ها و مفروضات'!$C$18:$C$63),SUMIF('قیمت‌ها و مفروضات'!$A$18:$A$63,O98,'قیمت‌ها و مفروضات'!$B$18:$B$63)))</f>
        <v/>
      </c>
      <c r="S98" s="178">
        <f>'قیمت‌ها و مفروضات'!$B$3+'قیمت‌ها و مفروضات'!$B$4</f>
        <v/>
      </c>
      <c r="T98" s="178">
        <f>R98+S98</f>
        <v/>
      </c>
      <c r="U98" s="178">
        <f>IF(COUNTIF($E$2:E98,E98)&gt;1,"بله (تکراری)","خیر")</f>
        <v/>
      </c>
      <c r="V98" s="178">
        <f>IF(U98="بله (تکراری)",S98,0)</f>
        <v/>
      </c>
      <c r="W98" s="208" t="inlineStr"/>
      <c r="X98" s="208" t="inlineStr"/>
    </row>
    <row r="99" ht="58.5" customHeight="1" s="151">
      <c r="A99" s="176" t="n">
        <v>130006278</v>
      </c>
      <c r="B99" s="124">
        <f>CHOOSE(_xlfn.NUMBERVALUE(MID(H99,6,2)),"فروردین","اردیبهشت","خرداد","تیر","مرداد","شهریور","مهر","آبان","آذر","دی","بهمن","اسفند")</f>
        <v/>
      </c>
      <c r="C99" s="176" t="inlineStr">
        <is>
          <t>ماشين ظرفشويي</t>
        </is>
      </c>
      <c r="D99" s="176" t="inlineStr">
        <is>
          <t>CDW-H13V</t>
        </is>
      </c>
      <c r="E99" s="176" t="inlineStr">
        <is>
          <t>210140001N00103</t>
        </is>
      </c>
      <c r="F99" s="173" t="inlineStr">
        <is>
          <t>خطاي F54 اياب و ذهاب به عهده شرکت</t>
        </is>
      </c>
      <c r="G99" s="173" t="inlineStr">
        <is>
          <t>نشتي از شيلنگ تخليه</t>
        </is>
      </c>
      <c r="H99" s="176" t="inlineStr">
        <is>
          <t>1405/01/26</t>
        </is>
      </c>
      <c r="I99" s="124" t="inlineStr">
        <is>
          <t>1402/10/26</t>
        </is>
      </c>
      <c r="J99" s="124" t="inlineStr">
        <is>
          <t>1404/04/29</t>
        </is>
      </c>
      <c r="K99" s="177">
        <f>IFERROR(VLOOKUP(LEFT(H99,7),'تبدیل تاریخ'!$A$2:$B$73,2,FALSE())+VALUE(RIGHT(H99,2))-1,"")</f>
        <v/>
      </c>
      <c r="L99" s="177">
        <f>IFERROR(VLOOKUP(LEFT(I99,7),'تبدیل تاریخ'!$A$2:$B$73,2,FALSE())+VALUE(RIGHT(I99,2))-1,"")</f>
        <v/>
      </c>
      <c r="M99" s="177">
        <f>IF(J99="","",IFERROR(VLOOKUP(LEFT(J99,7),'تبدیل تاریخ'!$A$2:$B$73,2,FALSE())+VALUE(RIGHT(J99,2))-1,""))</f>
        <v/>
      </c>
      <c r="N99" s="124">
        <f>IF(OR(K99="",M99=""),"",CEILING((K99-M99)/30,1))</f>
        <v/>
      </c>
      <c r="O99" s="124">
        <f>IF(OR(ISNUMBER(SEARCH("بدون مورد",G99)),ISNUMBER(SEARCH("غير گارانتي",G99)),ISNUMBER(SEARCH("غیر گارانتی",G99)),ISNUMBER(SEARCH("بدون اجرت",G99)),ISNUMBER(SEARCH("فيلتر",G99)),ISNUMBER(SEARCH("فیلتر",G99))),"غیرگارانتی/بدون قطعه",IF(OR(ISNUMBER(SEARCH("ريست",G99)),ISNUMBER(SEARCH("ریست",G99))),"ریست نرم‌افزاری (بدون قطعه)",IF(OR(ISNUMBER(SEARCH("تعویض محصول",G99)),ISNUMBER(SEARCH("تعویض دستگاه",G99))),"تعویض کامل دستگاه (Replacement)",IF(ISNUMBER(SEARCH("پمپ",G99)),IF(ISNUMBER(SEARCH("نشت",G99)),"نشتی - پمپ تخلیه (تعمیر/آب‌بندی)","خرابی - پمپ تخلیه (تعویض)"),IF(ISNUMBER(SEARCH("کمپرسور",G99)),"خرابی - کمپرسور (تعویض)",IF(ISNUMBER(SEARCH("کمک فنر",G99)),"خرابی - کمک فنر (تعویض)",IF(ISNUMBER(SEARCH("لولا",G99)),"مکانیزم درب - لولا (تعویض)",IF(OR(ISNUMBER(SEARCH("قلاب",G99)),ISNUMBER(SEARCH("ميکروسوئيچ",G99)),ISNUMBER(SEARCH("میکروسوئیچ",G99))),"مکانیزم درب - میکروسوئیچ/قلاب (تعویض/تنظیم)",IF(ISNUMBER(SEARCH("زبانه",G99)),"مکانیزم درب - زبانه (تعویض)",IF(OR(ISNUMBER(SEARCH("شيلنگ",G99)),ISNUMBER(SEARCH("شیلنگ",G99))),IF(OR(ISNUMBER(SEARCH("نشتی",G99)),ISNUMBER(SEARCH("نشتي",G99))),"نشتی - شیلنگ (تعمیر/آب‌بندی)",IF(OR(ISNUMBER(SEARCH("يخ",G99)),ISNUMBER(SEARCH("یخ",G99))),"شیلنگ یخساز - یخ‌زدگی (بازبینی)","شیلنگ - برخورد/لهیدگی (بازبینی)")),IF(OR(ISNUMBER(SEARCH("تنظيم ديسپل",G99)),ISNUMBER(SEARCH("تنظیم دیسپل",G99)),ISNUMBER(SEARCH("تنظيم صفحه نمايش",G99)),ISNUMBER(SEARCH("تنظیم صفحه نمایش",G99))),"تنظیم - تنظیمات دستگاه/دیسپلی (تعمیر)",IF(OR(ISNUMBER(SEARCH("برد",G99)),ISNUMBER(SEARCH("سوکت",G99)),ISNUMBER(SEARCH("ديسپل",G99)),ISNUMBER(SEARCH("دیسپل",G99))),"خرابی - برد الکترونیک (تعویض)",IF(OR(ISNUMBER(SEARCH("يخساز",G99)),ISNUMBER(SEARCH("یخساز",G99)),ISNUMBER(SEARCH("دمپر",G99))),IF(OR(ISNUMBER(SEARCH("خرابی",G99)),ISNUMBER(SEARCH("خراب",G99)),ISNUMBER(SEARCH("عدم کارکرد",G99)),ISNUMBER(SEARCH("عدم عملکرد",G99))),"یخساز - خرابی موتور/سنسور/برد (تعویض)","یخساز - تنظیم/عایق (تعمیر)"),IF(OR(ISNUMBER(SEARCH("لاستيک",G99)),ISNUMBER(SEARCH("لاستیک",G99))),"لاستیک درزگیر - دفرمگی/پارگی (تعویض)",IF(OR(ISNUMBER(SEARCH("گسکت",G99)),ISNUMBER(SEARCH("گسگت",G99))),"لاستیک درزگیر - دفرمگی/پارگی (تعویض)",IF(ISNUMBER(SEARCH("مخزن نمک",G99)),"نشتی - درب مخزن نمک (تعمیر/آب‌بندی)",IF(ISNUMBER(SEARCH("براکت",G99)),"نشتی - براکت ریل (تعمیر/آب‌بندی)",IF(ISNUMBER(SEARCH("جاپودر",G99)),"نشتی - جاپودری (تعمیر/آب‌بندی)",IF(ISNUMBER(SEARCH("مقسم",G99)),"نشتی - مقسم آب (تعمیر/آب‌بندی)",IF(OR(ISNUMBER(SEARCH("سنسور دما",G99)),ISNUMBER(SEARCH("ترموستات",G99))),"خرابی - ترموستات (تعویض)",IF(OR(ISNUMBER(SEARCH("هيدروستات",G99)),ISNUMBER(SEARCH("هیدروستات",G99))),"خرابی - هیدروستات (تعویض)",IF(OR(ISNUMBER(SEARCH("بلبرينگ",G99)),ISNUMBER(SEARCH("بلبرینگ",G99))),"خرابی - بلبرینگ (تعویض)",IF(OR(ISNUMBER(SEARCH("شيربرق",G99)),ISNUMBER(SEARCH("شیربرق",G99))),"خرابی - شیربرقی (تعویض)",IF(OR(ISNUMBER(SEARCH("واتر جت",G99)),ISNUMBER(SEARCH("واترجت",G99))),"خرابی - واترجت (تعویض)",IF(OR(ISNUMBER(SEARCH("سيم",G99)),ISNUMBER(SEARCH("سیم",G99)),ISNUMBER(SEARCH("اتصال",G99))),"سیم‌کشی/اتصالات (تعویض/بازبینی)",IF(OR(ISNUMBER(SEARCH("تصوير",G99)),ISNUMBER(SEARCH("تصویر",G99))),"برد نمایش تلویزیون (تعویض)",IF(OR(ISNUMBER(SEARCH("ريموت",G99)),ISNUMBER(SEARCH("ریموت",G99))),"ریموت کنترل (تعویض/تعمیر)",IF(OR(ISNUMBER(SEARCH("ال اي دي",G99)),ISNUMBER(SEARCH("ال ای دی",G99)),ISNUMBER(SEARCH("LED",G99))),"خرابی - لامپ/LED داخلی (تعویض)",IF(ISNUMBER(SEARCH("زنگ زدگ",G99)),"زنگ‌زدگی بدنه/قطعه (تعویض)",IF(OR(ISNUMBER(SEARCH("قطعات تزئين",G99)),ISNUMBER(SEARCH("قطعات تزئین",G99))),"قطعات تزئینی - شکستگی/کسری (تعویض)",IF(ISNUMBER(SEARCH("سبد",G99)),"سبد ظرفشویی - شکستگی (تعویض)",IF(ISNUMBER(SEARCH("تاب درام",G99)),"خرابی - تاب برداشتن درام (تعویض)",IF(ISNUMBER(SEARCH("درام",G99)),"خرابی - سایر ایراد درام (تعویض)",IF(ISNUMBER(SEARCH("موتور",G99)),"خرابی - موتور (تعویض)",IF(ISNUMBER(SEARCH("تسمه",G99)),"خرابی - تسمه (تعویض)",IF(OR(ISNUMBER(SEARCH("پيچ ولوم",G99)),ISNUMBER(SEARCH("پیچ ولوم",G99))),"تنظیم - پیچ ولوم/دکمه (تعمیر)",IF(OR(ISNUMBER(SEARCH("کسري قطعات",G99)),ISNUMBER(SEARCH("کسری قطعات",G99))),"کسری قطعات تزئینی (تعویض)",IF(ISNUMBER(SEARCH("پرچ",G99)),"پرچ/بدنه کابین(تعمیر)",IF(OR(ISNUMBER(SEARCH("نشت",G99)),ISNUMBER(SEARCH("آبريزش",G99)),ISNUMBER(SEARCH("آبریزش",G99))),"نشتی آب - محل نامشخص (نیازمند بازدید)",IF(ISNUMBER(SEARCH("درب",G99)),"سایر اجزای درب (بازبینی)",IF(ISNUMBER(SEARCH("ضربه",G99)),"بدنه/کابین - ضربه (بازبینی/تعویض پنل)",IF(ISNUMBER(SEARCH("تراز",G99)),"تراز/لرزش - نصب (رگلاژ پایه)",IF(OR(ISNUMBER(SEARCH("تعویض",G99)),ISNUMBER(SEARCH("تعويض",G99))),"تعویض کامل دستگاه (Replacement)","سایر (نیازمند بررسی دستی)")))))))))))))))))))))))))))))))))))))))))))</f>
        <v/>
      </c>
      <c r="P99" s="124" t="inlineStr">
        <is>
          <t>*</t>
        </is>
      </c>
      <c r="Q99" s="124">
        <f>IF(ISNUMBER(SEARCH("عهده شرکت",F99)),"شرکت",IF(ISNUMBER(SEARCH("عهده مشتري",F99)),"مشتری",IF(ISNUMBER(SEARCH("عهده مشتری",F99)),"مشتری","نامشخص")))</f>
        <v/>
      </c>
      <c r="R99" s="178">
        <f>IF(O99="تعویض کامل دستگاه (Replacement)",IF(SUMIF('قیمت‌ها و مفروضات'!$A$9:$A$13,C99,'قیمت‌ها و مفروضات'!$C$9:$C$13)&lt;&gt;0,SUMIF('قیمت‌ها و مفروضات'!$A$9:$A$13,C99,'قیمت‌ها و مفروضات'!$C$9:$C$13),SUMIF('قیمت‌ها و مفروضات'!$A$9:$A$13,C99,'قیمت‌ها و مفروضات'!$B$9:$B$13)),IF(SUMIF('قیمت‌ها و مفروضات'!$A$18:$A$63,O99,'قیمت‌ها و مفروضات'!$C$18:$C$63)&lt;&gt;0,SUMIF('قیمت‌ها و مفروضات'!$A$18:$A$63,O99,'قیمت‌ها و مفروضات'!$C$18:$C$63),SUMIF('قیمت‌ها و مفروضات'!$A$18:$A$63,O99,'قیمت‌ها و مفروضات'!$B$18:$B$63)))</f>
        <v/>
      </c>
      <c r="S99" s="178">
        <f>'قیمت‌ها و مفروضات'!$B$3+'قیمت‌ها و مفروضات'!$B$4</f>
        <v/>
      </c>
      <c r="T99" s="178">
        <f>R99+S99</f>
        <v/>
      </c>
      <c r="U99" s="178">
        <f>IF(COUNTIF($E$2:E99,E99)&gt;1,"بله (تکراری)","خیر")</f>
        <v/>
      </c>
      <c r="V99" s="178">
        <f>IF(U99="بله (تکراری)",S99,0)</f>
        <v/>
      </c>
      <c r="W99" s="208" t="inlineStr"/>
      <c r="X99" s="208" t="inlineStr"/>
    </row>
    <row r="100" ht="58.5" customHeight="1" s="151">
      <c r="A100" s="176" t="n">
        <v>510020282</v>
      </c>
      <c r="B100" s="124">
        <f>CHOOSE(_xlfn.NUMBERVALUE(MID(H100,6,2)),"فروردین","اردیبهشت","خرداد","تیر","مرداد","شهریور","مهر","آبان","آذر","دی","بهمن","اسفند")</f>
        <v/>
      </c>
      <c r="C100" s="176" t="inlineStr">
        <is>
          <t>یخچال ساید‌بای‌ساید</t>
        </is>
      </c>
      <c r="D100" s="176" t="inlineStr">
        <is>
          <t>C2S-29HS1</t>
        </is>
      </c>
      <c r="E100" s="176" t="inlineStr">
        <is>
          <t>52240001N01500</t>
        </is>
      </c>
      <c r="F100" s="173" t="inlineStr">
        <is>
          <t>يخزدگي مواد غذايي در تمام طبقات**اياب و ذهاب به عهده شرکت</t>
        </is>
      </c>
      <c r="G100" s="173" t="inlineStr">
        <is>
          <t>خرابي سنسور دماي کابين يخچال - سايد باي سايد</t>
        </is>
      </c>
      <c r="H100" s="176" t="inlineStr">
        <is>
          <t>1405/01/26</t>
        </is>
      </c>
      <c r="I100" s="124" t="inlineStr">
        <is>
          <t>1403/07/17</t>
        </is>
      </c>
      <c r="J100" s="124" t="inlineStr">
        <is>
          <t>1404/08/11</t>
        </is>
      </c>
      <c r="K100" s="177">
        <f>IFERROR(VLOOKUP(LEFT(H100,7),'تبدیل تاریخ'!$A$2:$B$73,2,FALSE())+VALUE(RIGHT(H100,2))-1,"")</f>
        <v/>
      </c>
      <c r="L100" s="177">
        <f>IFERROR(VLOOKUP(LEFT(I100,7),'تبدیل تاریخ'!$A$2:$B$73,2,FALSE())+VALUE(RIGHT(I100,2))-1,"")</f>
        <v/>
      </c>
      <c r="M100" s="177">
        <f>IF(J100="","",IFERROR(VLOOKUP(LEFT(J100,7),'تبدیل تاریخ'!$A$2:$B$73,2,FALSE())+VALUE(RIGHT(J100,2))-1,""))</f>
        <v/>
      </c>
      <c r="N100" s="124">
        <f>IF(OR(K100="",M100=""),"",CEILING((K100-M100)/30,1))</f>
        <v/>
      </c>
      <c r="O100" s="124">
        <f>IF(OR(ISNUMBER(SEARCH("بدون مورد",G100)),ISNUMBER(SEARCH("غير گارانتي",G100)),ISNUMBER(SEARCH("غیر گارانتی",G100)),ISNUMBER(SEARCH("بدون اجرت",G100)),ISNUMBER(SEARCH("فيلتر",G100)),ISNUMBER(SEARCH("فیلتر",G100))),"غیرگارانتی/بدون قطعه",IF(OR(ISNUMBER(SEARCH("ريست",G100)),ISNUMBER(SEARCH("ریست",G100))),"ریست نرم‌افزاری (بدون قطعه)",IF(OR(ISNUMBER(SEARCH("تعویض محصول",G100)),ISNUMBER(SEARCH("تعویض دستگاه",G100))),"تعویض کامل دستگاه (Replacement)",IF(ISNUMBER(SEARCH("پمپ",G100)),IF(ISNUMBER(SEARCH("نشت",G100)),"نشتی - پمپ تخلیه (تعمیر/آب‌بندی)","خرابی - پمپ تخلیه (تعویض)"),IF(ISNUMBER(SEARCH("کمپرسور",G100)),"خرابی - کمپرسور (تعویض)",IF(ISNUMBER(SEARCH("کمک فنر",G100)),"خرابی - کمک فنر (تعویض)",IF(ISNUMBER(SEARCH("لولا",G100)),"مکانیزم درب - لولا (تعویض)",IF(OR(ISNUMBER(SEARCH("قلاب",G100)),ISNUMBER(SEARCH("ميکروسوئيچ",G100)),ISNUMBER(SEARCH("میکروسوئیچ",G100))),"مکانیزم درب - میکروسوئیچ/قلاب (تعویض/تنظیم)",IF(ISNUMBER(SEARCH("زبانه",G100)),"مکانیزم درب - زبانه (تعویض)",IF(OR(ISNUMBER(SEARCH("شيلنگ",G100)),ISNUMBER(SEARCH("شیلنگ",G100))),IF(OR(ISNUMBER(SEARCH("نشتی",G100)),ISNUMBER(SEARCH("نشتي",G100))),"نشتی - شیلنگ (تعمیر/آب‌بندی)",IF(OR(ISNUMBER(SEARCH("يخ",G100)),ISNUMBER(SEARCH("یخ",G100))),"شیلنگ یخساز - یخ‌زدگی (بازبینی)","شیلنگ - برخورد/لهیدگی (بازبینی)")),IF(OR(ISNUMBER(SEARCH("تنظيم ديسپل",G100)),ISNUMBER(SEARCH("تنظیم دیسپل",G100)),ISNUMBER(SEARCH("تنظيم صفحه نمايش",G100)),ISNUMBER(SEARCH("تنظیم صفحه نمایش",G100))),"تنظیم - تنظیمات دستگاه/دیسپلی (تعمیر)",IF(OR(ISNUMBER(SEARCH("برد",G100)),ISNUMBER(SEARCH("سوکت",G100)),ISNUMBER(SEARCH("ديسپل",G100)),ISNUMBER(SEARCH("دیسپل",G100))),"خرابی - برد الکترونیک (تعویض)",IF(OR(ISNUMBER(SEARCH("يخساز",G100)),ISNUMBER(SEARCH("یخساز",G100)),ISNUMBER(SEARCH("دمپر",G100))),IF(OR(ISNUMBER(SEARCH("خرابی",G100)),ISNUMBER(SEARCH("خراب",G100)),ISNUMBER(SEARCH("عدم کارکرد",G100)),ISNUMBER(SEARCH("عدم عملکرد",G100))),"یخساز - خرابی موتور/سنسور/برد (تعویض)","یخساز - تنظیم/عایق (تعمیر)"),IF(OR(ISNUMBER(SEARCH("لاستيک",G100)),ISNUMBER(SEARCH("لاستیک",G100))),"لاستیک درزگیر - دفرمگی/پارگی (تعویض)",IF(OR(ISNUMBER(SEARCH("گسکت",G100)),ISNUMBER(SEARCH("گسگت",G100))),"لاستیک درزگیر - دفرمگی/پارگی (تعویض)",IF(ISNUMBER(SEARCH("مخزن نمک",G100)),"نشتی - درب مخزن نمک (تعمیر/آب‌بندی)",IF(ISNUMBER(SEARCH("براکت",G100)),"نشتی - براکت ریل (تعمیر/آب‌بندی)",IF(ISNUMBER(SEARCH("جاپودر",G100)),"نشتی - جاپودری (تعمیر/آب‌بندی)",IF(ISNUMBER(SEARCH("مقسم",G100)),"نشتی - مقسم آب (تعمیر/آب‌بندی)",IF(OR(ISNUMBER(SEARCH("سنسور دما",G100)),ISNUMBER(SEARCH("ترموستات",G100))),"خرابی - ترموستات (تعویض)",IF(OR(ISNUMBER(SEARCH("هيدروستات",G100)),ISNUMBER(SEARCH("هیدروستات",G100))),"خرابی - هیدروستات (تعویض)",IF(OR(ISNUMBER(SEARCH("بلبرينگ",G100)),ISNUMBER(SEARCH("بلبرینگ",G100))),"خرابی - بلبرینگ (تعویض)",IF(OR(ISNUMBER(SEARCH("شيربرق",G100)),ISNUMBER(SEARCH("شیربرق",G100))),"خرابی - شیربرقی (تعویض)",IF(OR(ISNUMBER(SEARCH("واتر جت",G100)),ISNUMBER(SEARCH("واترجت",G100))),"خرابی - واترجت (تعویض)",IF(OR(ISNUMBER(SEARCH("سيم",G100)),ISNUMBER(SEARCH("سیم",G100)),ISNUMBER(SEARCH("اتصال",G100))),"سیم‌کشی/اتصالات (تعویض/بازبینی)",IF(OR(ISNUMBER(SEARCH("تصوير",G100)),ISNUMBER(SEARCH("تصویر",G100))),"برد نمایش تلویزیون (تعویض)",IF(OR(ISNUMBER(SEARCH("ريموت",G100)),ISNUMBER(SEARCH("ریموت",G100))),"ریموت کنترل (تعویض/تعمیر)",IF(OR(ISNUMBER(SEARCH("ال اي دي",G100)),ISNUMBER(SEARCH("ال ای دی",G100)),ISNUMBER(SEARCH("LED",G100))),"خرابی - لامپ/LED داخلی (تعویض)",IF(ISNUMBER(SEARCH("زنگ زدگ",G100)),"زنگ‌زدگی بدنه/قطعه (تعویض)",IF(OR(ISNUMBER(SEARCH("قطعات تزئين",G100)),ISNUMBER(SEARCH("قطعات تزئین",G100))),"قطعات تزئینی - شکستگی/کسری (تعویض)",IF(ISNUMBER(SEARCH("سبد",G100)),"سبد ظرفشویی - شکستگی (تعویض)",IF(ISNUMBER(SEARCH("تاب درام",G100)),"خرابی - تاب برداشتن درام (تعویض)",IF(ISNUMBER(SEARCH("درام",G100)),"خرابی - سایر ایراد درام (تعویض)",IF(ISNUMBER(SEARCH("موتور",G100)),"خرابی - موتور (تعویض)",IF(ISNUMBER(SEARCH("تسمه",G100)),"خرابی - تسمه (تعویض)",IF(OR(ISNUMBER(SEARCH("پيچ ولوم",G100)),ISNUMBER(SEARCH("پیچ ولوم",G100))),"تنظیم - پیچ ولوم/دکمه (تعمیر)",IF(OR(ISNUMBER(SEARCH("کسري قطعات",G100)),ISNUMBER(SEARCH("کسری قطعات",G100))),"کسری قطعات تزئینی (تعویض)",IF(ISNUMBER(SEARCH("پرچ",G100)),"پرچ/بدنه کابین(تعمیر)",IF(OR(ISNUMBER(SEARCH("نشت",G100)),ISNUMBER(SEARCH("آبريزش",G100)),ISNUMBER(SEARCH("آبریزش",G100))),"نشتی آب - محل نامشخص (نیازمند بازدید)",IF(ISNUMBER(SEARCH("درب",G100)),"سایر اجزای درب (بازبینی)",IF(ISNUMBER(SEARCH("ضربه",G100)),"بدنه/کابین - ضربه (بازبینی/تعویض پنل)",IF(ISNUMBER(SEARCH("تراز",G100)),"تراز/لرزش - نصب (رگلاژ پایه)",IF(OR(ISNUMBER(SEARCH("تعویض",G100)),ISNUMBER(SEARCH("تعويض",G100))),"تعویض کامل دستگاه (Replacement)","سایر (نیازمند بررسی دستی)")))))))))))))))))))))))))))))))))))))))))))</f>
        <v/>
      </c>
      <c r="P100" s="124" t="inlineStr">
        <is>
          <t>ترموستات ساید بای ساید</t>
        </is>
      </c>
      <c r="Q100" s="124">
        <f>IF(ISNUMBER(SEARCH("عهده شرکت",F100)),"شرکت",IF(ISNUMBER(SEARCH("عهده مشتري",F100)),"مشتری",IF(ISNUMBER(SEARCH("عهده مشتری",F100)),"مشتری","نامشخص")))</f>
        <v/>
      </c>
      <c r="R100" s="178">
        <f>IF(O100="تعویض کامل دستگاه (Replacement)",IF(SUMIF('قیمت‌ها و مفروضات'!$A$9:$A$13,C100,'قیمت‌ها و مفروضات'!$C$9:$C$13)&lt;&gt;0,SUMIF('قیمت‌ها و مفروضات'!$A$9:$A$13,C100,'قیمت‌ها و مفروضات'!$C$9:$C$13),SUMIF('قیمت‌ها و مفروضات'!$A$9:$A$13,C100,'قیمت‌ها و مفروضات'!$B$9:$B$13)),IF(SUMIF('قیمت‌ها و مفروضات'!$A$18:$A$63,O100,'قیمت‌ها و مفروضات'!$C$18:$C$63)&lt;&gt;0,SUMIF('قیمت‌ها و مفروضات'!$A$18:$A$63,O100,'قیمت‌ها و مفروضات'!$C$18:$C$63),SUMIF('قیمت‌ها و مفروضات'!$A$18:$A$63,O100,'قیمت‌ها و مفروضات'!$B$18:$B$63)))</f>
        <v/>
      </c>
      <c r="S100" s="178">
        <f>'قیمت‌ها و مفروضات'!$B$3+'قیمت‌ها و مفروضات'!$B$4</f>
        <v/>
      </c>
      <c r="T100" s="178">
        <f>R100+S100</f>
        <v/>
      </c>
      <c r="U100" s="178">
        <f>IF(COUNTIF($E$2:E100,E100)&gt;1,"بله (تکراری)","خیر")</f>
        <v/>
      </c>
      <c r="V100" s="178">
        <f>IF(U100="بله (تکراری)",S100,0)</f>
        <v/>
      </c>
      <c r="W100" s="208" t="inlineStr"/>
      <c r="X100" s="208" t="inlineStr"/>
    </row>
    <row r="101" ht="58.5" customHeight="1" s="151">
      <c r="A101" s="176" t="n">
        <v>510020309</v>
      </c>
      <c r="B101" s="124">
        <f>CHOOSE(_xlfn.NUMBERVALUE(MID(H101,6,2)),"فروردین","اردیبهشت","خرداد","تیر","مرداد","شهریور","مهر","آبان","آذر","دی","بهمن","اسفند")</f>
        <v/>
      </c>
      <c r="C101" s="176" t="inlineStr">
        <is>
          <t>ماشين لباسشويي</t>
        </is>
      </c>
      <c r="D101" s="176" t="inlineStr">
        <is>
          <t>CWM-BMW8V1</t>
        </is>
      </c>
      <c r="E101" s="176" t="inlineStr">
        <is>
          <t>210100003N00328</t>
        </is>
      </c>
      <c r="F101" s="173" t="inlineStr">
        <is>
          <t>صداي غيرعادي هنگام خشک کن**اياب و ذهاب به عهده مشتري</t>
        </is>
      </c>
      <c r="G101" s="173" t="inlineStr">
        <is>
          <t>تراز پايه تنظيم</t>
        </is>
      </c>
      <c r="H101" s="176" t="inlineStr">
        <is>
          <t>1405/01/27</t>
        </is>
      </c>
      <c r="I101" s="124" t="inlineStr">
        <is>
          <t>1402/10/23</t>
        </is>
      </c>
      <c r="J101" s="124" t="inlineStr">
        <is>
          <t>1403/02/09</t>
        </is>
      </c>
      <c r="K101" s="177">
        <f>IFERROR(VLOOKUP(LEFT(H101,7),'تبدیل تاریخ'!$A$2:$B$73,2,FALSE())+VALUE(RIGHT(H101,2))-1,"")</f>
        <v/>
      </c>
      <c r="L101" s="177">
        <f>IFERROR(VLOOKUP(LEFT(I101,7),'تبدیل تاریخ'!$A$2:$B$73,2,FALSE())+VALUE(RIGHT(I101,2))-1,"")</f>
        <v/>
      </c>
      <c r="M101" s="177">
        <f>IF(J101="","",IFERROR(VLOOKUP(LEFT(J101,7),'تبدیل تاریخ'!$A$2:$B$73,2,FALSE())+VALUE(RIGHT(J101,2))-1,""))</f>
        <v/>
      </c>
      <c r="N101" s="124">
        <f>IF(OR(K101="",M101=""),"",CEILING((K101-M101)/30,1))</f>
        <v/>
      </c>
      <c r="O101" s="124">
        <f>IF(OR(ISNUMBER(SEARCH("بدون مورد",G101)),ISNUMBER(SEARCH("غير گارانتي",G101)),ISNUMBER(SEARCH("غیر گارانتی",G101)),ISNUMBER(SEARCH("بدون اجرت",G101)),ISNUMBER(SEARCH("فيلتر",G101)),ISNUMBER(SEARCH("فیلتر",G101))),"غیرگارانتی/بدون قطعه",IF(OR(ISNUMBER(SEARCH("ريست",G101)),ISNUMBER(SEARCH("ریست",G101))),"ریست نرم‌افزاری (بدون قطعه)",IF(OR(ISNUMBER(SEARCH("تعویض محصول",G101)),ISNUMBER(SEARCH("تعویض دستگاه",G101))),"تعویض کامل دستگاه (Replacement)",IF(ISNUMBER(SEARCH("پمپ",G101)),IF(ISNUMBER(SEARCH("نشت",G101)),"نشتی - پمپ تخلیه (تعمیر/آب‌بندی)","خرابی - پمپ تخلیه (تعویض)"),IF(ISNUMBER(SEARCH("کمپرسور",G101)),"خرابی - کمپرسور (تعویض)",IF(ISNUMBER(SEARCH("کمک فنر",G101)),"خرابی - کمک فنر (تعویض)",IF(ISNUMBER(SEARCH("لولا",G101)),"مکانیزم درب - لولا (تعویض)",IF(OR(ISNUMBER(SEARCH("قلاب",G101)),ISNUMBER(SEARCH("ميکروسوئيچ",G101)),ISNUMBER(SEARCH("میکروسوئیچ",G101))),"مکانیزم درب - میکروسوئیچ/قلاب (تعویض/تنظیم)",IF(ISNUMBER(SEARCH("زبانه",G101)),"مکانیزم درب - زبانه (تعویض)",IF(OR(ISNUMBER(SEARCH("شيلنگ",G101)),ISNUMBER(SEARCH("شیلنگ",G101))),IF(OR(ISNUMBER(SEARCH("نشتی",G101)),ISNUMBER(SEARCH("نشتي",G101))),"نشتی - شیلنگ (تعمیر/آب‌بندی)",IF(OR(ISNUMBER(SEARCH("يخ",G101)),ISNUMBER(SEARCH("یخ",G101))),"شیلنگ یخساز - یخ‌زدگی (بازبینی)","شیلنگ - برخورد/لهیدگی (بازبینی)")),IF(OR(ISNUMBER(SEARCH("تنظيم ديسپل",G101)),ISNUMBER(SEARCH("تنظیم دیسپل",G101)),ISNUMBER(SEARCH("تنظيم صفحه نمايش",G101)),ISNUMBER(SEARCH("تنظیم صفحه نمایش",G101))),"تنظیم - تنظیمات دستگاه/دیسپلی (تعمیر)",IF(OR(ISNUMBER(SEARCH("برد",G101)),ISNUMBER(SEARCH("سوکت",G101)),ISNUMBER(SEARCH("ديسپل",G101)),ISNUMBER(SEARCH("دیسپل",G101))),"خرابی - برد الکترونیک (تعویض)",IF(OR(ISNUMBER(SEARCH("يخساز",G101)),ISNUMBER(SEARCH("یخساز",G101)),ISNUMBER(SEARCH("دمپر",G101))),IF(OR(ISNUMBER(SEARCH("خرابی",G101)),ISNUMBER(SEARCH("خراب",G101)),ISNUMBER(SEARCH("عدم کارکرد",G101)),ISNUMBER(SEARCH("عدم عملکرد",G101))),"یخساز - خرابی موتور/سنسور/برد (تعویض)","یخساز - تنظیم/عایق (تعمیر)"),IF(OR(ISNUMBER(SEARCH("لاستيک",G101)),ISNUMBER(SEARCH("لاستیک",G101))),"لاستیک درزگیر - دفرمگی/پارگی (تعویض)",IF(OR(ISNUMBER(SEARCH("گسکت",G101)),ISNUMBER(SEARCH("گسگت",G101))),"لاستیک درزگیر - دفرمگی/پارگی (تعویض)",IF(ISNUMBER(SEARCH("مخزن نمک",G101)),"نشتی - درب مخزن نمک (تعمیر/آب‌بندی)",IF(ISNUMBER(SEARCH("براکت",G101)),"نشتی - براکت ریل (تعمیر/آب‌بندی)",IF(ISNUMBER(SEARCH("جاپودر",G101)),"نشتی - جاپودری (تعمیر/آب‌بندی)",IF(ISNUMBER(SEARCH("مقسم",G101)),"نشتی - مقسم آب (تعمیر/آب‌بندی)",IF(OR(ISNUMBER(SEARCH("سنسور دما",G101)),ISNUMBER(SEARCH("ترموستات",G101))),"خرابی - ترموستات (تعویض)",IF(OR(ISNUMBER(SEARCH("هيدروستات",G101)),ISNUMBER(SEARCH("هیدروستات",G101))),"خرابی - هیدروستات (تعویض)",IF(OR(ISNUMBER(SEARCH("بلبرينگ",G101)),ISNUMBER(SEARCH("بلبرینگ",G101))),"خرابی - بلبرینگ (تعویض)",IF(OR(ISNUMBER(SEARCH("شيربرق",G101)),ISNUMBER(SEARCH("شیربرق",G101))),"خرابی - شیربرقی (تعویض)",IF(OR(ISNUMBER(SEARCH("واتر جت",G101)),ISNUMBER(SEARCH("واترجت",G101))),"خرابی - واترجت (تعویض)",IF(OR(ISNUMBER(SEARCH("سيم",G101)),ISNUMBER(SEARCH("سیم",G101)),ISNUMBER(SEARCH("اتصال",G101))),"سیم‌کشی/اتصالات (تعویض/بازبینی)",IF(OR(ISNUMBER(SEARCH("تصوير",G101)),ISNUMBER(SEARCH("تصویر",G101))),"برد نمایش تلویزیون (تعویض)",IF(OR(ISNUMBER(SEARCH("ريموت",G101)),ISNUMBER(SEARCH("ریموت",G101))),"ریموت کنترل (تعویض/تعمیر)",IF(OR(ISNUMBER(SEARCH("ال اي دي",G101)),ISNUMBER(SEARCH("ال ای دی",G101)),ISNUMBER(SEARCH("LED",G101))),"خرابی - لامپ/LED داخلی (تعویض)",IF(ISNUMBER(SEARCH("زنگ زدگ",G101)),"زنگ‌زدگی بدنه/قطعه (تعویض)",IF(OR(ISNUMBER(SEARCH("قطعات تزئين",G101)),ISNUMBER(SEARCH("قطعات تزئین",G101))),"قطعات تزئینی - شکستگی/کسری (تعویض)",IF(ISNUMBER(SEARCH("سبد",G101)),"سبد ظرفشویی - شکستگی (تعویض)",IF(ISNUMBER(SEARCH("تاب درام",G101)),"خرابی - تاب برداشتن درام (تعویض)",IF(ISNUMBER(SEARCH("درام",G101)),"خرابی - سایر ایراد درام (تعویض)",IF(ISNUMBER(SEARCH("موتور",G101)),"خرابی - موتور (تعویض)",IF(ISNUMBER(SEARCH("تسمه",G101)),"خرابی - تسمه (تعویض)",IF(OR(ISNUMBER(SEARCH("پيچ ولوم",G101)),ISNUMBER(SEARCH("پیچ ولوم",G101))),"تنظیم - پیچ ولوم/دکمه (تعمیر)",IF(OR(ISNUMBER(SEARCH("کسري قطعات",G101)),ISNUMBER(SEARCH("کسری قطعات",G101))),"کسری قطعات تزئینی (تعویض)",IF(ISNUMBER(SEARCH("پرچ",G101)),"پرچ/بدنه کابین(تعمیر)",IF(OR(ISNUMBER(SEARCH("نشت",G101)),ISNUMBER(SEARCH("آبريزش",G101)),ISNUMBER(SEARCH("آبریزش",G101))),"نشتی آب - محل نامشخص (نیازمند بازدید)",IF(ISNUMBER(SEARCH("درب",G101)),"سایر اجزای درب (بازبینی)",IF(ISNUMBER(SEARCH("ضربه",G101)),"بدنه/کابین - ضربه (بازبینی/تعویض پنل)",IF(ISNUMBER(SEARCH("تراز",G101)),"تراز/لرزش - نصب (رگلاژ پایه)",IF(OR(ISNUMBER(SEARCH("تعویض",G101)),ISNUMBER(SEARCH("تعويض",G101))),"تعویض کامل دستگاه (Replacement)","سایر (نیازمند بررسی دستی)")))))))))))))))))))))))))))))))))))))))))))</f>
        <v/>
      </c>
      <c r="P101" s="124" t="inlineStr">
        <is>
          <t>رگلاژ پایه تنظیم لباسشویی</t>
        </is>
      </c>
      <c r="Q101" s="124">
        <f>IF(ISNUMBER(SEARCH("عهده شرکت",F101)),"شرکت",IF(ISNUMBER(SEARCH("عهده مشتري",F101)),"مشتری",IF(ISNUMBER(SEARCH("عهده مشتری",F101)),"مشتری","نامشخص")))</f>
        <v/>
      </c>
      <c r="R101" s="178">
        <f>IF(O101="تعویض کامل دستگاه (Replacement)",IF(SUMIF('قیمت‌ها و مفروضات'!$A$9:$A$13,C101,'قیمت‌ها و مفروضات'!$C$9:$C$13)&lt;&gt;0,SUMIF('قیمت‌ها و مفروضات'!$A$9:$A$13,C101,'قیمت‌ها و مفروضات'!$C$9:$C$13),SUMIF('قیمت‌ها و مفروضات'!$A$9:$A$13,C101,'قیمت‌ها و مفروضات'!$B$9:$B$13)),IF(SUMIF('قیمت‌ها و مفروضات'!$A$18:$A$63,O101,'قیمت‌ها و مفروضات'!$C$18:$C$63)&lt;&gt;0,SUMIF('قیمت‌ها و مفروضات'!$A$18:$A$63,O101,'قیمت‌ها و مفروضات'!$C$18:$C$63),SUMIF('قیمت‌ها و مفروضات'!$A$18:$A$63,O101,'قیمت‌ها و مفروضات'!$B$18:$B$63)))</f>
        <v/>
      </c>
      <c r="S101" s="178">
        <f>'قیمت‌ها و مفروضات'!$B$3+'قیمت‌ها و مفروضات'!$B$4</f>
        <v/>
      </c>
      <c r="T101" s="178">
        <f>R101+S101</f>
        <v/>
      </c>
      <c r="U101" s="178">
        <f>IF(COUNTIF($E$2:E101,E101)&gt;1,"بله (تکراری)","خیر")</f>
        <v/>
      </c>
      <c r="V101" s="178">
        <f>IF(U101="بله (تکراری)",S101,0)</f>
        <v/>
      </c>
      <c r="W101" s="208" t="inlineStr"/>
      <c r="X101" s="208" t="inlineStr"/>
    </row>
    <row r="102" ht="58.5" customHeight="1" s="151">
      <c r="A102" s="176" t="n">
        <v>210012326</v>
      </c>
      <c r="B102" s="124">
        <f>CHOOSE(_xlfn.NUMBERVALUE(MID(H102,6,2)),"فروردین","اردیبهشت","خرداد","تیر","مرداد","شهریور","مهر","آبان","آذر","دی","بهمن","اسفند")</f>
        <v/>
      </c>
      <c r="C102" s="176" t="inlineStr">
        <is>
          <t>یخچال ساید‌بای‌ساید</t>
        </is>
      </c>
      <c r="D102" s="176" t="inlineStr">
        <is>
          <t>C2S-29HS1</t>
        </is>
      </c>
      <c r="E102" s="176" t="inlineStr">
        <is>
          <t>210120001N00234</t>
        </is>
      </c>
      <c r="F102" s="173" t="inlineStr">
        <is>
          <t>بسته نشدن درب**اياب و ذهاب به عهده مشتري</t>
        </is>
      </c>
      <c r="G102" s="173" t="inlineStr">
        <is>
          <t>تعويض لولاي پايين - سايد باي سايد</t>
        </is>
      </c>
      <c r="H102" s="176" t="inlineStr">
        <is>
          <t>1405/01/27</t>
        </is>
      </c>
      <c r="I102" s="124" t="inlineStr">
        <is>
          <t>1403/03/20</t>
        </is>
      </c>
      <c r="J102" s="124" t="inlineStr">
        <is>
          <t>1403/04/18</t>
        </is>
      </c>
      <c r="K102" s="177">
        <f>IFERROR(VLOOKUP(LEFT(H102,7),'تبدیل تاریخ'!$A$2:$B$73,2,FALSE())+VALUE(RIGHT(H102,2))-1,"")</f>
        <v/>
      </c>
      <c r="L102" s="177">
        <f>IFERROR(VLOOKUP(LEFT(I102,7),'تبدیل تاریخ'!$A$2:$B$73,2,FALSE())+VALUE(RIGHT(I102,2))-1,"")</f>
        <v/>
      </c>
      <c r="M102" s="177">
        <f>IF(J102="","",IFERROR(VLOOKUP(LEFT(J102,7),'تبدیل تاریخ'!$A$2:$B$73,2,FALSE())+VALUE(RIGHT(J102,2))-1,""))</f>
        <v/>
      </c>
      <c r="N102" s="124">
        <f>IF(OR(K102="",M102=""),"",CEILING((K102-M102)/30,1))</f>
        <v/>
      </c>
      <c r="O102" s="124">
        <f>IF(OR(ISNUMBER(SEARCH("بدون مورد",G102)),ISNUMBER(SEARCH("غير گارانتي",G102)),ISNUMBER(SEARCH("غیر گارانتی",G102)),ISNUMBER(SEARCH("بدون اجرت",G102)),ISNUMBER(SEARCH("فيلتر",G102)),ISNUMBER(SEARCH("فیلتر",G102))),"غیرگارانتی/بدون قطعه",IF(OR(ISNUMBER(SEARCH("ريست",G102)),ISNUMBER(SEARCH("ریست",G102))),"ریست نرم‌افزاری (بدون قطعه)",IF(OR(ISNUMBER(SEARCH("تعویض محصول",G102)),ISNUMBER(SEARCH("تعویض دستگاه",G102))),"تعویض کامل دستگاه (Replacement)",IF(ISNUMBER(SEARCH("پمپ",G102)),IF(ISNUMBER(SEARCH("نشت",G102)),"نشتی - پمپ تخلیه (تعمیر/آب‌بندی)","خرابی - پمپ تخلیه (تعویض)"),IF(ISNUMBER(SEARCH("کمپرسور",G102)),"خرابی - کمپرسور (تعویض)",IF(ISNUMBER(SEARCH("کمک فنر",G102)),"خرابی - کمک فنر (تعویض)",IF(ISNUMBER(SEARCH("لولا",G102)),"مکانیزم درب - لولا (تعویض)",IF(OR(ISNUMBER(SEARCH("قلاب",G102)),ISNUMBER(SEARCH("ميکروسوئيچ",G102)),ISNUMBER(SEARCH("میکروسوئیچ",G102))),"مکانیزم درب - میکروسوئیچ/قلاب (تعویض/تنظیم)",IF(ISNUMBER(SEARCH("زبانه",G102)),"مکانیزم درب - زبانه (تعویض)",IF(OR(ISNUMBER(SEARCH("شيلنگ",G102)),ISNUMBER(SEARCH("شیلنگ",G102))),IF(OR(ISNUMBER(SEARCH("نشتی",G102)),ISNUMBER(SEARCH("نشتي",G102))),"نشتی - شیلنگ (تعمیر/آب‌بندی)",IF(OR(ISNUMBER(SEARCH("يخ",G102)),ISNUMBER(SEARCH("یخ",G102))),"شیلنگ یخساز - یخ‌زدگی (بازبینی)","شیلنگ - برخورد/لهیدگی (بازبینی)")),IF(OR(ISNUMBER(SEARCH("تنظيم ديسپل",G102)),ISNUMBER(SEARCH("تنظیم دیسپل",G102)),ISNUMBER(SEARCH("تنظيم صفحه نمايش",G102)),ISNUMBER(SEARCH("تنظیم صفحه نمایش",G102))),"تنظیم - تنظیمات دستگاه/دیسپلی (تعمیر)",IF(OR(ISNUMBER(SEARCH("برد",G102)),ISNUMBER(SEARCH("سوکت",G102)),ISNUMBER(SEARCH("ديسپل",G102)),ISNUMBER(SEARCH("دیسپل",G102))),"خرابی - برد الکترونیک (تعویض)",IF(OR(ISNUMBER(SEARCH("يخساز",G102)),ISNUMBER(SEARCH("یخساز",G102)),ISNUMBER(SEARCH("دمپر",G102))),IF(OR(ISNUMBER(SEARCH("خرابی",G102)),ISNUMBER(SEARCH("خراب",G102)),ISNUMBER(SEARCH("عدم کارکرد",G102)),ISNUMBER(SEARCH("عدم عملکرد",G102))),"یخساز - خرابی موتور/سنسور/برد (تعویض)","یخساز - تنظیم/عایق (تعمیر)"),IF(OR(ISNUMBER(SEARCH("لاستيک",G102)),ISNUMBER(SEARCH("لاستیک",G102))),"لاستیک درزگیر - دفرمگی/پارگی (تعویض)",IF(OR(ISNUMBER(SEARCH("گسکت",G102)),ISNUMBER(SEARCH("گسگت",G102))),"لاستیک درزگیر - دفرمگی/پارگی (تعویض)",IF(ISNUMBER(SEARCH("مخزن نمک",G102)),"نشتی - درب مخزن نمک (تعمیر/آب‌بندی)",IF(ISNUMBER(SEARCH("براکت",G102)),"نشتی - براکت ریل (تعمیر/آب‌بندی)",IF(ISNUMBER(SEARCH("جاپودر",G102)),"نشتی - جاپودری (تعمیر/آب‌بندی)",IF(ISNUMBER(SEARCH("مقسم",G102)),"نشتی - مقسم آب (تعمیر/آب‌بندی)",IF(OR(ISNUMBER(SEARCH("سنسور دما",G102)),ISNUMBER(SEARCH("ترموستات",G102))),"خرابی - ترموستات (تعویض)",IF(OR(ISNUMBER(SEARCH("هيدروستات",G102)),ISNUMBER(SEARCH("هیدروستات",G102))),"خرابی - هیدروستات (تعویض)",IF(OR(ISNUMBER(SEARCH("بلبرينگ",G102)),ISNUMBER(SEARCH("بلبرینگ",G102))),"خرابی - بلبرینگ (تعویض)",IF(OR(ISNUMBER(SEARCH("شيربرق",G102)),ISNUMBER(SEARCH("شیربرق",G102))),"خرابی - شیربرقی (تعویض)",IF(OR(ISNUMBER(SEARCH("واتر جت",G102)),ISNUMBER(SEARCH("واترجت",G102))),"خرابی - واترجت (تعویض)",IF(OR(ISNUMBER(SEARCH("سيم",G102)),ISNUMBER(SEARCH("سیم",G102)),ISNUMBER(SEARCH("اتصال",G102))),"سیم‌کشی/اتصالات (تعویض/بازبینی)",IF(OR(ISNUMBER(SEARCH("تصوير",G102)),ISNUMBER(SEARCH("تصویر",G102))),"برد نمایش تلویزیون (تعویض)",IF(OR(ISNUMBER(SEARCH("ريموت",G102)),ISNUMBER(SEARCH("ریموت",G102))),"ریموت کنترل (تعویض/تعمیر)",IF(OR(ISNUMBER(SEARCH("ال اي دي",G102)),ISNUMBER(SEARCH("ال ای دی",G102)),ISNUMBER(SEARCH("LED",G102))),"خرابی - لامپ/LED داخلی (تعویض)",IF(ISNUMBER(SEARCH("زنگ زدگ",G102)),"زنگ‌زدگی بدنه/قطعه (تعویض)",IF(OR(ISNUMBER(SEARCH("قطعات تزئين",G102)),ISNUMBER(SEARCH("قطعات تزئین",G102))),"قطعات تزئینی - شکستگی/کسری (تعویض)",IF(ISNUMBER(SEARCH("سبد",G102)),"سبد ظرفشویی - شکستگی (تعویض)",IF(ISNUMBER(SEARCH("تاب درام",G102)),"خرابی - تاب برداشتن درام (تعویض)",IF(ISNUMBER(SEARCH("درام",G102)),"خرابی - سایر ایراد درام (تعویض)",IF(ISNUMBER(SEARCH("موتور",G102)),"خرابی - موتور (تعویض)",IF(ISNUMBER(SEARCH("تسمه",G102)),"خرابی - تسمه (تعویض)",IF(OR(ISNUMBER(SEARCH("پيچ ولوم",G102)),ISNUMBER(SEARCH("پیچ ولوم",G102))),"تنظیم - پیچ ولوم/دکمه (تعمیر)",IF(OR(ISNUMBER(SEARCH("کسري قطعات",G102)),ISNUMBER(SEARCH("کسری قطعات",G102))),"کسری قطعات تزئینی (تعویض)",IF(ISNUMBER(SEARCH("پرچ",G102)),"پرچ/بدنه کابین(تعمیر)",IF(OR(ISNUMBER(SEARCH("نشت",G102)),ISNUMBER(SEARCH("آبريزش",G102)),ISNUMBER(SEARCH("آبریزش",G102))),"نشتی آب - محل نامشخص (نیازمند بازدید)",IF(ISNUMBER(SEARCH("درب",G102)),"سایر اجزای درب (بازبینی)",IF(ISNUMBER(SEARCH("ضربه",G102)),"بدنه/کابین - ضربه (بازبینی/تعویض پنل)",IF(ISNUMBER(SEARCH("تراز",G102)),"تراز/لرزش - نصب (رگلاژ پایه)",IF(OR(ISNUMBER(SEARCH("تعویض",G102)),ISNUMBER(SEARCH("تعويض",G102))),"تعویض کامل دستگاه (Replacement)","سایر (نیازمند بررسی دستی)")))))))))))))))))))))))))))))))))))))))))))</f>
        <v/>
      </c>
      <c r="P102" s="124" t="inlineStr">
        <is>
          <t>*</t>
        </is>
      </c>
      <c r="Q102" s="124">
        <f>IF(ISNUMBER(SEARCH("عهده شرکت",F102)),"شرکت",IF(ISNUMBER(SEARCH("عهده مشتري",F102)),"مشتری",IF(ISNUMBER(SEARCH("عهده مشتری",F102)),"مشتری","نامشخص")))</f>
        <v/>
      </c>
      <c r="R102" s="178">
        <f>IF(O102="تعویض کامل دستگاه (Replacement)",IF(SUMIF('قیمت‌ها و مفروضات'!$A$9:$A$13,C102,'قیمت‌ها و مفروضات'!$C$9:$C$13)&lt;&gt;0,SUMIF('قیمت‌ها و مفروضات'!$A$9:$A$13,C102,'قیمت‌ها و مفروضات'!$C$9:$C$13),SUMIF('قیمت‌ها و مفروضات'!$A$9:$A$13,C102,'قیمت‌ها و مفروضات'!$B$9:$B$13)),IF(SUMIF('قیمت‌ها و مفروضات'!$A$18:$A$63,O102,'قیمت‌ها و مفروضات'!$C$18:$C$63)&lt;&gt;0,SUMIF('قیمت‌ها و مفروضات'!$A$18:$A$63,O102,'قیمت‌ها و مفروضات'!$C$18:$C$63),SUMIF('قیمت‌ها و مفروضات'!$A$18:$A$63,O102,'قیمت‌ها و مفروضات'!$B$18:$B$63)))</f>
        <v/>
      </c>
      <c r="S102" s="178">
        <f>'قیمت‌ها و مفروضات'!$B$3+'قیمت‌ها و مفروضات'!$B$4</f>
        <v/>
      </c>
      <c r="T102" s="178">
        <f>R102+S102</f>
        <v/>
      </c>
      <c r="U102" s="178">
        <f>IF(COUNTIF($E$2:E102,E102)&gt;1,"بله (تکراری)","خیر")</f>
        <v/>
      </c>
      <c r="V102" s="178">
        <f>IF(U102="بله (تکراری)",S102,0)</f>
        <v/>
      </c>
      <c r="W102" s="208" t="inlineStr"/>
      <c r="X102" s="208" t="inlineStr"/>
    </row>
    <row r="103" ht="58.5" customHeight="1" s="151">
      <c r="A103" s="176" t="n">
        <v>510020302</v>
      </c>
      <c r="B103" s="124">
        <f>CHOOSE(_xlfn.NUMBERVALUE(MID(H103,6,2)),"فروردین","اردیبهشت","خرداد","تیر","مرداد","شهریور","مهر","آبان","آذر","دی","بهمن","اسفند")</f>
        <v/>
      </c>
      <c r="C103" s="176" t="inlineStr">
        <is>
          <t>ماشين لباسشويي</t>
        </is>
      </c>
      <c r="D103" s="176" t="inlineStr">
        <is>
          <t>CWM-BMW8T2</t>
        </is>
      </c>
      <c r="E103" s="176" t="inlineStr">
        <is>
          <t>52210009N00574</t>
        </is>
      </c>
      <c r="F103" s="173" t="inlineStr">
        <is>
          <t>صداي غيرعادي هنگام خشک کن**اياب و ذهاب به عهده شرکت</t>
        </is>
      </c>
      <c r="G103" s="173" t="inlineStr">
        <is>
          <t>تراز پايه تنظيم</t>
        </is>
      </c>
      <c r="H103" s="176" t="inlineStr">
        <is>
          <t>1405/01/27</t>
        </is>
      </c>
      <c r="I103" s="124" t="inlineStr">
        <is>
          <t>1404/02/02</t>
        </is>
      </c>
      <c r="J103" s="124" t="inlineStr">
        <is>
          <t>1405/01/20</t>
        </is>
      </c>
      <c r="K103" s="177">
        <f>IFERROR(VLOOKUP(LEFT(H103,7),'تبدیل تاریخ'!$A$2:$B$73,2,FALSE())+VALUE(RIGHT(H103,2))-1,"")</f>
        <v/>
      </c>
      <c r="L103" s="177">
        <f>IFERROR(VLOOKUP(LEFT(I103,7),'تبدیل تاریخ'!$A$2:$B$73,2,FALSE())+VALUE(RIGHT(I103,2))-1,"")</f>
        <v/>
      </c>
      <c r="M103" s="177">
        <f>IF(J103="","",IFERROR(VLOOKUP(LEFT(J103,7),'تبدیل تاریخ'!$A$2:$B$73,2,FALSE())+VALUE(RIGHT(J103,2))-1,""))</f>
        <v/>
      </c>
      <c r="N103" s="124">
        <f>IF(OR(K103="",M103=""),"",CEILING((K103-M103)/30,1))</f>
        <v/>
      </c>
      <c r="O103" s="124">
        <f>IF(OR(ISNUMBER(SEARCH("بدون مورد",G103)),ISNUMBER(SEARCH("غير گارانتي",G103)),ISNUMBER(SEARCH("غیر گارانتی",G103)),ISNUMBER(SEARCH("بدون اجرت",G103)),ISNUMBER(SEARCH("فيلتر",G103)),ISNUMBER(SEARCH("فیلتر",G103))),"غیرگارانتی/بدون قطعه",IF(OR(ISNUMBER(SEARCH("ريست",G103)),ISNUMBER(SEARCH("ریست",G103))),"ریست نرم‌افزاری (بدون قطعه)",IF(OR(ISNUMBER(SEARCH("تعویض محصول",G103)),ISNUMBER(SEARCH("تعویض دستگاه",G103))),"تعویض کامل دستگاه (Replacement)",IF(ISNUMBER(SEARCH("پمپ",G103)),IF(ISNUMBER(SEARCH("نشت",G103)),"نشتی - پمپ تخلیه (تعمیر/آب‌بندی)","خرابی - پمپ تخلیه (تعویض)"),IF(ISNUMBER(SEARCH("کمپرسور",G103)),"خرابی - کمپرسور (تعویض)",IF(ISNUMBER(SEARCH("کمک فنر",G103)),"خرابی - کمک فنر (تعویض)",IF(ISNUMBER(SEARCH("لولا",G103)),"مکانیزم درب - لولا (تعویض)",IF(OR(ISNUMBER(SEARCH("قلاب",G103)),ISNUMBER(SEARCH("ميکروسوئيچ",G103)),ISNUMBER(SEARCH("میکروسوئیچ",G103))),"مکانیزم درب - میکروسوئیچ/قلاب (تعویض/تنظیم)",IF(ISNUMBER(SEARCH("زبانه",G103)),"مکانیزم درب - زبانه (تعویض)",IF(OR(ISNUMBER(SEARCH("شيلنگ",G103)),ISNUMBER(SEARCH("شیلنگ",G103))),IF(OR(ISNUMBER(SEARCH("نشتی",G103)),ISNUMBER(SEARCH("نشتي",G103))),"نشتی - شیلنگ (تعمیر/آب‌بندی)",IF(OR(ISNUMBER(SEARCH("يخ",G103)),ISNUMBER(SEARCH("یخ",G103))),"شیلنگ یخساز - یخ‌زدگی (بازبینی)","شیلنگ - برخورد/لهیدگی (بازبینی)")),IF(OR(ISNUMBER(SEARCH("تنظيم ديسپل",G103)),ISNUMBER(SEARCH("تنظیم دیسپل",G103)),ISNUMBER(SEARCH("تنظيم صفحه نمايش",G103)),ISNUMBER(SEARCH("تنظیم صفحه نمایش",G103))),"تنظیم - تنظیمات دستگاه/دیسپلی (تعمیر)",IF(OR(ISNUMBER(SEARCH("برد",G103)),ISNUMBER(SEARCH("سوکت",G103)),ISNUMBER(SEARCH("ديسپل",G103)),ISNUMBER(SEARCH("دیسپل",G103))),"خرابی - برد الکترونیک (تعویض)",IF(OR(ISNUMBER(SEARCH("يخساز",G103)),ISNUMBER(SEARCH("یخساز",G103)),ISNUMBER(SEARCH("دمپر",G103))),IF(OR(ISNUMBER(SEARCH("خرابی",G103)),ISNUMBER(SEARCH("خراب",G103)),ISNUMBER(SEARCH("عدم کارکرد",G103)),ISNUMBER(SEARCH("عدم عملکرد",G103))),"یخساز - خرابی موتور/سنسور/برد (تعویض)","یخساز - تنظیم/عایق (تعمیر)"),IF(OR(ISNUMBER(SEARCH("لاستيک",G103)),ISNUMBER(SEARCH("لاستیک",G103))),"لاستیک درزگیر - دفرمگی/پارگی (تعویض)",IF(OR(ISNUMBER(SEARCH("گسکت",G103)),ISNUMBER(SEARCH("گسگت",G103))),"لاستیک درزگیر - دفرمگی/پارگی (تعویض)",IF(ISNUMBER(SEARCH("مخزن نمک",G103)),"نشتی - درب مخزن نمک (تعمیر/آب‌بندی)",IF(ISNUMBER(SEARCH("براکت",G103)),"نشتی - براکت ریل (تعمیر/آب‌بندی)",IF(ISNUMBER(SEARCH("جاپودر",G103)),"نشتی - جاپودری (تعمیر/آب‌بندی)",IF(ISNUMBER(SEARCH("مقسم",G103)),"نشتی - مقسم آب (تعمیر/آب‌بندی)",IF(OR(ISNUMBER(SEARCH("سنسور دما",G103)),ISNUMBER(SEARCH("ترموستات",G103))),"خرابی - ترموستات (تعویض)",IF(OR(ISNUMBER(SEARCH("هيدروستات",G103)),ISNUMBER(SEARCH("هیدروستات",G103))),"خرابی - هیدروستات (تعویض)",IF(OR(ISNUMBER(SEARCH("بلبرينگ",G103)),ISNUMBER(SEARCH("بلبرینگ",G103))),"خرابی - بلبرینگ (تعویض)",IF(OR(ISNUMBER(SEARCH("شيربرق",G103)),ISNUMBER(SEARCH("شیربرق",G103))),"خرابی - شیربرقی (تعویض)",IF(OR(ISNUMBER(SEARCH("واتر جت",G103)),ISNUMBER(SEARCH("واترجت",G103))),"خرابی - واترجت (تعویض)",IF(OR(ISNUMBER(SEARCH("سيم",G103)),ISNUMBER(SEARCH("سیم",G103)),ISNUMBER(SEARCH("اتصال",G103))),"سیم‌کشی/اتصالات (تعویض/بازبینی)",IF(OR(ISNUMBER(SEARCH("تصوير",G103)),ISNUMBER(SEARCH("تصویر",G103))),"برد نمایش تلویزیون (تعویض)",IF(OR(ISNUMBER(SEARCH("ريموت",G103)),ISNUMBER(SEARCH("ریموت",G103))),"ریموت کنترل (تعویض/تعمیر)",IF(OR(ISNUMBER(SEARCH("ال اي دي",G103)),ISNUMBER(SEARCH("ال ای دی",G103)),ISNUMBER(SEARCH("LED",G103))),"خرابی - لامپ/LED داخلی (تعویض)",IF(ISNUMBER(SEARCH("زنگ زدگ",G103)),"زنگ‌زدگی بدنه/قطعه (تعویض)",IF(OR(ISNUMBER(SEARCH("قطعات تزئين",G103)),ISNUMBER(SEARCH("قطعات تزئین",G103))),"قطعات تزئینی - شکستگی/کسری (تعویض)",IF(ISNUMBER(SEARCH("سبد",G103)),"سبد ظرفشویی - شکستگی (تعویض)",IF(ISNUMBER(SEARCH("تاب درام",G103)),"خرابی - تاب برداشتن درام (تعویض)",IF(ISNUMBER(SEARCH("درام",G103)),"خرابی - سایر ایراد درام (تعویض)",IF(ISNUMBER(SEARCH("موتور",G103)),"خرابی - موتور (تعویض)",IF(ISNUMBER(SEARCH("تسمه",G103)),"خرابی - تسمه (تعویض)",IF(OR(ISNUMBER(SEARCH("پيچ ولوم",G103)),ISNUMBER(SEARCH("پیچ ولوم",G103))),"تنظیم - پیچ ولوم/دکمه (تعمیر)",IF(OR(ISNUMBER(SEARCH("کسري قطعات",G103)),ISNUMBER(SEARCH("کسری قطعات",G103))),"کسری قطعات تزئینی (تعویض)",IF(ISNUMBER(SEARCH("پرچ",G103)),"پرچ/بدنه کابین(تعمیر)",IF(OR(ISNUMBER(SEARCH("نشت",G103)),ISNUMBER(SEARCH("آبريزش",G103)),ISNUMBER(SEARCH("آبریزش",G103))),"نشتی آب - محل نامشخص (نیازمند بازدید)",IF(ISNUMBER(SEARCH("درب",G103)),"سایر اجزای درب (بازبینی)",IF(ISNUMBER(SEARCH("ضربه",G103)),"بدنه/کابین - ضربه (بازبینی/تعویض پنل)",IF(ISNUMBER(SEARCH("تراز",G103)),"تراز/لرزش - نصب (رگلاژ پایه)",IF(OR(ISNUMBER(SEARCH("تعویض",G103)),ISNUMBER(SEARCH("تعويض",G103))),"تعویض کامل دستگاه (Replacement)","سایر (نیازمند بررسی دستی)")))))))))))))))))))))))))))))))))))))))))))</f>
        <v/>
      </c>
      <c r="P103" s="124" t="inlineStr">
        <is>
          <t>رگلاژ پایه تنظیم لباسشویی</t>
        </is>
      </c>
      <c r="Q103" s="124">
        <f>IF(ISNUMBER(SEARCH("عهده شرکت",F103)),"شرکت",IF(ISNUMBER(SEARCH("عهده مشتري",F103)),"مشتری",IF(ISNUMBER(SEARCH("عهده مشتری",F103)),"مشتری","نامشخص")))</f>
        <v/>
      </c>
      <c r="R103" s="178">
        <f>IF(O103="تعویض کامل دستگاه (Replacement)",IF(SUMIF('قیمت‌ها و مفروضات'!$A$9:$A$13,C103,'قیمت‌ها و مفروضات'!$C$9:$C$13)&lt;&gt;0,SUMIF('قیمت‌ها و مفروضات'!$A$9:$A$13,C103,'قیمت‌ها و مفروضات'!$C$9:$C$13),SUMIF('قیمت‌ها و مفروضات'!$A$9:$A$13,C103,'قیمت‌ها و مفروضات'!$B$9:$B$13)),IF(SUMIF('قیمت‌ها و مفروضات'!$A$18:$A$63,O103,'قیمت‌ها و مفروضات'!$C$18:$C$63)&lt;&gt;0,SUMIF('قیمت‌ها و مفروضات'!$A$18:$A$63,O103,'قیمت‌ها و مفروضات'!$C$18:$C$63),SUMIF('قیمت‌ها و مفروضات'!$A$18:$A$63,O103,'قیمت‌ها و مفروضات'!$B$18:$B$63)))</f>
        <v/>
      </c>
      <c r="S103" s="178">
        <f>'قیمت‌ها و مفروضات'!$B$3+'قیمت‌ها و مفروضات'!$B$4</f>
        <v/>
      </c>
      <c r="T103" s="178">
        <f>R103+S103</f>
        <v/>
      </c>
      <c r="U103" s="178">
        <f>IF(COUNTIF($E$2:E103,E103)&gt;1,"بله (تکراری)","خیر")</f>
        <v/>
      </c>
      <c r="V103" s="178">
        <f>IF(U103="بله (تکراری)",S103,0)</f>
        <v/>
      </c>
      <c r="W103" s="208" t="inlineStr"/>
      <c r="X103" s="208" t="inlineStr"/>
    </row>
    <row r="104" ht="58.5" customHeight="1" s="151">
      <c r="A104" s="176" t="n">
        <v>810003573</v>
      </c>
      <c r="B104" s="124">
        <f>CHOOSE(_xlfn.NUMBERVALUE(MID(H104,6,2)),"فروردین","اردیبهشت","خرداد","تیر","مرداد","شهریور","مهر","آبان","آذر","دی","بهمن","اسفند")</f>
        <v/>
      </c>
      <c r="C104" s="176" t="inlineStr">
        <is>
          <t>ماشين ظرفشويي</t>
        </is>
      </c>
      <c r="D104" s="176" t="inlineStr">
        <is>
          <t>CDW-H15V</t>
        </is>
      </c>
      <c r="E104" s="176" t="inlineStr">
        <is>
          <t>52220003N01755</t>
        </is>
      </c>
      <c r="F104" s="173" t="inlineStr">
        <is>
          <t>خطاي F54**اياب و ذهاب به عهده مشتري</t>
        </is>
      </c>
      <c r="G104" s="173" t="inlineStr">
        <is>
          <t>نشتي از  اورینگ  پمپ تخليه</t>
        </is>
      </c>
      <c r="H104" s="176" t="inlineStr">
        <is>
          <t>1405/01/26</t>
        </is>
      </c>
      <c r="I104" s="124" t="inlineStr">
        <is>
          <t>1403/11/04</t>
        </is>
      </c>
      <c r="J104" s="124" t="inlineStr">
        <is>
          <t>1403/12/16</t>
        </is>
      </c>
      <c r="K104" s="177">
        <f>IFERROR(VLOOKUP(LEFT(H104,7),'تبدیل تاریخ'!$A$2:$B$73,2,FALSE())+VALUE(RIGHT(H104,2))-1,"")</f>
        <v/>
      </c>
      <c r="L104" s="177">
        <f>IFERROR(VLOOKUP(LEFT(I104,7),'تبدیل تاریخ'!$A$2:$B$73,2,FALSE())+VALUE(RIGHT(I104,2))-1,"")</f>
        <v/>
      </c>
      <c r="M104" s="177">
        <f>IF(J104="","",IFERROR(VLOOKUP(LEFT(J104,7),'تبدیل تاریخ'!$A$2:$B$73,2,FALSE())+VALUE(RIGHT(J104,2))-1,""))</f>
        <v/>
      </c>
      <c r="N104" s="124">
        <f>IF(OR(K104="",M104=""),"",CEILING((K104-M104)/30,1))</f>
        <v/>
      </c>
      <c r="O104" s="124">
        <f>IF(OR(ISNUMBER(SEARCH("بدون مورد",G104)),ISNUMBER(SEARCH("غير گارانتي",G104)),ISNUMBER(SEARCH("غیر گارانتی",G104)),ISNUMBER(SEARCH("بدون اجرت",G104)),ISNUMBER(SEARCH("فيلتر",G104)),ISNUMBER(SEARCH("فیلتر",G104))),"غیرگارانتی/بدون قطعه",IF(OR(ISNUMBER(SEARCH("ريست",G104)),ISNUMBER(SEARCH("ریست",G104))),"ریست نرم‌افزاری (بدون قطعه)",IF(OR(ISNUMBER(SEARCH("تعویض محصول",G104)),ISNUMBER(SEARCH("تعویض دستگاه",G104))),"تعویض کامل دستگاه (Replacement)",IF(ISNUMBER(SEARCH("پمپ",G104)),IF(ISNUMBER(SEARCH("نشت",G104)),"نشتی - پمپ تخلیه (تعمیر/آب‌بندی)","خرابی - پمپ تخلیه (تعویض)"),IF(ISNUMBER(SEARCH("کمپرسور",G104)),"خرابی - کمپرسور (تعویض)",IF(ISNUMBER(SEARCH("کمک فنر",G104)),"خرابی - کمک فنر (تعویض)",IF(ISNUMBER(SEARCH("لولا",G104)),"مکانیزم درب - لولا (تعویض)",IF(OR(ISNUMBER(SEARCH("قلاب",G104)),ISNUMBER(SEARCH("ميکروسوئيچ",G104)),ISNUMBER(SEARCH("میکروسوئیچ",G104))),"مکانیزم درب - میکروسوئیچ/قلاب (تعویض/تنظیم)",IF(ISNUMBER(SEARCH("زبانه",G104)),"مکانیزم درب - زبانه (تعویض)",IF(OR(ISNUMBER(SEARCH("شيلنگ",G104)),ISNUMBER(SEARCH("شیلنگ",G104))),IF(OR(ISNUMBER(SEARCH("نشتی",G104)),ISNUMBER(SEARCH("نشتي",G104))),"نشتی - شیلنگ (تعمیر/آب‌بندی)",IF(OR(ISNUMBER(SEARCH("يخ",G104)),ISNUMBER(SEARCH("یخ",G104))),"شیلنگ یخساز - یخ‌زدگی (بازبینی)","شیلنگ - برخورد/لهیدگی (بازبینی)")),IF(OR(ISNUMBER(SEARCH("تنظيم ديسپل",G104)),ISNUMBER(SEARCH("تنظیم دیسپل",G104)),ISNUMBER(SEARCH("تنظيم صفحه نمايش",G104)),ISNUMBER(SEARCH("تنظیم صفحه نمایش",G104))),"تنظیم - تنظیمات دستگاه/دیسپلی (تعمیر)",IF(OR(ISNUMBER(SEARCH("برد",G104)),ISNUMBER(SEARCH("سوکت",G104)),ISNUMBER(SEARCH("ديسپل",G104)),ISNUMBER(SEARCH("دیسپل",G104))),"خرابی - برد الکترونیک (تعویض)",IF(OR(ISNUMBER(SEARCH("يخساز",G104)),ISNUMBER(SEARCH("یخساز",G104)),ISNUMBER(SEARCH("دمپر",G104))),IF(OR(ISNUMBER(SEARCH("خرابی",G104)),ISNUMBER(SEARCH("خراب",G104)),ISNUMBER(SEARCH("عدم کارکرد",G104)),ISNUMBER(SEARCH("عدم عملکرد",G104))),"یخساز - خرابی موتور/سنسور/برد (تعویض)","یخساز - تنظیم/عایق (تعمیر)"),IF(OR(ISNUMBER(SEARCH("لاستيک",G104)),ISNUMBER(SEARCH("لاستیک",G104))),"لاستیک درزگیر - دفرمگی/پارگی (تعویض)",IF(OR(ISNUMBER(SEARCH("گسکت",G104)),ISNUMBER(SEARCH("گسگت",G104))),"لاستیک درزگیر - دفرمگی/پارگی (تعویض)",IF(ISNUMBER(SEARCH("مخزن نمک",G104)),"نشتی - درب مخزن نمک (تعمیر/آب‌بندی)",IF(ISNUMBER(SEARCH("براکت",G104)),"نشتی - براکت ریل (تعمیر/آب‌بندی)",IF(ISNUMBER(SEARCH("جاپودر",G104)),"نشتی - جاپودری (تعمیر/آب‌بندی)",IF(ISNUMBER(SEARCH("مقسم",G104)),"نشتی - مقسم آب (تعمیر/آب‌بندی)",IF(OR(ISNUMBER(SEARCH("سنسور دما",G104)),ISNUMBER(SEARCH("ترموستات",G104))),"خرابی - ترموستات (تعویض)",IF(OR(ISNUMBER(SEARCH("هيدروستات",G104)),ISNUMBER(SEARCH("هیدروستات",G104))),"خرابی - هیدروستات (تعویض)",IF(OR(ISNUMBER(SEARCH("بلبرينگ",G104)),ISNUMBER(SEARCH("بلبرینگ",G104))),"خرابی - بلبرینگ (تعویض)",IF(OR(ISNUMBER(SEARCH("شيربرق",G104)),ISNUMBER(SEARCH("شیربرق",G104))),"خرابی - شیربرقی (تعویض)",IF(OR(ISNUMBER(SEARCH("واتر جت",G104)),ISNUMBER(SEARCH("واترجت",G104))),"خرابی - واترجت (تعویض)",IF(OR(ISNUMBER(SEARCH("سيم",G104)),ISNUMBER(SEARCH("سیم",G104)),ISNUMBER(SEARCH("اتصال",G104))),"سیم‌کشی/اتصالات (تعویض/بازبینی)",IF(OR(ISNUMBER(SEARCH("تصوير",G104)),ISNUMBER(SEARCH("تصویر",G104))),"برد نمایش تلویزیون (تعویض)",IF(OR(ISNUMBER(SEARCH("ريموت",G104)),ISNUMBER(SEARCH("ریموت",G104))),"ریموت کنترل (تعویض/تعمیر)",IF(OR(ISNUMBER(SEARCH("ال اي دي",G104)),ISNUMBER(SEARCH("ال ای دی",G104)),ISNUMBER(SEARCH("LED",G104))),"خرابی - لامپ/LED داخلی (تعویض)",IF(ISNUMBER(SEARCH("زنگ زدگ",G104)),"زنگ‌زدگی بدنه/قطعه (تعویض)",IF(OR(ISNUMBER(SEARCH("قطعات تزئين",G104)),ISNUMBER(SEARCH("قطعات تزئین",G104))),"قطعات تزئینی - شکستگی/کسری (تعویض)",IF(ISNUMBER(SEARCH("سبد",G104)),"سبد ظرفشویی - شکستگی (تعویض)",IF(ISNUMBER(SEARCH("تاب درام",G104)),"خرابی - تاب برداشتن درام (تعویض)",IF(ISNUMBER(SEARCH("درام",G104)),"خرابی - سایر ایراد درام (تعویض)",IF(ISNUMBER(SEARCH("موتور",G104)),"خرابی - موتور (تعویض)",IF(ISNUMBER(SEARCH("تسمه",G104)),"خرابی - تسمه (تعویض)",IF(OR(ISNUMBER(SEARCH("پيچ ولوم",G104)),ISNUMBER(SEARCH("پیچ ولوم",G104))),"تنظیم - پیچ ولوم/دکمه (تعمیر)",IF(OR(ISNUMBER(SEARCH("کسري قطعات",G104)),ISNUMBER(SEARCH("کسری قطعات",G104))),"کسری قطعات تزئینی (تعویض)",IF(ISNUMBER(SEARCH("پرچ",G104)),"پرچ/بدنه کابین(تعمیر)",IF(OR(ISNUMBER(SEARCH("نشت",G104)),ISNUMBER(SEARCH("آبريزش",G104)),ISNUMBER(SEARCH("آبریزش",G104))),"نشتی آب - محل نامشخص (نیازمند بازدید)",IF(ISNUMBER(SEARCH("درب",G104)),"سایر اجزای درب (بازبینی)",IF(ISNUMBER(SEARCH("ضربه",G104)),"بدنه/کابین - ضربه (بازبینی/تعویض پنل)",IF(ISNUMBER(SEARCH("تراز",G104)),"تراز/لرزش - نصب (رگلاژ پایه)",IF(OR(ISNUMBER(SEARCH("تعویض",G104)),ISNUMBER(SEARCH("تعويض",G104))),"تعویض کامل دستگاه (Replacement)","سایر (نیازمند بررسی دستی)")))))))))))))))))))))))))))))))))))))))))))</f>
        <v/>
      </c>
      <c r="P104" s="124" t="inlineStr">
        <is>
          <t>*</t>
        </is>
      </c>
      <c r="Q104" s="124">
        <f>IF(ISNUMBER(SEARCH("عهده شرکت",F104)),"شرکت",IF(ISNUMBER(SEARCH("عهده مشتري",F104)),"مشتری",IF(ISNUMBER(SEARCH("عهده مشتری",F104)),"مشتری","نامشخص")))</f>
        <v/>
      </c>
      <c r="R104" s="178">
        <f>IF(O104="تعویض کامل دستگاه (Replacement)",IF(SUMIF('قیمت‌ها و مفروضات'!$A$9:$A$13,C104,'قیمت‌ها و مفروضات'!$C$9:$C$13)&lt;&gt;0,SUMIF('قیمت‌ها و مفروضات'!$A$9:$A$13,C104,'قیمت‌ها و مفروضات'!$C$9:$C$13),SUMIF('قیمت‌ها و مفروضات'!$A$9:$A$13,C104,'قیمت‌ها و مفروضات'!$B$9:$B$13)),IF(SUMIF('قیمت‌ها و مفروضات'!$A$18:$A$63,O104,'قیمت‌ها و مفروضات'!$C$18:$C$63)&lt;&gt;0,SUMIF('قیمت‌ها و مفروضات'!$A$18:$A$63,O104,'قیمت‌ها و مفروضات'!$C$18:$C$63),SUMIF('قیمت‌ها و مفروضات'!$A$18:$A$63,O104,'قیمت‌ها و مفروضات'!$B$18:$B$63)))</f>
        <v/>
      </c>
      <c r="S104" s="178">
        <f>'قیمت‌ها و مفروضات'!$B$3+'قیمت‌ها و مفروضات'!$B$4</f>
        <v/>
      </c>
      <c r="T104" s="178">
        <f>R104+S104</f>
        <v/>
      </c>
      <c r="U104" s="178">
        <f>IF(COUNTIF($E$2:E104,E104)&gt;1,"بله (تکراری)","خیر")</f>
        <v/>
      </c>
      <c r="V104" s="178">
        <f>IF(U104="بله (تکراری)",S104,0)</f>
        <v/>
      </c>
      <c r="W104" s="208" t="inlineStr"/>
      <c r="X104" s="208" t="inlineStr"/>
    </row>
    <row r="105" ht="58.5" customHeight="1" s="151">
      <c r="A105" s="176" t="n">
        <v>510020328</v>
      </c>
      <c r="B105" s="124">
        <f>CHOOSE(_xlfn.NUMBERVALUE(MID(H105,6,2)),"فروردین","اردیبهشت","خرداد","تیر","مرداد","شهریور","مهر","آبان","آذر","دی","بهمن","اسفند")</f>
        <v/>
      </c>
      <c r="C105" s="176" t="inlineStr">
        <is>
          <t>ماشين لباسشويي</t>
        </is>
      </c>
      <c r="D105" s="176" t="inlineStr">
        <is>
          <t>CWM-BMW8T1</t>
        </is>
      </c>
      <c r="E105" s="176" t="inlineStr">
        <is>
          <t>52210005N01679</t>
        </is>
      </c>
      <c r="F105" s="173" t="inlineStr">
        <is>
          <t>صداي غيرعادي هنگام خشک کن**اياب و ذهاب به عهده شرکت</t>
        </is>
      </c>
      <c r="G105" s="173" t="inlineStr">
        <is>
          <t>صداي غيرعادي پمپ تخليه</t>
        </is>
      </c>
      <c r="H105" s="176" t="inlineStr">
        <is>
          <t>1405/01/30</t>
        </is>
      </c>
      <c r="I105" s="124" t="inlineStr">
        <is>
          <t>1404/03/12</t>
        </is>
      </c>
      <c r="J105" s="124" t="inlineStr">
        <is>
          <t>1404/07/21</t>
        </is>
      </c>
      <c r="K105" s="177">
        <f>IFERROR(VLOOKUP(LEFT(H105,7),'تبدیل تاریخ'!$A$2:$B$73,2,FALSE())+VALUE(RIGHT(H105,2))-1,"")</f>
        <v/>
      </c>
      <c r="L105" s="177">
        <f>IFERROR(VLOOKUP(LEFT(I105,7),'تبدیل تاریخ'!$A$2:$B$73,2,FALSE())+VALUE(RIGHT(I105,2))-1,"")</f>
        <v/>
      </c>
      <c r="M105" s="177">
        <f>IF(J105="","",IFERROR(VLOOKUP(LEFT(J105,7),'تبدیل تاریخ'!$A$2:$B$73,2,FALSE())+VALUE(RIGHT(J105,2))-1,""))</f>
        <v/>
      </c>
      <c r="N105" s="124">
        <f>IF(OR(K105="",M105=""),"",CEILING((K105-M105)/30,1))</f>
        <v/>
      </c>
      <c r="O105" s="124">
        <f>IF(OR(ISNUMBER(SEARCH("بدون مورد",G105)),ISNUMBER(SEARCH("غير گارانتي",G105)),ISNUMBER(SEARCH("غیر گارانتی",G105)),ISNUMBER(SEARCH("بدون اجرت",G105)),ISNUMBER(SEARCH("فيلتر",G105)),ISNUMBER(SEARCH("فیلتر",G105))),"غیرگارانتی/بدون قطعه",IF(OR(ISNUMBER(SEARCH("ريست",G105)),ISNUMBER(SEARCH("ریست",G105))),"ریست نرم‌افزاری (بدون قطعه)",IF(OR(ISNUMBER(SEARCH("تعویض محصول",G105)),ISNUMBER(SEARCH("تعویض دستگاه",G105))),"تعویض کامل دستگاه (Replacement)",IF(ISNUMBER(SEARCH("پمپ",G105)),IF(ISNUMBER(SEARCH("نشت",G105)),"نشتی - پمپ تخلیه (تعمیر/آب‌بندی)","خرابی - پمپ تخلیه (تعویض)"),IF(ISNUMBER(SEARCH("کمپرسور",G105)),"خرابی - کمپرسور (تعویض)",IF(ISNUMBER(SEARCH("کمک فنر",G105)),"خرابی - کمک فنر (تعویض)",IF(ISNUMBER(SEARCH("لولا",G105)),"مکانیزم درب - لولا (تعویض)",IF(OR(ISNUMBER(SEARCH("قلاب",G105)),ISNUMBER(SEARCH("ميکروسوئيچ",G105)),ISNUMBER(SEARCH("میکروسوئیچ",G105))),"مکانیزم درب - میکروسوئیچ/قلاب (تعویض/تنظیم)",IF(ISNUMBER(SEARCH("زبانه",G105)),"مکانیزم درب - زبانه (تعویض)",IF(OR(ISNUMBER(SEARCH("شيلنگ",G105)),ISNUMBER(SEARCH("شیلنگ",G105))),IF(OR(ISNUMBER(SEARCH("نشتی",G105)),ISNUMBER(SEARCH("نشتي",G105))),"نشتی - شیلنگ (تعمیر/آب‌بندی)",IF(OR(ISNUMBER(SEARCH("يخ",G105)),ISNUMBER(SEARCH("یخ",G105))),"شیلنگ یخساز - یخ‌زدگی (بازبینی)","شیلنگ - برخورد/لهیدگی (بازبینی)")),IF(OR(ISNUMBER(SEARCH("تنظيم ديسپل",G105)),ISNUMBER(SEARCH("تنظیم دیسپل",G105)),ISNUMBER(SEARCH("تنظيم صفحه نمايش",G105)),ISNUMBER(SEARCH("تنظیم صفحه نمایش",G105))),"تنظیم - تنظیمات دستگاه/دیسپلی (تعمیر)",IF(OR(ISNUMBER(SEARCH("برد",G105)),ISNUMBER(SEARCH("سوکت",G105)),ISNUMBER(SEARCH("ديسپل",G105)),ISNUMBER(SEARCH("دیسپل",G105))),"خرابی - برد الکترونیک (تعویض)",IF(OR(ISNUMBER(SEARCH("يخساز",G105)),ISNUMBER(SEARCH("یخساز",G105)),ISNUMBER(SEARCH("دمپر",G105))),IF(OR(ISNUMBER(SEARCH("خرابی",G105)),ISNUMBER(SEARCH("خراب",G105)),ISNUMBER(SEARCH("عدم کارکرد",G105)),ISNUMBER(SEARCH("عدم عملکرد",G105))),"یخساز - خرابی موتور/سنسور/برد (تعویض)","یخساز - تنظیم/عایق (تعمیر)"),IF(OR(ISNUMBER(SEARCH("لاستيک",G105)),ISNUMBER(SEARCH("لاستیک",G105))),"لاستیک درزگیر - دفرمگی/پارگی (تعویض)",IF(OR(ISNUMBER(SEARCH("گسکت",G105)),ISNUMBER(SEARCH("گسگت",G105))),"لاستیک درزگیر - دفرمگی/پارگی (تعویض)",IF(ISNUMBER(SEARCH("مخزن نمک",G105)),"نشتی - درب مخزن نمک (تعمیر/آب‌بندی)",IF(ISNUMBER(SEARCH("براکت",G105)),"نشتی - براکت ریل (تعمیر/آب‌بندی)",IF(ISNUMBER(SEARCH("جاپودر",G105)),"نشتی - جاپودری (تعمیر/آب‌بندی)",IF(ISNUMBER(SEARCH("مقسم",G105)),"نشتی - مقسم آب (تعمیر/آب‌بندی)",IF(OR(ISNUMBER(SEARCH("سنسور دما",G105)),ISNUMBER(SEARCH("ترموستات",G105))),"خرابی - ترموستات (تعویض)",IF(OR(ISNUMBER(SEARCH("هيدروستات",G105)),ISNUMBER(SEARCH("هیدروستات",G105))),"خرابی - هیدروستات (تعویض)",IF(OR(ISNUMBER(SEARCH("بلبرينگ",G105)),ISNUMBER(SEARCH("بلبرینگ",G105))),"خرابی - بلبرینگ (تعویض)",IF(OR(ISNUMBER(SEARCH("شيربرق",G105)),ISNUMBER(SEARCH("شیربرق",G105))),"خرابی - شیربرقی (تعویض)",IF(OR(ISNUMBER(SEARCH("واتر جت",G105)),ISNUMBER(SEARCH("واترجت",G105))),"خرابی - واترجت (تعویض)",IF(OR(ISNUMBER(SEARCH("سيم",G105)),ISNUMBER(SEARCH("سیم",G105)),ISNUMBER(SEARCH("اتصال",G105))),"سیم‌کشی/اتصالات (تعویض/بازبینی)",IF(OR(ISNUMBER(SEARCH("تصوير",G105)),ISNUMBER(SEARCH("تصویر",G105))),"برد نمایش تلویزیون (تعویض)",IF(OR(ISNUMBER(SEARCH("ريموت",G105)),ISNUMBER(SEARCH("ریموت",G105))),"ریموت کنترل (تعویض/تعمیر)",IF(OR(ISNUMBER(SEARCH("ال اي دي",G105)),ISNUMBER(SEARCH("ال ای دی",G105)),ISNUMBER(SEARCH("LED",G105))),"خرابی - لامپ/LED داخلی (تعویض)",IF(ISNUMBER(SEARCH("زنگ زدگ",G105)),"زنگ‌زدگی بدنه/قطعه (تعویض)",IF(OR(ISNUMBER(SEARCH("قطعات تزئين",G105)),ISNUMBER(SEARCH("قطعات تزئین",G105))),"قطعات تزئینی - شکستگی/کسری (تعویض)",IF(ISNUMBER(SEARCH("سبد",G105)),"سبد ظرفشویی - شکستگی (تعویض)",IF(ISNUMBER(SEARCH("تاب درام",G105)),"خرابی - تاب برداشتن درام (تعویض)",IF(ISNUMBER(SEARCH("درام",G105)),"خرابی - سایر ایراد درام (تعویض)",IF(ISNUMBER(SEARCH("موتور",G105)),"خرابی - موتور (تعویض)",IF(ISNUMBER(SEARCH("تسمه",G105)),"خرابی - تسمه (تعویض)",IF(OR(ISNUMBER(SEARCH("پيچ ولوم",G105)),ISNUMBER(SEARCH("پیچ ولوم",G105))),"تنظیم - پیچ ولوم/دکمه (تعمیر)",IF(OR(ISNUMBER(SEARCH("کسري قطعات",G105)),ISNUMBER(SEARCH("کسری قطعات",G105))),"کسری قطعات تزئینی (تعویض)",IF(ISNUMBER(SEARCH("پرچ",G105)),"پرچ/بدنه کابین(تعمیر)",IF(OR(ISNUMBER(SEARCH("نشت",G105)),ISNUMBER(SEARCH("آبريزش",G105)),ISNUMBER(SEARCH("آبریزش",G105))),"نشتی آب - محل نامشخص (نیازمند بازدید)",IF(ISNUMBER(SEARCH("درب",G105)),"سایر اجزای درب (بازبینی)",IF(ISNUMBER(SEARCH("ضربه",G105)),"بدنه/کابین - ضربه (بازبینی/تعویض پنل)",IF(ISNUMBER(SEARCH("تراز",G105)),"تراز/لرزش - نصب (رگلاژ پایه)",IF(OR(ISNUMBER(SEARCH("تعویض",G105)),ISNUMBER(SEARCH("تعويض",G105))),"تعویض کامل دستگاه (Replacement)","سایر (نیازمند بررسی دستی)")))))))))))))))))))))))))))))))))))))))))))</f>
        <v/>
      </c>
      <c r="P105" s="124" t="inlineStr">
        <is>
          <t>پمپ تخلیه لباسشویی</t>
        </is>
      </c>
      <c r="Q105" s="124">
        <f>IF(ISNUMBER(SEARCH("عهده شرکت",F105)),"شرکت",IF(ISNUMBER(SEARCH("عهده مشتري",F105)),"مشتری",IF(ISNUMBER(SEARCH("عهده مشتری",F105)),"مشتری","نامشخص")))</f>
        <v/>
      </c>
      <c r="R105" s="178">
        <f>IF(O105="تعویض کامل دستگاه (Replacement)",IF(SUMIF('قیمت‌ها و مفروضات'!$A$9:$A$13,C105,'قیمت‌ها و مفروضات'!$C$9:$C$13)&lt;&gt;0,SUMIF('قیمت‌ها و مفروضات'!$A$9:$A$13,C105,'قیمت‌ها و مفروضات'!$C$9:$C$13),SUMIF('قیمت‌ها و مفروضات'!$A$9:$A$13,C105,'قیمت‌ها و مفروضات'!$B$9:$B$13)),IF(SUMIF('قیمت‌ها و مفروضات'!$A$18:$A$63,O105,'قیمت‌ها و مفروضات'!$C$18:$C$63)&lt;&gt;0,SUMIF('قیمت‌ها و مفروضات'!$A$18:$A$63,O105,'قیمت‌ها و مفروضات'!$C$18:$C$63),SUMIF('قیمت‌ها و مفروضات'!$A$18:$A$63,O105,'قیمت‌ها و مفروضات'!$B$18:$B$63)))</f>
        <v/>
      </c>
      <c r="S105" s="178">
        <f>'قیمت‌ها و مفروضات'!$B$3+'قیمت‌ها و مفروضات'!$B$4</f>
        <v/>
      </c>
      <c r="T105" s="178">
        <f>R105+S105</f>
        <v/>
      </c>
      <c r="U105" s="178">
        <f>IF(COUNTIF($E$2:E105,E105)&gt;1,"بله (تکراری)","خیر")</f>
        <v/>
      </c>
      <c r="V105" s="178">
        <f>IF(U105="بله (تکراری)",S105,0)</f>
        <v/>
      </c>
      <c r="W105" s="208" t="inlineStr"/>
      <c r="X105" s="208" t="inlineStr"/>
    </row>
    <row r="106" ht="58.5" customHeight="1" s="151">
      <c r="A106" s="176" t="n">
        <v>210012658</v>
      </c>
      <c r="B106" s="124">
        <f>CHOOSE(_xlfn.NUMBERVALUE(MID(H106,6,2)),"فروردین","اردیبهشت","خرداد","تیر","مرداد","شهریور","مهر","آبان","آذر","دی","بهمن","اسفند")</f>
        <v/>
      </c>
      <c r="C106" s="176" t="inlineStr">
        <is>
          <t>یخچال ساید‌بای‌ساید</t>
        </is>
      </c>
      <c r="D106" s="176" t="inlineStr">
        <is>
          <t>C2S-29HS1</t>
        </is>
      </c>
      <c r="E106" s="176" t="inlineStr">
        <is>
          <t>52240001N01707</t>
        </is>
      </c>
      <c r="F106" s="173" t="inlineStr">
        <is>
          <t>تعويض فيلتر - غيرگارانتي</t>
        </is>
      </c>
      <c r="G106" s="173" t="inlineStr">
        <is>
          <t>تعويض فيلتر / غيرگارانتي - سايد باي سايد</t>
        </is>
      </c>
      <c r="H106" s="176" t="inlineStr">
        <is>
          <t>1405/01/16</t>
        </is>
      </c>
      <c r="I106" s="124" t="inlineStr">
        <is>
          <t>1403/08/10</t>
        </is>
      </c>
      <c r="J106" s="124" t="inlineStr">
        <is>
          <t>1403/12/13</t>
        </is>
      </c>
      <c r="K106" s="177">
        <f>IFERROR(VLOOKUP(LEFT(H106,7),'تبدیل تاریخ'!$A$2:$B$73,2,FALSE())+VALUE(RIGHT(H106,2))-1,"")</f>
        <v/>
      </c>
      <c r="L106" s="177">
        <f>IFERROR(VLOOKUP(LEFT(I106,7),'تبدیل تاریخ'!$A$2:$B$73,2,FALSE())+VALUE(RIGHT(I106,2))-1,"")</f>
        <v/>
      </c>
      <c r="M106" s="177">
        <f>IF(J106="","",IFERROR(VLOOKUP(LEFT(J106,7),'تبدیل تاریخ'!$A$2:$B$73,2,FALSE())+VALUE(RIGHT(J106,2))-1,""))</f>
        <v/>
      </c>
      <c r="N106" s="124">
        <f>IF(OR(K106="",M106=""),"",CEILING((K106-M106)/30,1))</f>
        <v/>
      </c>
      <c r="O106" s="124">
        <f>IF(OR(ISNUMBER(SEARCH("بدون مورد",G106)),ISNUMBER(SEARCH("غير گارانتي",G106)),ISNUMBER(SEARCH("غیر گارانتی",G106)),ISNUMBER(SEARCH("بدون اجرت",G106)),ISNUMBER(SEARCH("فيلتر",G106)),ISNUMBER(SEARCH("فیلتر",G106))),"غیرگارانتی/بدون قطعه",IF(OR(ISNUMBER(SEARCH("ريست",G106)),ISNUMBER(SEARCH("ریست",G106))),"ریست نرم‌افزاری (بدون قطعه)",IF(OR(ISNUMBER(SEARCH("تعویض محصول",G106)),ISNUMBER(SEARCH("تعویض دستگاه",G106))),"تعویض کامل دستگاه (Replacement)",IF(ISNUMBER(SEARCH("پمپ",G106)),IF(ISNUMBER(SEARCH("نشت",G106)),"نشتی - پمپ تخلیه (تعمیر/آب‌بندی)","خرابی - پمپ تخلیه (تعویض)"),IF(ISNUMBER(SEARCH("کمپرسور",G106)),"خرابی - کمپرسور (تعویض)",IF(ISNUMBER(SEARCH("کمک فنر",G106)),"خرابی - کمک فنر (تعویض)",IF(ISNUMBER(SEARCH("لولا",G106)),"مکانیزم درب - لولا (تعویض)",IF(OR(ISNUMBER(SEARCH("قلاب",G106)),ISNUMBER(SEARCH("ميکروسوئيچ",G106)),ISNUMBER(SEARCH("میکروسوئیچ",G106))),"مکانیزم درب - میکروسوئیچ/قلاب (تعویض/تنظیم)",IF(ISNUMBER(SEARCH("زبانه",G106)),"مکانیزم درب - زبانه (تعویض)",IF(OR(ISNUMBER(SEARCH("شيلنگ",G106)),ISNUMBER(SEARCH("شیلنگ",G106))),IF(OR(ISNUMBER(SEARCH("نشتی",G106)),ISNUMBER(SEARCH("نشتي",G106))),"نشتی - شیلنگ (تعمیر/آب‌بندی)",IF(OR(ISNUMBER(SEARCH("يخ",G106)),ISNUMBER(SEARCH("یخ",G106))),"شیلنگ یخساز - یخ‌زدگی (بازبینی)","شیلنگ - برخورد/لهیدگی (بازبینی)")),IF(OR(ISNUMBER(SEARCH("تنظيم ديسپل",G106)),ISNUMBER(SEARCH("تنظیم دیسپل",G106)),ISNUMBER(SEARCH("تنظيم صفحه نمايش",G106)),ISNUMBER(SEARCH("تنظیم صفحه نمایش",G106))),"تنظیم - تنظیمات دستگاه/دیسپلی (تعمیر)",IF(OR(ISNUMBER(SEARCH("برد",G106)),ISNUMBER(SEARCH("سوکت",G106)),ISNUMBER(SEARCH("ديسپل",G106)),ISNUMBER(SEARCH("دیسپل",G106))),"خرابی - برد الکترونیک (تعویض)",IF(OR(ISNUMBER(SEARCH("يخساز",G106)),ISNUMBER(SEARCH("یخساز",G106)),ISNUMBER(SEARCH("دمپر",G106))),IF(OR(ISNUMBER(SEARCH("خرابی",G106)),ISNUMBER(SEARCH("خراب",G106)),ISNUMBER(SEARCH("عدم کارکرد",G106)),ISNUMBER(SEARCH("عدم عملکرد",G106))),"یخساز - خرابی موتور/سنسور/برد (تعویض)","یخساز - تنظیم/عایق (تعمیر)"),IF(OR(ISNUMBER(SEARCH("لاستيک",G106)),ISNUMBER(SEARCH("لاستیک",G106))),"لاستیک درزگیر - دفرمگی/پارگی (تعویض)",IF(OR(ISNUMBER(SEARCH("گسکت",G106)),ISNUMBER(SEARCH("گسگت",G106))),"لاستیک درزگیر - دفرمگی/پارگی (تعویض)",IF(ISNUMBER(SEARCH("مخزن نمک",G106)),"نشتی - درب مخزن نمک (تعمیر/آب‌بندی)",IF(ISNUMBER(SEARCH("براکت",G106)),"نشتی - براکت ریل (تعمیر/آب‌بندی)",IF(ISNUMBER(SEARCH("جاپودر",G106)),"نشتی - جاپودری (تعمیر/آب‌بندی)",IF(ISNUMBER(SEARCH("مقسم",G106)),"نشتی - مقسم آب (تعمیر/آب‌بندی)",IF(OR(ISNUMBER(SEARCH("سنسور دما",G106)),ISNUMBER(SEARCH("ترموستات",G106))),"خرابی - ترموستات (تعویض)",IF(OR(ISNUMBER(SEARCH("هيدروستات",G106)),ISNUMBER(SEARCH("هیدروستات",G106))),"خرابی - هیدروستات (تعویض)",IF(OR(ISNUMBER(SEARCH("بلبرينگ",G106)),ISNUMBER(SEARCH("بلبرینگ",G106))),"خرابی - بلبرینگ (تعویض)",IF(OR(ISNUMBER(SEARCH("شيربرق",G106)),ISNUMBER(SEARCH("شیربرق",G106))),"خرابی - شیربرقی (تعویض)",IF(OR(ISNUMBER(SEARCH("واتر جت",G106)),ISNUMBER(SEARCH("واترجت",G106))),"خرابی - واترجت (تعویض)",IF(OR(ISNUMBER(SEARCH("سيم",G106)),ISNUMBER(SEARCH("سیم",G106)),ISNUMBER(SEARCH("اتصال",G106))),"سیم‌کشی/اتصالات (تعویض/بازبینی)",IF(OR(ISNUMBER(SEARCH("تصوير",G106)),ISNUMBER(SEARCH("تصویر",G106))),"برد نمایش تلویزیون (تعویض)",IF(OR(ISNUMBER(SEARCH("ريموت",G106)),ISNUMBER(SEARCH("ریموت",G106))),"ریموت کنترل (تعویض/تعمیر)",IF(OR(ISNUMBER(SEARCH("ال اي دي",G106)),ISNUMBER(SEARCH("ال ای دی",G106)),ISNUMBER(SEARCH("LED",G106))),"خرابی - لامپ/LED داخلی (تعویض)",IF(ISNUMBER(SEARCH("زنگ زدگ",G106)),"زنگ‌زدگی بدنه/قطعه (تعویض)",IF(OR(ISNUMBER(SEARCH("قطعات تزئين",G106)),ISNUMBER(SEARCH("قطعات تزئین",G106))),"قطعات تزئینی - شکستگی/کسری (تعویض)",IF(ISNUMBER(SEARCH("سبد",G106)),"سبد ظرفشویی - شکستگی (تعویض)",IF(ISNUMBER(SEARCH("تاب درام",G106)),"خرابی - تاب برداشتن درام (تعویض)",IF(ISNUMBER(SEARCH("درام",G106)),"خرابی - سایر ایراد درام (تعویض)",IF(ISNUMBER(SEARCH("موتور",G106)),"خرابی - موتور (تعویض)",IF(ISNUMBER(SEARCH("تسمه",G106)),"خرابی - تسمه (تعویض)",IF(OR(ISNUMBER(SEARCH("پيچ ولوم",G106)),ISNUMBER(SEARCH("پیچ ولوم",G106))),"تنظیم - پیچ ولوم/دکمه (تعمیر)",IF(OR(ISNUMBER(SEARCH("کسري قطعات",G106)),ISNUMBER(SEARCH("کسری قطعات",G106))),"کسری قطعات تزئینی (تعویض)",IF(ISNUMBER(SEARCH("پرچ",G106)),"پرچ/بدنه کابین(تعمیر)",IF(OR(ISNUMBER(SEARCH("نشت",G106)),ISNUMBER(SEARCH("آبريزش",G106)),ISNUMBER(SEARCH("آبریزش",G106))),"نشتی آب - محل نامشخص (نیازمند بازدید)",IF(ISNUMBER(SEARCH("درب",G106)),"سایر اجزای درب (بازبینی)",IF(ISNUMBER(SEARCH("ضربه",G106)),"بدنه/کابین - ضربه (بازبینی/تعویض پنل)",IF(ISNUMBER(SEARCH("تراز",G106)),"تراز/لرزش - نصب (رگلاژ پایه)",IF(OR(ISNUMBER(SEARCH("تعویض",G106)),ISNUMBER(SEARCH("تعويض",G106))),"تعویض کامل دستگاه (Replacement)","سایر (نیازمند بررسی دستی)")))))))))))))))))))))))))))))))))))))))))))</f>
        <v/>
      </c>
      <c r="P106" s="124" t="inlineStr">
        <is>
          <t>*</t>
        </is>
      </c>
      <c r="Q106" s="124">
        <f>IF(ISNUMBER(SEARCH("عهده شرکت",F106)),"شرکت",IF(ISNUMBER(SEARCH("عهده مشتري",F106)),"مشتری",IF(ISNUMBER(SEARCH("عهده مشتری",F106)),"مشتری","نامشخص")))</f>
        <v/>
      </c>
      <c r="R106" s="178">
        <f>IF(O106="تعویض کامل دستگاه (Replacement)",IF(SUMIF('قیمت‌ها و مفروضات'!$A$9:$A$13,C106,'قیمت‌ها و مفروضات'!$C$9:$C$13)&lt;&gt;0,SUMIF('قیمت‌ها و مفروضات'!$A$9:$A$13,C106,'قیمت‌ها و مفروضات'!$C$9:$C$13),SUMIF('قیمت‌ها و مفروضات'!$A$9:$A$13,C106,'قیمت‌ها و مفروضات'!$B$9:$B$13)),IF(SUMIF('قیمت‌ها و مفروضات'!$A$18:$A$63,O106,'قیمت‌ها و مفروضات'!$C$18:$C$63)&lt;&gt;0,SUMIF('قیمت‌ها و مفروضات'!$A$18:$A$63,O106,'قیمت‌ها و مفروضات'!$C$18:$C$63),SUMIF('قیمت‌ها و مفروضات'!$A$18:$A$63,O106,'قیمت‌ها و مفروضات'!$B$18:$B$63)))</f>
        <v/>
      </c>
      <c r="S106" s="178">
        <f>'قیمت‌ها و مفروضات'!$B$3+'قیمت‌ها و مفروضات'!$B$4</f>
        <v/>
      </c>
      <c r="T106" s="178">
        <f>R106+S106</f>
        <v/>
      </c>
      <c r="U106" s="178">
        <f>IF(COUNTIF($E$2:E106,E106)&gt;1,"بله (تکراری)","خیر")</f>
        <v/>
      </c>
      <c r="V106" s="178">
        <f>IF(U106="بله (تکراری)",S106,0)</f>
        <v/>
      </c>
      <c r="W106" s="208" t="inlineStr"/>
      <c r="X106" s="208" t="inlineStr"/>
    </row>
    <row r="107" ht="58.5" customHeight="1" s="151">
      <c r="A107" s="176" t="n">
        <v>210012633</v>
      </c>
      <c r="B107" s="124">
        <f>CHOOSE(_xlfn.NUMBERVALUE(MID(H107,6,2)),"فروردین","اردیبهشت","خرداد","تیر","مرداد","شهریور","مهر","آبان","آذر","دی","بهمن","اسفند")</f>
        <v/>
      </c>
      <c r="C107" s="176" t="inlineStr">
        <is>
          <t>ماشين لباسشويي</t>
        </is>
      </c>
      <c r="D107" s="176" t="inlineStr">
        <is>
          <t>CWM-BMW9T1</t>
        </is>
      </c>
      <c r="E107" s="176" t="inlineStr">
        <is>
          <t>52210008N00788</t>
        </is>
      </c>
      <c r="F107" s="173" t="inlineStr">
        <is>
          <t>لرزش و حرکت محصول غيرگارانتي</t>
        </is>
      </c>
      <c r="G107" s="173" t="inlineStr">
        <is>
          <t>تراز پايه تنظيم</t>
        </is>
      </c>
      <c r="H107" s="176" t="inlineStr">
        <is>
          <t>1405/01/16</t>
        </is>
      </c>
      <c r="I107" s="124" t="inlineStr">
        <is>
          <t>1404/02/22</t>
        </is>
      </c>
      <c r="J107" s="124" t="inlineStr">
        <is>
          <t>1404/08/11</t>
        </is>
      </c>
      <c r="K107" s="177">
        <f>IFERROR(VLOOKUP(LEFT(H107,7),'تبدیل تاریخ'!$A$2:$B$73,2,FALSE())+VALUE(RIGHT(H107,2))-1,"")</f>
        <v/>
      </c>
      <c r="L107" s="177">
        <f>IFERROR(VLOOKUP(LEFT(I107,7),'تبدیل تاریخ'!$A$2:$B$73,2,FALSE())+VALUE(RIGHT(I107,2))-1,"")</f>
        <v/>
      </c>
      <c r="M107" s="177">
        <f>IF(J107="","",IFERROR(VLOOKUP(LEFT(J107,7),'تبدیل تاریخ'!$A$2:$B$73,2,FALSE())+VALUE(RIGHT(J107,2))-1,""))</f>
        <v/>
      </c>
      <c r="N107" s="124">
        <f>IF(OR(K107="",M107=""),"",CEILING((K107-M107)/30,1))</f>
        <v/>
      </c>
      <c r="O107" s="124">
        <f>IF(OR(ISNUMBER(SEARCH("بدون مورد",G107)),ISNUMBER(SEARCH("غير گارانتي",G107)),ISNUMBER(SEARCH("غیر گارانتی",G107)),ISNUMBER(SEARCH("بدون اجرت",G107)),ISNUMBER(SEARCH("فيلتر",G107)),ISNUMBER(SEARCH("فیلتر",G107))),"غیرگارانتی/بدون قطعه",IF(OR(ISNUMBER(SEARCH("ريست",G107)),ISNUMBER(SEARCH("ریست",G107))),"ریست نرم‌افزاری (بدون قطعه)",IF(OR(ISNUMBER(SEARCH("تعویض محصول",G107)),ISNUMBER(SEARCH("تعویض دستگاه",G107))),"تعویض کامل دستگاه (Replacement)",IF(ISNUMBER(SEARCH("پمپ",G107)),IF(ISNUMBER(SEARCH("نشت",G107)),"نشتی - پمپ تخلیه (تعمیر/آب‌بندی)","خرابی - پمپ تخلیه (تعویض)"),IF(ISNUMBER(SEARCH("کمپرسور",G107)),"خرابی - کمپرسور (تعویض)",IF(ISNUMBER(SEARCH("کمک فنر",G107)),"خرابی - کمک فنر (تعویض)",IF(ISNUMBER(SEARCH("لولا",G107)),"مکانیزم درب - لولا (تعویض)",IF(OR(ISNUMBER(SEARCH("قلاب",G107)),ISNUMBER(SEARCH("ميکروسوئيچ",G107)),ISNUMBER(SEARCH("میکروسوئیچ",G107))),"مکانیزم درب - میکروسوئیچ/قلاب (تعویض/تنظیم)",IF(ISNUMBER(SEARCH("زبانه",G107)),"مکانیزم درب - زبانه (تعویض)",IF(OR(ISNUMBER(SEARCH("شيلنگ",G107)),ISNUMBER(SEARCH("شیلنگ",G107))),IF(OR(ISNUMBER(SEARCH("نشتی",G107)),ISNUMBER(SEARCH("نشتي",G107))),"نشتی - شیلنگ (تعمیر/آب‌بندی)",IF(OR(ISNUMBER(SEARCH("يخ",G107)),ISNUMBER(SEARCH("یخ",G107))),"شیلنگ یخساز - یخ‌زدگی (بازبینی)","شیلنگ - برخورد/لهیدگی (بازبینی)")),IF(OR(ISNUMBER(SEARCH("تنظيم ديسپل",G107)),ISNUMBER(SEARCH("تنظیم دیسپل",G107)),ISNUMBER(SEARCH("تنظيم صفحه نمايش",G107)),ISNUMBER(SEARCH("تنظیم صفحه نمایش",G107))),"تنظیم - تنظیمات دستگاه/دیسپلی (تعمیر)",IF(OR(ISNUMBER(SEARCH("برد",G107)),ISNUMBER(SEARCH("سوکت",G107)),ISNUMBER(SEARCH("ديسپل",G107)),ISNUMBER(SEARCH("دیسپل",G107))),"خرابی - برد الکترونیک (تعویض)",IF(OR(ISNUMBER(SEARCH("يخساز",G107)),ISNUMBER(SEARCH("یخساز",G107)),ISNUMBER(SEARCH("دمپر",G107))),IF(OR(ISNUMBER(SEARCH("خرابی",G107)),ISNUMBER(SEARCH("خراب",G107)),ISNUMBER(SEARCH("عدم کارکرد",G107)),ISNUMBER(SEARCH("عدم عملکرد",G107))),"یخساز - خرابی موتور/سنسور/برد (تعویض)","یخساز - تنظیم/عایق (تعمیر)"),IF(OR(ISNUMBER(SEARCH("لاستيک",G107)),ISNUMBER(SEARCH("لاستیک",G107))),"لاستیک درزگیر - دفرمگی/پارگی (تعویض)",IF(OR(ISNUMBER(SEARCH("گسکت",G107)),ISNUMBER(SEARCH("گسگت",G107))),"لاستیک درزگیر - دفرمگی/پارگی (تعویض)",IF(ISNUMBER(SEARCH("مخزن نمک",G107)),"نشتی - درب مخزن نمک (تعمیر/آب‌بندی)",IF(ISNUMBER(SEARCH("براکت",G107)),"نشتی - براکت ریل (تعمیر/آب‌بندی)",IF(ISNUMBER(SEARCH("جاپودر",G107)),"نشتی - جاپودری (تعمیر/آب‌بندی)",IF(ISNUMBER(SEARCH("مقسم",G107)),"نشتی - مقسم آب (تعمیر/آب‌بندی)",IF(OR(ISNUMBER(SEARCH("سنسور دما",G107)),ISNUMBER(SEARCH("ترموستات",G107))),"خرابی - ترموستات (تعویض)",IF(OR(ISNUMBER(SEARCH("هيدروستات",G107)),ISNUMBER(SEARCH("هیدروستات",G107))),"خرابی - هیدروستات (تعویض)",IF(OR(ISNUMBER(SEARCH("بلبرينگ",G107)),ISNUMBER(SEARCH("بلبرینگ",G107))),"خرابی - بلبرینگ (تعویض)",IF(OR(ISNUMBER(SEARCH("شيربرق",G107)),ISNUMBER(SEARCH("شیربرق",G107))),"خرابی - شیربرقی (تعویض)",IF(OR(ISNUMBER(SEARCH("واتر جت",G107)),ISNUMBER(SEARCH("واترجت",G107))),"خرابی - واترجت (تعویض)",IF(OR(ISNUMBER(SEARCH("سيم",G107)),ISNUMBER(SEARCH("سیم",G107)),ISNUMBER(SEARCH("اتصال",G107))),"سیم‌کشی/اتصالات (تعویض/بازبینی)",IF(OR(ISNUMBER(SEARCH("تصوير",G107)),ISNUMBER(SEARCH("تصویر",G107))),"برد نمایش تلویزیون (تعویض)",IF(OR(ISNUMBER(SEARCH("ريموت",G107)),ISNUMBER(SEARCH("ریموت",G107))),"ریموت کنترل (تعویض/تعمیر)",IF(OR(ISNUMBER(SEARCH("ال اي دي",G107)),ISNUMBER(SEARCH("ال ای دی",G107)),ISNUMBER(SEARCH("LED",G107))),"خرابی - لامپ/LED داخلی (تعویض)",IF(ISNUMBER(SEARCH("زنگ زدگ",G107)),"زنگ‌زدگی بدنه/قطعه (تعویض)",IF(OR(ISNUMBER(SEARCH("قطعات تزئين",G107)),ISNUMBER(SEARCH("قطعات تزئین",G107))),"قطعات تزئینی - شکستگی/کسری (تعویض)",IF(ISNUMBER(SEARCH("سبد",G107)),"سبد ظرفشویی - شکستگی (تعویض)",IF(ISNUMBER(SEARCH("تاب درام",G107)),"خرابی - تاب برداشتن درام (تعویض)",IF(ISNUMBER(SEARCH("درام",G107)),"خرابی - سایر ایراد درام (تعویض)",IF(ISNUMBER(SEARCH("موتور",G107)),"خرابی - موتور (تعویض)",IF(ISNUMBER(SEARCH("تسمه",G107)),"خرابی - تسمه (تعویض)",IF(OR(ISNUMBER(SEARCH("پيچ ولوم",G107)),ISNUMBER(SEARCH("پیچ ولوم",G107))),"تنظیم - پیچ ولوم/دکمه (تعمیر)",IF(OR(ISNUMBER(SEARCH("کسري قطعات",G107)),ISNUMBER(SEARCH("کسری قطعات",G107))),"کسری قطعات تزئینی (تعویض)",IF(ISNUMBER(SEARCH("پرچ",G107)),"پرچ/بدنه کابین(تعمیر)",IF(OR(ISNUMBER(SEARCH("نشت",G107)),ISNUMBER(SEARCH("آبريزش",G107)),ISNUMBER(SEARCH("آبریزش",G107))),"نشتی آب - محل نامشخص (نیازمند بازدید)",IF(ISNUMBER(SEARCH("درب",G107)),"سایر اجزای درب (بازبینی)",IF(ISNUMBER(SEARCH("ضربه",G107)),"بدنه/کابین - ضربه (بازبینی/تعویض پنل)",IF(ISNUMBER(SEARCH("تراز",G107)),"تراز/لرزش - نصب (رگلاژ پایه)",IF(OR(ISNUMBER(SEARCH("تعویض",G107)),ISNUMBER(SEARCH("تعويض",G107))),"تعویض کامل دستگاه (Replacement)","سایر (نیازمند بررسی دستی)")))))))))))))))))))))))))))))))))))))))))))</f>
        <v/>
      </c>
      <c r="P107" s="124" t="inlineStr">
        <is>
          <t>رگلاژ پایه تنظیم لباسشویی</t>
        </is>
      </c>
      <c r="Q107" s="124">
        <f>IF(ISNUMBER(SEARCH("عهده شرکت",F107)),"شرکت",IF(ISNUMBER(SEARCH("عهده مشتري",F107)),"مشتری",IF(ISNUMBER(SEARCH("عهده مشتری",F107)),"مشتری","نامشخص")))</f>
        <v/>
      </c>
      <c r="R107" s="178">
        <f>IF(O107="تعویض کامل دستگاه (Replacement)",IF(SUMIF('قیمت‌ها و مفروضات'!$A$9:$A$13,C107,'قیمت‌ها و مفروضات'!$C$9:$C$13)&lt;&gt;0,SUMIF('قیمت‌ها و مفروضات'!$A$9:$A$13,C107,'قیمت‌ها و مفروضات'!$C$9:$C$13),SUMIF('قیمت‌ها و مفروضات'!$A$9:$A$13,C107,'قیمت‌ها و مفروضات'!$B$9:$B$13)),IF(SUMIF('قیمت‌ها و مفروضات'!$A$18:$A$63,O107,'قیمت‌ها و مفروضات'!$C$18:$C$63)&lt;&gt;0,SUMIF('قیمت‌ها و مفروضات'!$A$18:$A$63,O107,'قیمت‌ها و مفروضات'!$C$18:$C$63),SUMIF('قیمت‌ها و مفروضات'!$A$18:$A$63,O107,'قیمت‌ها و مفروضات'!$B$18:$B$63)))</f>
        <v/>
      </c>
      <c r="S107" s="178">
        <f>'قیمت‌ها و مفروضات'!$B$3+'قیمت‌ها و مفروضات'!$B$4</f>
        <v/>
      </c>
      <c r="T107" s="178">
        <f>R107+S107</f>
        <v/>
      </c>
      <c r="U107" s="178">
        <f>IF(COUNTIF($E$2:E107,E107)&gt;1,"بله (تکراری)","خیر")</f>
        <v/>
      </c>
      <c r="V107" s="178">
        <f>IF(U107="بله (تکراری)",S107,0)</f>
        <v/>
      </c>
      <c r="W107" s="208" t="inlineStr"/>
      <c r="X107" s="208" t="inlineStr"/>
    </row>
    <row r="108" ht="58.5" customHeight="1" s="151">
      <c r="A108" s="176" t="n">
        <v>130004233</v>
      </c>
      <c r="B108" s="124">
        <f>CHOOSE(_xlfn.NUMBERVALUE(MID(H108,6,2)),"فروردین","اردیبهشت","خرداد","تیر","مرداد","شهریور","مهر","آبان","آذر","دی","بهمن","اسفند")</f>
        <v/>
      </c>
      <c r="C108" s="176" t="inlineStr">
        <is>
          <t>ماشين ظرفشويي</t>
        </is>
      </c>
      <c r="D108" s="176" t="inlineStr">
        <is>
          <t>CDW-H15V</t>
        </is>
      </c>
      <c r="E108" s="176" t="inlineStr">
        <is>
          <t>52220003N00768</t>
        </is>
      </c>
      <c r="F108" s="173" t="inlineStr">
        <is>
          <t>کسري قطعات تزئيني کابين - کد قطعه در ليست اقدامات درج مي گردد. اياب و ذهاب به عهده شرکت</t>
        </is>
      </c>
      <c r="G108" s="173" t="inlineStr">
        <is>
          <t>کسري قطعات تزئيني داخل کابين - ظرفشويي</t>
        </is>
      </c>
      <c r="H108" s="176" t="inlineStr">
        <is>
          <t>1405/01/16</t>
        </is>
      </c>
      <c r="I108" s="124" t="inlineStr">
        <is>
          <t>1403/04/04</t>
        </is>
      </c>
      <c r="J108" s="124" t="inlineStr">
        <is>
          <t>1405/01/08</t>
        </is>
      </c>
      <c r="K108" s="177">
        <f>IFERROR(VLOOKUP(LEFT(H108,7),'تبدیل تاریخ'!$A$2:$B$73,2,FALSE())+VALUE(RIGHT(H108,2))-1,"")</f>
        <v/>
      </c>
      <c r="L108" s="177">
        <f>IFERROR(VLOOKUP(LEFT(I108,7),'تبدیل تاریخ'!$A$2:$B$73,2,FALSE())+VALUE(RIGHT(I108,2))-1,"")</f>
        <v/>
      </c>
      <c r="M108" s="177">
        <f>IF(J108="","",IFERROR(VLOOKUP(LEFT(J108,7),'تبدیل تاریخ'!$A$2:$B$73,2,FALSE())+VALUE(RIGHT(J108,2))-1,""))</f>
        <v/>
      </c>
      <c r="N108" s="124">
        <f>IF(OR(K108="",M108=""),"",CEILING((K108-M108)/30,1))</f>
        <v/>
      </c>
      <c r="O108" s="124">
        <f>IF(OR(ISNUMBER(SEARCH("بدون مورد",G108)),ISNUMBER(SEARCH("غير گارانتي",G108)),ISNUMBER(SEARCH("غیر گارانتی",G108)),ISNUMBER(SEARCH("بدون اجرت",G108)),ISNUMBER(SEARCH("فيلتر",G108)),ISNUMBER(SEARCH("فیلتر",G108))),"غیرگارانتی/بدون قطعه",IF(OR(ISNUMBER(SEARCH("ريست",G108)),ISNUMBER(SEARCH("ریست",G108))),"ریست نرم‌افزاری (بدون قطعه)",IF(OR(ISNUMBER(SEARCH("تعویض محصول",G108)),ISNUMBER(SEARCH("تعویض دستگاه",G108))),"تعویض کامل دستگاه (Replacement)",IF(ISNUMBER(SEARCH("پمپ",G108)),IF(ISNUMBER(SEARCH("نشت",G108)),"نشتی - پمپ تخلیه (تعمیر/آب‌بندی)","خرابی - پمپ تخلیه (تعویض)"),IF(ISNUMBER(SEARCH("کمپرسور",G108)),"خرابی - کمپرسور (تعویض)",IF(ISNUMBER(SEARCH("کمک فنر",G108)),"خرابی - کمک فنر (تعویض)",IF(ISNUMBER(SEARCH("لولا",G108)),"مکانیزم درب - لولا (تعویض)",IF(OR(ISNUMBER(SEARCH("قلاب",G108)),ISNUMBER(SEARCH("ميکروسوئيچ",G108)),ISNUMBER(SEARCH("میکروسوئیچ",G108))),"مکانیزم درب - میکروسوئیچ/قلاب (تعویض/تنظیم)",IF(ISNUMBER(SEARCH("زبانه",G108)),"مکانیزم درب - زبانه (تعویض)",IF(OR(ISNUMBER(SEARCH("شيلنگ",G108)),ISNUMBER(SEARCH("شیلنگ",G108))),IF(OR(ISNUMBER(SEARCH("نشتی",G108)),ISNUMBER(SEARCH("نشتي",G108))),"نشتی - شیلنگ (تعمیر/آب‌بندی)",IF(OR(ISNUMBER(SEARCH("يخ",G108)),ISNUMBER(SEARCH("یخ",G108))),"شیلنگ یخساز - یخ‌زدگی (بازبینی)","شیلنگ - برخورد/لهیدگی (بازبینی)")),IF(OR(ISNUMBER(SEARCH("تنظيم ديسپل",G108)),ISNUMBER(SEARCH("تنظیم دیسپل",G108)),ISNUMBER(SEARCH("تنظيم صفحه نمايش",G108)),ISNUMBER(SEARCH("تنظیم صفحه نمایش",G108))),"تنظیم - تنظیمات دستگاه/دیسپلی (تعمیر)",IF(OR(ISNUMBER(SEARCH("برد",G108)),ISNUMBER(SEARCH("سوکت",G108)),ISNUMBER(SEARCH("ديسپل",G108)),ISNUMBER(SEARCH("دیسپل",G108))),"خرابی - برد الکترونیک (تعویض)",IF(OR(ISNUMBER(SEARCH("يخساز",G108)),ISNUMBER(SEARCH("یخساز",G108)),ISNUMBER(SEARCH("دمپر",G108))),IF(OR(ISNUMBER(SEARCH("خرابی",G108)),ISNUMBER(SEARCH("خراب",G108)),ISNUMBER(SEARCH("عدم کارکرد",G108)),ISNUMBER(SEARCH("عدم عملکرد",G108))),"یخساز - خرابی موتور/سنسور/برد (تعویض)","یخساز - تنظیم/عایق (تعمیر)"),IF(OR(ISNUMBER(SEARCH("لاستيک",G108)),ISNUMBER(SEARCH("لاستیک",G108))),"لاستیک درزگیر - دفرمگی/پارگی (تعویض)",IF(OR(ISNUMBER(SEARCH("گسکت",G108)),ISNUMBER(SEARCH("گسگت",G108))),"لاستیک درزگیر - دفرمگی/پارگی (تعویض)",IF(ISNUMBER(SEARCH("مخزن نمک",G108)),"نشتی - درب مخزن نمک (تعمیر/آب‌بندی)",IF(ISNUMBER(SEARCH("براکت",G108)),"نشتی - براکت ریل (تعمیر/آب‌بندی)",IF(ISNUMBER(SEARCH("جاپودر",G108)),"نشتی - جاپودری (تعمیر/آب‌بندی)",IF(ISNUMBER(SEARCH("مقسم",G108)),"نشتی - مقسم آب (تعمیر/آب‌بندی)",IF(OR(ISNUMBER(SEARCH("سنسور دما",G108)),ISNUMBER(SEARCH("ترموستات",G108))),"خرابی - ترموستات (تعویض)",IF(OR(ISNUMBER(SEARCH("هيدروستات",G108)),ISNUMBER(SEARCH("هیدروستات",G108))),"خرابی - هیدروستات (تعویض)",IF(OR(ISNUMBER(SEARCH("بلبرينگ",G108)),ISNUMBER(SEARCH("بلبرینگ",G108))),"خرابی - بلبرینگ (تعویض)",IF(OR(ISNUMBER(SEARCH("شيربرق",G108)),ISNUMBER(SEARCH("شیربرق",G108))),"خرابی - شیربرقی (تعویض)",IF(OR(ISNUMBER(SEARCH("واتر جت",G108)),ISNUMBER(SEARCH("واترجت",G108))),"خرابی - واترجت (تعویض)",IF(OR(ISNUMBER(SEARCH("سيم",G108)),ISNUMBER(SEARCH("سیم",G108)),ISNUMBER(SEARCH("اتصال",G108))),"سیم‌کشی/اتصالات (تعویض/بازبینی)",IF(OR(ISNUMBER(SEARCH("تصوير",G108)),ISNUMBER(SEARCH("تصویر",G108))),"برد نمایش تلویزیون (تعویض)",IF(OR(ISNUMBER(SEARCH("ريموت",G108)),ISNUMBER(SEARCH("ریموت",G108))),"ریموت کنترل (تعویض/تعمیر)",IF(OR(ISNUMBER(SEARCH("ال اي دي",G108)),ISNUMBER(SEARCH("ال ای دی",G108)),ISNUMBER(SEARCH("LED",G108))),"خرابی - لامپ/LED داخلی (تعویض)",IF(ISNUMBER(SEARCH("زنگ زدگ",G108)),"زنگ‌زدگی بدنه/قطعه (تعویض)",IF(OR(ISNUMBER(SEARCH("قطعات تزئين",G108)),ISNUMBER(SEARCH("قطعات تزئین",G108))),"قطعات تزئینی - شکستگی/کسری (تعویض)",IF(ISNUMBER(SEARCH("سبد",G108)),"سبد ظرفشویی - شکستگی (تعویض)",IF(ISNUMBER(SEARCH("تاب درام",G108)),"خرابی - تاب برداشتن درام (تعویض)",IF(ISNUMBER(SEARCH("درام",G108)),"خرابی - سایر ایراد درام (تعویض)",IF(ISNUMBER(SEARCH("موتور",G108)),"خرابی - موتور (تعویض)",IF(ISNUMBER(SEARCH("تسمه",G108)),"خرابی - تسمه (تعویض)",IF(OR(ISNUMBER(SEARCH("پيچ ولوم",G108)),ISNUMBER(SEARCH("پیچ ولوم",G108))),"تنظیم - پیچ ولوم/دکمه (تعمیر)",IF(OR(ISNUMBER(SEARCH("کسري قطعات",G108)),ISNUMBER(SEARCH("کسری قطعات",G108))),"کسری قطعات تزئینی (تعویض)",IF(ISNUMBER(SEARCH("پرچ",G108)),"پرچ/بدنه کابین(تعمیر)",IF(OR(ISNUMBER(SEARCH("نشت",G108)),ISNUMBER(SEARCH("آبريزش",G108)),ISNUMBER(SEARCH("آبریزش",G108))),"نشتی آب - محل نامشخص (نیازمند بازدید)",IF(ISNUMBER(SEARCH("درب",G108)),"سایر اجزای درب (بازبینی)",IF(ISNUMBER(SEARCH("ضربه",G108)),"بدنه/کابین - ضربه (بازبینی/تعویض پنل)",IF(ISNUMBER(SEARCH("تراز",G108)),"تراز/لرزش - نصب (رگلاژ پایه)",IF(OR(ISNUMBER(SEARCH("تعویض",G108)),ISNUMBER(SEARCH("تعويض",G108))),"تعویض کامل دستگاه (Replacement)","سایر (نیازمند بررسی دستی)")))))))))))))))))))))))))))))))))))))))))))</f>
        <v/>
      </c>
      <c r="P108" s="124" t="inlineStr">
        <is>
          <t>*</t>
        </is>
      </c>
      <c r="Q108" s="124">
        <f>IF(ISNUMBER(SEARCH("عهده شرکت",F108)),"شرکت",IF(ISNUMBER(SEARCH("عهده مشتري",F108)),"مشتری",IF(ISNUMBER(SEARCH("عهده مشتری",F108)),"مشتری","نامشخص")))</f>
        <v/>
      </c>
      <c r="R108" s="178">
        <f>IF(O108="تعویض کامل دستگاه (Replacement)",IF(SUMIF('قیمت‌ها و مفروضات'!$A$9:$A$13,C108,'قیمت‌ها و مفروضات'!$C$9:$C$13)&lt;&gt;0,SUMIF('قیمت‌ها و مفروضات'!$A$9:$A$13,C108,'قیمت‌ها و مفروضات'!$C$9:$C$13),SUMIF('قیمت‌ها و مفروضات'!$A$9:$A$13,C108,'قیمت‌ها و مفروضات'!$B$9:$B$13)),IF(SUMIF('قیمت‌ها و مفروضات'!$A$18:$A$63,O108,'قیمت‌ها و مفروضات'!$C$18:$C$63)&lt;&gt;0,SUMIF('قیمت‌ها و مفروضات'!$A$18:$A$63,O108,'قیمت‌ها و مفروضات'!$C$18:$C$63),SUMIF('قیمت‌ها و مفروضات'!$A$18:$A$63,O108,'قیمت‌ها و مفروضات'!$B$18:$B$63)))</f>
        <v/>
      </c>
      <c r="S108" s="178">
        <f>'قیمت‌ها و مفروضات'!$B$3+'قیمت‌ها و مفروضات'!$B$4</f>
        <v/>
      </c>
      <c r="T108" s="178">
        <f>R108+S108</f>
        <v/>
      </c>
      <c r="U108" s="178">
        <f>IF(COUNTIF($E$2:E108,E108)&gt;1,"بله (تکراری)","خیر")</f>
        <v/>
      </c>
      <c r="V108" s="178">
        <f>IF(U108="بله (تکراری)",S108,0)</f>
        <v/>
      </c>
      <c r="W108" s="208" t="inlineStr"/>
      <c r="X108" s="208" t="inlineStr"/>
    </row>
    <row r="109" ht="58.5" customHeight="1" s="151">
      <c r="A109" s="176" t="n">
        <v>100003885</v>
      </c>
      <c r="B109" s="124">
        <f>CHOOSE(_xlfn.NUMBERVALUE(MID(H109,6,2)),"فروردین","اردیبهشت","خرداد","تیر","مرداد","شهریور","مهر","آبان","آذر","دی","بهمن","اسفند")</f>
        <v/>
      </c>
      <c r="C109" s="176" t="inlineStr">
        <is>
          <t>تلویزیون</t>
        </is>
      </c>
      <c r="D109" s="176" t="inlineStr">
        <is>
          <t>CTV-65UHJS2</t>
        </is>
      </c>
      <c r="E109" s="176" t="inlineStr">
        <is>
          <t>52230004N00236</t>
        </is>
      </c>
      <c r="F109" s="173" t="inlineStr">
        <is>
          <t>عدم عملکرد ريموت کنترل**اياب و ذهاب به عهده شرکت</t>
        </is>
      </c>
      <c r="G109" s="173" t="inlineStr">
        <is>
          <t>ايراد در ريموت کنترل</t>
        </is>
      </c>
      <c r="H109" s="176" t="inlineStr">
        <is>
          <t>1405/01/17</t>
        </is>
      </c>
      <c r="I109" s="124" t="inlineStr">
        <is>
          <t>1403/11/29</t>
        </is>
      </c>
      <c r="J109" s="124" t="inlineStr">
        <is>
          <t>1404/02/14</t>
        </is>
      </c>
      <c r="K109" s="177">
        <f>IFERROR(VLOOKUP(LEFT(H109,7),'تبدیل تاریخ'!$A$2:$B$73,2,FALSE())+VALUE(RIGHT(H109,2))-1,"")</f>
        <v/>
      </c>
      <c r="L109" s="177">
        <f>IFERROR(VLOOKUP(LEFT(I109,7),'تبدیل تاریخ'!$A$2:$B$73,2,FALSE())+VALUE(RIGHT(I109,2))-1,"")</f>
        <v/>
      </c>
      <c r="M109" s="177">
        <f>IF(J109="","",IFERROR(VLOOKUP(LEFT(J109,7),'تبدیل تاریخ'!$A$2:$B$73,2,FALSE())+VALUE(RIGHT(J109,2))-1,""))</f>
        <v/>
      </c>
      <c r="N109" s="124">
        <f>IF(OR(K109="",M109=""),"",CEILING((K109-M109)/30,1))</f>
        <v/>
      </c>
      <c r="O109" s="124">
        <f>IF(OR(ISNUMBER(SEARCH("بدون مورد",G109)),ISNUMBER(SEARCH("غير گارانتي",G109)),ISNUMBER(SEARCH("غیر گارانتی",G109)),ISNUMBER(SEARCH("بدون اجرت",G109)),ISNUMBER(SEARCH("فيلتر",G109)),ISNUMBER(SEARCH("فیلتر",G109))),"غیرگارانتی/بدون قطعه",IF(OR(ISNUMBER(SEARCH("ريست",G109)),ISNUMBER(SEARCH("ریست",G109))),"ریست نرم‌افزاری (بدون قطعه)",IF(OR(ISNUMBER(SEARCH("تعویض محصول",G109)),ISNUMBER(SEARCH("تعویض دستگاه",G109))),"تعویض کامل دستگاه (Replacement)",IF(ISNUMBER(SEARCH("پمپ",G109)),IF(ISNUMBER(SEARCH("نشت",G109)),"نشتی - پمپ تخلیه (تعمیر/آب‌بندی)","خرابی - پمپ تخلیه (تعویض)"),IF(ISNUMBER(SEARCH("کمپرسور",G109)),"خرابی - کمپرسور (تعویض)",IF(ISNUMBER(SEARCH("کمک فنر",G109)),"خرابی - کمک فنر (تعویض)",IF(ISNUMBER(SEARCH("لولا",G109)),"مکانیزم درب - لولا (تعویض)",IF(OR(ISNUMBER(SEARCH("قلاب",G109)),ISNUMBER(SEARCH("ميکروسوئيچ",G109)),ISNUMBER(SEARCH("میکروسوئیچ",G109))),"مکانیزم درب - میکروسوئیچ/قلاب (تعویض/تنظیم)",IF(ISNUMBER(SEARCH("زبانه",G109)),"مکانیزم درب - زبانه (تعویض)",IF(OR(ISNUMBER(SEARCH("شيلنگ",G109)),ISNUMBER(SEARCH("شیلنگ",G109))),IF(OR(ISNUMBER(SEARCH("نشتی",G109)),ISNUMBER(SEARCH("نشتي",G109))),"نشتی - شیلنگ (تعمیر/آب‌بندی)",IF(OR(ISNUMBER(SEARCH("يخ",G109)),ISNUMBER(SEARCH("یخ",G109))),"شیلنگ یخساز - یخ‌زدگی (بازبینی)","شیلنگ - برخورد/لهیدگی (بازبینی)")),IF(OR(ISNUMBER(SEARCH("تنظيم ديسپل",G109)),ISNUMBER(SEARCH("تنظیم دیسپل",G109)),ISNUMBER(SEARCH("تنظيم صفحه نمايش",G109)),ISNUMBER(SEARCH("تنظیم صفحه نمایش",G109))),"تنظیم - تنظیمات دستگاه/دیسپلی (تعمیر)",IF(OR(ISNUMBER(SEARCH("برد",G109)),ISNUMBER(SEARCH("سوکت",G109)),ISNUMBER(SEARCH("ديسپل",G109)),ISNUMBER(SEARCH("دیسپل",G109))),"خرابی - برد الکترونیک (تعویض)",IF(OR(ISNUMBER(SEARCH("يخساز",G109)),ISNUMBER(SEARCH("یخساز",G109)),ISNUMBER(SEARCH("دمپر",G109))),IF(OR(ISNUMBER(SEARCH("خرابی",G109)),ISNUMBER(SEARCH("خراب",G109)),ISNUMBER(SEARCH("عدم کارکرد",G109)),ISNUMBER(SEARCH("عدم عملکرد",G109))),"یخساز - خرابی موتور/سنسور/برد (تعویض)","یخساز - تنظیم/عایق (تعمیر)"),IF(OR(ISNUMBER(SEARCH("لاستيک",G109)),ISNUMBER(SEARCH("لاستیک",G109))),"لاستیک درزگیر - دفرمگی/پارگی (تعویض)",IF(OR(ISNUMBER(SEARCH("گسکت",G109)),ISNUMBER(SEARCH("گسگت",G109))),"لاستیک درزگیر - دفرمگی/پارگی (تعویض)",IF(ISNUMBER(SEARCH("مخزن نمک",G109)),"نشتی - درب مخزن نمک (تعمیر/آب‌بندی)",IF(ISNUMBER(SEARCH("براکت",G109)),"نشتی - براکت ریل (تعمیر/آب‌بندی)",IF(ISNUMBER(SEARCH("جاپودر",G109)),"نشتی - جاپودری (تعمیر/آب‌بندی)",IF(ISNUMBER(SEARCH("مقسم",G109)),"نشتی - مقسم آب (تعمیر/آب‌بندی)",IF(OR(ISNUMBER(SEARCH("سنسور دما",G109)),ISNUMBER(SEARCH("ترموستات",G109))),"خرابی - ترموستات (تعویض)",IF(OR(ISNUMBER(SEARCH("هيدروستات",G109)),ISNUMBER(SEARCH("هیدروستات",G109))),"خرابی - هیدروستات (تعویض)",IF(OR(ISNUMBER(SEARCH("بلبرينگ",G109)),ISNUMBER(SEARCH("بلبرینگ",G109))),"خرابی - بلبرینگ (تعویض)",IF(OR(ISNUMBER(SEARCH("شيربرق",G109)),ISNUMBER(SEARCH("شیربرق",G109))),"خرابی - شیربرقی (تعویض)",IF(OR(ISNUMBER(SEARCH("واتر جت",G109)),ISNUMBER(SEARCH("واترجت",G109))),"خرابی - واترجت (تعویض)",IF(OR(ISNUMBER(SEARCH("سيم",G109)),ISNUMBER(SEARCH("سیم",G109)),ISNUMBER(SEARCH("اتصال",G109))),"سیم‌کشی/اتصالات (تعویض/بازبینی)",IF(OR(ISNUMBER(SEARCH("تصوير",G109)),ISNUMBER(SEARCH("تصویر",G109))),"برد نمایش تلویزیون (تعویض)",IF(OR(ISNUMBER(SEARCH("ريموت",G109)),ISNUMBER(SEARCH("ریموت",G109))),"ریموت کنترل (تعویض/تعمیر)",IF(OR(ISNUMBER(SEARCH("ال اي دي",G109)),ISNUMBER(SEARCH("ال ای دی",G109)),ISNUMBER(SEARCH("LED",G109))),"خرابی - لامپ/LED داخلی (تعویض)",IF(ISNUMBER(SEARCH("زنگ زدگ",G109)),"زنگ‌زدگی بدنه/قطعه (تعویض)",IF(OR(ISNUMBER(SEARCH("قطعات تزئين",G109)),ISNUMBER(SEARCH("قطعات تزئین",G109))),"قطعات تزئینی - شکستگی/کسری (تعویض)",IF(ISNUMBER(SEARCH("سبد",G109)),"سبد ظرفشویی - شکستگی (تعویض)",IF(ISNUMBER(SEARCH("تاب درام",G109)),"خرابی - تاب برداشتن درام (تعویض)",IF(ISNUMBER(SEARCH("درام",G109)),"خرابی - سایر ایراد درام (تعویض)",IF(ISNUMBER(SEARCH("موتور",G109)),"خرابی - موتور (تعویض)",IF(ISNUMBER(SEARCH("تسمه",G109)),"خرابی - تسمه (تعویض)",IF(OR(ISNUMBER(SEARCH("پيچ ولوم",G109)),ISNUMBER(SEARCH("پیچ ولوم",G109))),"تنظیم - پیچ ولوم/دکمه (تعمیر)",IF(OR(ISNUMBER(SEARCH("کسري قطعات",G109)),ISNUMBER(SEARCH("کسری قطعات",G109))),"کسری قطعات تزئینی (تعویض)",IF(ISNUMBER(SEARCH("پرچ",G109)),"پرچ/بدنه کابین(تعمیر)",IF(OR(ISNUMBER(SEARCH("نشت",G109)),ISNUMBER(SEARCH("آبريزش",G109)),ISNUMBER(SEARCH("آبریزش",G109))),"نشتی آب - محل نامشخص (نیازمند بازدید)",IF(ISNUMBER(SEARCH("درب",G109)),"سایر اجزای درب (بازبینی)",IF(ISNUMBER(SEARCH("ضربه",G109)),"بدنه/کابین - ضربه (بازبینی/تعویض پنل)",IF(ISNUMBER(SEARCH("تراز",G109)),"تراز/لرزش - نصب (رگلاژ پایه)",IF(OR(ISNUMBER(SEARCH("تعویض",G109)),ISNUMBER(SEARCH("تعويض",G109))),"تعویض کامل دستگاه (Replacement)","سایر (نیازمند بررسی دستی)")))))))))))))))))))))))))))))))))))))))))))</f>
        <v/>
      </c>
      <c r="P109" s="124" t="inlineStr">
        <is>
          <t>*</t>
        </is>
      </c>
      <c r="Q109" s="124">
        <f>IF(ISNUMBER(SEARCH("عهده شرکت",F109)),"شرکت",IF(ISNUMBER(SEARCH("عهده مشتري",F109)),"مشتری",IF(ISNUMBER(SEARCH("عهده مشتری",F109)),"مشتری","نامشخص")))</f>
        <v/>
      </c>
      <c r="R109" s="178">
        <f>IF(O109="تعویض کامل دستگاه (Replacement)",IF(SUMIF('قیمت‌ها و مفروضات'!$A$9:$A$13,C109,'قیمت‌ها و مفروضات'!$C$9:$C$13)&lt;&gt;0,SUMIF('قیمت‌ها و مفروضات'!$A$9:$A$13,C109,'قیمت‌ها و مفروضات'!$C$9:$C$13),SUMIF('قیمت‌ها و مفروضات'!$A$9:$A$13,C109,'قیمت‌ها و مفروضات'!$B$9:$B$13)),IF(SUMIF('قیمت‌ها و مفروضات'!$A$18:$A$63,O109,'قیمت‌ها و مفروضات'!$C$18:$C$63)&lt;&gt;0,SUMIF('قیمت‌ها و مفروضات'!$A$18:$A$63,O109,'قیمت‌ها و مفروضات'!$C$18:$C$63),SUMIF('قیمت‌ها و مفروضات'!$A$18:$A$63,O109,'قیمت‌ها و مفروضات'!$B$18:$B$63)))</f>
        <v/>
      </c>
      <c r="S109" s="178">
        <f>'قیمت‌ها و مفروضات'!$B$3+'قیمت‌ها و مفروضات'!$B$4</f>
        <v/>
      </c>
      <c r="T109" s="178">
        <f>R109+S109</f>
        <v/>
      </c>
      <c r="U109" s="178">
        <f>IF(COUNTIF($E$2:E109,E109)&gt;1,"بله (تکراری)","خیر")</f>
        <v/>
      </c>
      <c r="V109" s="178">
        <f>IF(U109="بله (تکراری)",S109,0)</f>
        <v/>
      </c>
      <c r="W109" s="208" t="inlineStr"/>
      <c r="X109" s="208" t="inlineStr"/>
    </row>
    <row r="110" ht="58.5" customHeight="1" s="151">
      <c r="A110" s="176" t="n">
        <v>310000301</v>
      </c>
      <c r="B110" s="124">
        <f>CHOOSE(_xlfn.NUMBERVALUE(MID(H110,6,2)),"فروردین","اردیبهشت","خرداد","تیر","مرداد","شهریور","مهر","آبان","آذر","دی","بهمن","اسفند")</f>
        <v/>
      </c>
      <c r="C110" s="176" t="inlineStr">
        <is>
          <t>یخچال ساید‌بای‌ساید</t>
        </is>
      </c>
      <c r="D110" s="176" t="inlineStr">
        <is>
          <t>C2S-29HS1</t>
        </is>
      </c>
      <c r="E110" s="176" t="inlineStr">
        <is>
          <t>210120001N00311</t>
        </is>
      </c>
      <c r="F110" s="173" t="inlineStr">
        <is>
          <t>عدم کارکرد يخساز**اياب و ذهاب به عهده مشتري</t>
        </is>
      </c>
      <c r="G110" s="173" t="inlineStr">
        <is>
          <t>شکستگي کاور بالاي يخساز - سايد باي سايد</t>
        </is>
      </c>
      <c r="H110" s="176" t="inlineStr">
        <is>
          <t>1405/01/17</t>
        </is>
      </c>
      <c r="I110" s="124" t="inlineStr">
        <is>
          <t>1403/03/06</t>
        </is>
      </c>
      <c r="J110" s="124" t="inlineStr">
        <is>
          <t>1403/10/18</t>
        </is>
      </c>
      <c r="K110" s="177">
        <f>IFERROR(VLOOKUP(LEFT(H110,7),'تبدیل تاریخ'!$A$2:$B$73,2,FALSE())+VALUE(RIGHT(H110,2))-1,"")</f>
        <v/>
      </c>
      <c r="L110" s="177">
        <f>IFERROR(VLOOKUP(LEFT(I110,7),'تبدیل تاریخ'!$A$2:$B$73,2,FALSE())+VALUE(RIGHT(I110,2))-1,"")</f>
        <v/>
      </c>
      <c r="M110" s="177">
        <f>IF(J110="","",IFERROR(VLOOKUP(LEFT(J110,7),'تبدیل تاریخ'!$A$2:$B$73,2,FALSE())+VALUE(RIGHT(J110,2))-1,""))</f>
        <v/>
      </c>
      <c r="N110" s="124">
        <f>IF(OR(K110="",M110=""),"",CEILING((K110-M110)/30,1))</f>
        <v/>
      </c>
      <c r="O110" s="124">
        <f>IF(OR(ISNUMBER(SEARCH("بدون مورد",G110)),ISNUMBER(SEARCH("غير گارانتي",G110)),ISNUMBER(SEARCH("غیر گارانتی",G110)),ISNUMBER(SEARCH("بدون اجرت",G110)),ISNUMBER(SEARCH("فيلتر",G110)),ISNUMBER(SEARCH("فیلتر",G110))),"غیرگارانتی/بدون قطعه",IF(OR(ISNUMBER(SEARCH("ريست",G110)),ISNUMBER(SEARCH("ریست",G110))),"ریست نرم‌افزاری (بدون قطعه)",IF(OR(ISNUMBER(SEARCH("تعویض محصول",G110)),ISNUMBER(SEARCH("تعویض دستگاه",G110))),"تعویض کامل دستگاه (Replacement)",IF(ISNUMBER(SEARCH("پمپ",G110)),IF(ISNUMBER(SEARCH("نشت",G110)),"نشتی - پمپ تخلیه (تعمیر/آب‌بندی)","خرابی - پمپ تخلیه (تعویض)"),IF(ISNUMBER(SEARCH("کمپرسور",G110)),"خرابی - کمپرسور (تعویض)",IF(ISNUMBER(SEARCH("کمک فنر",G110)),"خرابی - کمک فنر (تعویض)",IF(ISNUMBER(SEARCH("لولا",G110)),"مکانیزم درب - لولا (تعویض)",IF(OR(ISNUMBER(SEARCH("قلاب",G110)),ISNUMBER(SEARCH("ميکروسوئيچ",G110)),ISNUMBER(SEARCH("میکروسوئیچ",G110))),"مکانیزم درب - میکروسوئیچ/قلاب (تعویض/تنظیم)",IF(ISNUMBER(SEARCH("زبانه",G110)),"مکانیزم درب - زبانه (تعویض)",IF(OR(ISNUMBER(SEARCH("شيلنگ",G110)),ISNUMBER(SEARCH("شیلنگ",G110))),IF(OR(ISNUMBER(SEARCH("نشتی",G110)),ISNUMBER(SEARCH("نشتي",G110))),"نشتی - شیلنگ (تعمیر/آب‌بندی)",IF(OR(ISNUMBER(SEARCH("يخ",G110)),ISNUMBER(SEARCH("یخ",G110))),"شیلنگ یخساز - یخ‌زدگی (بازبینی)","شیلنگ - برخورد/لهیدگی (بازبینی)")),IF(OR(ISNUMBER(SEARCH("تنظيم ديسپل",G110)),ISNUMBER(SEARCH("تنظیم دیسپل",G110)),ISNUMBER(SEARCH("تنظيم صفحه نمايش",G110)),ISNUMBER(SEARCH("تنظیم صفحه نمایش",G110))),"تنظیم - تنظیمات دستگاه/دیسپلی (تعمیر)",IF(OR(ISNUMBER(SEARCH("برد",G110)),ISNUMBER(SEARCH("سوکت",G110)),ISNUMBER(SEARCH("ديسپل",G110)),ISNUMBER(SEARCH("دیسپل",G110))),"خرابی - برد الکترونیک (تعویض)",IF(OR(ISNUMBER(SEARCH("يخساز",G110)),ISNUMBER(SEARCH("یخساز",G110)),ISNUMBER(SEARCH("دمپر",G110))),IF(OR(ISNUMBER(SEARCH("خرابی",G110)),ISNUMBER(SEARCH("خراب",G110)),ISNUMBER(SEARCH("عدم کارکرد",G110)),ISNUMBER(SEARCH("عدم عملکرد",G110))),"یخساز - خرابی موتور/سنسور/برد (تعویض)","یخساز - تنظیم/عایق (تعمیر)"),IF(OR(ISNUMBER(SEARCH("لاستيک",G110)),ISNUMBER(SEARCH("لاستیک",G110))),"لاستیک درزگیر - دفرمگی/پارگی (تعویض)",IF(OR(ISNUMBER(SEARCH("گسکت",G110)),ISNUMBER(SEARCH("گسگت",G110))),"لاستیک درزگیر - دفرمگی/پارگی (تعویض)",IF(ISNUMBER(SEARCH("مخزن نمک",G110)),"نشتی - درب مخزن نمک (تعمیر/آب‌بندی)",IF(ISNUMBER(SEARCH("براکت",G110)),"نشتی - براکت ریل (تعمیر/آب‌بندی)",IF(ISNUMBER(SEARCH("جاپودر",G110)),"نشتی - جاپودری (تعمیر/آب‌بندی)",IF(ISNUMBER(SEARCH("مقسم",G110)),"نشتی - مقسم آب (تعمیر/آب‌بندی)",IF(OR(ISNUMBER(SEARCH("سنسور دما",G110)),ISNUMBER(SEARCH("ترموستات",G110))),"خرابی - ترموستات (تعویض)",IF(OR(ISNUMBER(SEARCH("هيدروستات",G110)),ISNUMBER(SEARCH("هیدروستات",G110))),"خرابی - هیدروستات (تعویض)",IF(OR(ISNUMBER(SEARCH("بلبرينگ",G110)),ISNUMBER(SEARCH("بلبرینگ",G110))),"خرابی - بلبرینگ (تعویض)",IF(OR(ISNUMBER(SEARCH("شيربرق",G110)),ISNUMBER(SEARCH("شیربرق",G110))),"خرابی - شیربرقی (تعویض)",IF(OR(ISNUMBER(SEARCH("واتر جت",G110)),ISNUMBER(SEARCH("واترجت",G110))),"خرابی - واترجت (تعویض)",IF(OR(ISNUMBER(SEARCH("سيم",G110)),ISNUMBER(SEARCH("سیم",G110)),ISNUMBER(SEARCH("اتصال",G110))),"سیم‌کشی/اتصالات (تعویض/بازبینی)",IF(OR(ISNUMBER(SEARCH("تصوير",G110)),ISNUMBER(SEARCH("تصویر",G110))),"برد نمایش تلویزیون (تعویض)",IF(OR(ISNUMBER(SEARCH("ريموت",G110)),ISNUMBER(SEARCH("ریموت",G110))),"ریموت کنترل (تعویض/تعمیر)",IF(OR(ISNUMBER(SEARCH("ال اي دي",G110)),ISNUMBER(SEARCH("ال ای دی",G110)),ISNUMBER(SEARCH("LED",G110))),"خرابی - لامپ/LED داخلی (تعویض)",IF(ISNUMBER(SEARCH("زنگ زدگ",G110)),"زنگ‌زدگی بدنه/قطعه (تعویض)",IF(OR(ISNUMBER(SEARCH("قطعات تزئين",G110)),ISNUMBER(SEARCH("قطعات تزئین",G110))),"قطعات تزئینی - شکستگی/کسری (تعویض)",IF(ISNUMBER(SEARCH("سبد",G110)),"سبد ظرفشویی - شکستگی (تعویض)",IF(ISNUMBER(SEARCH("تاب درام",G110)),"خرابی - تاب برداشتن درام (تعویض)",IF(ISNUMBER(SEARCH("درام",G110)),"خرابی - سایر ایراد درام (تعویض)",IF(ISNUMBER(SEARCH("موتور",G110)),"خرابی - موتور (تعویض)",IF(ISNUMBER(SEARCH("تسمه",G110)),"خرابی - تسمه (تعویض)",IF(OR(ISNUMBER(SEARCH("پيچ ولوم",G110)),ISNUMBER(SEARCH("پیچ ولوم",G110))),"تنظیم - پیچ ولوم/دکمه (تعمیر)",IF(OR(ISNUMBER(SEARCH("کسري قطعات",G110)),ISNUMBER(SEARCH("کسری قطعات",G110))),"کسری قطعات تزئینی (تعویض)",IF(ISNUMBER(SEARCH("پرچ",G110)),"پرچ/بدنه کابین(تعمیر)",IF(OR(ISNUMBER(SEARCH("نشت",G110)),ISNUMBER(SEARCH("آبريزش",G110)),ISNUMBER(SEARCH("آبریزش",G110))),"نشتی آب - محل نامشخص (نیازمند بازدید)",IF(ISNUMBER(SEARCH("درب",G110)),"سایر اجزای درب (بازبینی)",IF(ISNUMBER(SEARCH("ضربه",G110)),"بدنه/کابین - ضربه (بازبینی/تعویض پنل)",IF(ISNUMBER(SEARCH("تراز",G110)),"تراز/لرزش - نصب (رگلاژ پایه)",IF(OR(ISNUMBER(SEARCH("تعویض",G110)),ISNUMBER(SEARCH("تعويض",G110))),"تعویض کامل دستگاه (Replacement)","سایر (نیازمند بررسی دستی)")))))))))))))))))))))))))))))))))))))))))))</f>
        <v/>
      </c>
      <c r="P110" s="124" t="inlineStr">
        <is>
          <t>*</t>
        </is>
      </c>
      <c r="Q110" s="124">
        <f>IF(ISNUMBER(SEARCH("عهده شرکت",F110)),"شرکت",IF(ISNUMBER(SEARCH("عهده مشتري",F110)),"مشتری",IF(ISNUMBER(SEARCH("عهده مشتری",F110)),"مشتری","نامشخص")))</f>
        <v/>
      </c>
      <c r="R110" s="178">
        <f>IF(O110="تعویض کامل دستگاه (Replacement)",IF(SUMIF('قیمت‌ها و مفروضات'!$A$9:$A$13,C110,'قیمت‌ها و مفروضات'!$C$9:$C$13)&lt;&gt;0,SUMIF('قیمت‌ها و مفروضات'!$A$9:$A$13,C110,'قیمت‌ها و مفروضات'!$C$9:$C$13),SUMIF('قیمت‌ها و مفروضات'!$A$9:$A$13,C110,'قیمت‌ها و مفروضات'!$B$9:$B$13)),IF(SUMIF('قیمت‌ها و مفروضات'!$A$18:$A$63,O110,'قیمت‌ها و مفروضات'!$C$18:$C$63)&lt;&gt;0,SUMIF('قیمت‌ها و مفروضات'!$A$18:$A$63,O110,'قیمت‌ها و مفروضات'!$C$18:$C$63),SUMIF('قیمت‌ها و مفروضات'!$A$18:$A$63,O110,'قیمت‌ها و مفروضات'!$B$18:$B$63)))</f>
        <v/>
      </c>
      <c r="S110" s="178">
        <f>'قیمت‌ها و مفروضات'!$B$3+'قیمت‌ها و مفروضات'!$B$4</f>
        <v/>
      </c>
      <c r="T110" s="178">
        <f>R110+S110</f>
        <v/>
      </c>
      <c r="U110" s="178">
        <f>IF(COUNTIF($E$2:E110,E110)&gt;1,"بله (تکراری)","خیر")</f>
        <v/>
      </c>
      <c r="V110" s="178">
        <f>IF(U110="بله (تکراری)",S110,0)</f>
        <v/>
      </c>
      <c r="W110" s="208" t="inlineStr"/>
      <c r="X110" s="208" t="inlineStr"/>
    </row>
    <row r="111" ht="58.5" customHeight="1" s="151">
      <c r="A111" s="176" t="n">
        <v>710002184</v>
      </c>
      <c r="B111" s="124">
        <f>CHOOSE(_xlfn.NUMBERVALUE(MID(H111,6,2)),"فروردین","اردیبهشت","خرداد","تیر","مرداد","شهریور","مهر","آبان","آذر","دی","بهمن","اسفند")</f>
        <v/>
      </c>
      <c r="C111" s="176" t="inlineStr">
        <is>
          <t>یخچال ساید‌بای‌ساید</t>
        </is>
      </c>
      <c r="D111" s="176" t="inlineStr">
        <is>
          <t>C2S-29HS1</t>
        </is>
      </c>
      <c r="E111" s="176" t="inlineStr">
        <is>
          <t>52240001N02112</t>
        </is>
      </c>
      <c r="F111" s="173" t="inlineStr">
        <is>
          <t>عدم کارکرد يخساز**اياب و ذهاب به عهده شرکت</t>
        </is>
      </c>
      <c r="G111" s="173" t="inlineStr">
        <is>
          <t>اصلاح دمپر پلاستيکي پشت کابين - سايد باي سايد</t>
        </is>
      </c>
      <c r="H111" s="176" t="inlineStr">
        <is>
          <t>1405/01/17</t>
        </is>
      </c>
      <c r="I111" s="124" t="inlineStr">
        <is>
          <t>1403/09/20</t>
        </is>
      </c>
      <c r="J111" s="124" t="inlineStr">
        <is>
          <t>1404/12/23</t>
        </is>
      </c>
      <c r="K111" s="177">
        <f>IFERROR(VLOOKUP(LEFT(H111,7),'تبدیل تاریخ'!$A$2:$B$73,2,FALSE())+VALUE(RIGHT(H111,2))-1,"")</f>
        <v/>
      </c>
      <c r="L111" s="177">
        <f>IFERROR(VLOOKUP(LEFT(I111,7),'تبدیل تاریخ'!$A$2:$B$73,2,FALSE())+VALUE(RIGHT(I111,2))-1,"")</f>
        <v/>
      </c>
      <c r="M111" s="177">
        <f>IF(J111="","",IFERROR(VLOOKUP(LEFT(J111,7),'تبدیل تاریخ'!$A$2:$B$73,2,FALSE())+VALUE(RIGHT(J111,2))-1,""))</f>
        <v/>
      </c>
      <c r="N111" s="124">
        <f>IF(OR(K111="",M111=""),"",CEILING((K111-M111)/30,1))</f>
        <v/>
      </c>
      <c r="O111" s="124">
        <f>IF(OR(ISNUMBER(SEARCH("بدون مورد",G111)),ISNUMBER(SEARCH("غير گارانتي",G111)),ISNUMBER(SEARCH("غیر گارانتی",G111)),ISNUMBER(SEARCH("بدون اجرت",G111)),ISNUMBER(SEARCH("فيلتر",G111)),ISNUMBER(SEARCH("فیلتر",G111))),"غیرگارانتی/بدون قطعه",IF(OR(ISNUMBER(SEARCH("ريست",G111)),ISNUMBER(SEARCH("ریست",G111))),"ریست نرم‌افزاری (بدون قطعه)",IF(OR(ISNUMBER(SEARCH("تعویض محصول",G111)),ISNUMBER(SEARCH("تعویض دستگاه",G111))),"تعویض کامل دستگاه (Replacement)",IF(ISNUMBER(SEARCH("پمپ",G111)),IF(ISNUMBER(SEARCH("نشت",G111)),"نشتی - پمپ تخلیه (تعمیر/آب‌بندی)","خرابی - پمپ تخلیه (تعویض)"),IF(ISNUMBER(SEARCH("کمپرسور",G111)),"خرابی - کمپرسور (تعویض)",IF(ISNUMBER(SEARCH("کمک فنر",G111)),"خرابی - کمک فنر (تعویض)",IF(ISNUMBER(SEARCH("لولا",G111)),"مکانیزم درب - لولا (تعویض)",IF(OR(ISNUMBER(SEARCH("قلاب",G111)),ISNUMBER(SEARCH("ميکروسوئيچ",G111)),ISNUMBER(SEARCH("میکروسوئیچ",G111))),"مکانیزم درب - میکروسوئیچ/قلاب (تعویض/تنظیم)",IF(ISNUMBER(SEARCH("زبانه",G111)),"مکانیزم درب - زبانه (تعویض)",IF(OR(ISNUMBER(SEARCH("شيلنگ",G111)),ISNUMBER(SEARCH("شیلنگ",G111))),IF(OR(ISNUMBER(SEARCH("نشتی",G111)),ISNUMBER(SEARCH("نشتي",G111))),"نشتی - شیلنگ (تعمیر/آب‌بندی)",IF(OR(ISNUMBER(SEARCH("يخ",G111)),ISNUMBER(SEARCH("یخ",G111))),"شیلنگ یخساز - یخ‌زدگی (بازبینی)","شیلنگ - برخورد/لهیدگی (بازبینی)")),IF(OR(ISNUMBER(SEARCH("تنظيم ديسپل",G111)),ISNUMBER(SEARCH("تنظیم دیسپل",G111)),ISNUMBER(SEARCH("تنظيم صفحه نمايش",G111)),ISNUMBER(SEARCH("تنظیم صفحه نمایش",G111))),"تنظیم - تنظیمات دستگاه/دیسپلی (تعمیر)",IF(OR(ISNUMBER(SEARCH("برد",G111)),ISNUMBER(SEARCH("سوکت",G111)),ISNUMBER(SEARCH("ديسپل",G111)),ISNUMBER(SEARCH("دیسپل",G111))),"خرابی - برد الکترونیک (تعویض)",IF(OR(ISNUMBER(SEARCH("يخساز",G111)),ISNUMBER(SEARCH("یخساز",G111)),ISNUMBER(SEARCH("دمپر",G111))),IF(OR(ISNUMBER(SEARCH("خرابی",G111)),ISNUMBER(SEARCH("خراب",G111)),ISNUMBER(SEARCH("عدم کارکرد",G111)),ISNUMBER(SEARCH("عدم عملکرد",G111))),"یخساز - خرابی موتور/سنسور/برد (تعویض)","یخساز - تنظیم/عایق (تعمیر)"),IF(OR(ISNUMBER(SEARCH("لاستيک",G111)),ISNUMBER(SEARCH("لاستیک",G111))),"لاستیک درزگیر - دفرمگی/پارگی (تعویض)",IF(OR(ISNUMBER(SEARCH("گسکت",G111)),ISNUMBER(SEARCH("گسگت",G111))),"لاستیک درزگیر - دفرمگی/پارگی (تعویض)",IF(ISNUMBER(SEARCH("مخزن نمک",G111)),"نشتی - درب مخزن نمک (تعمیر/آب‌بندی)",IF(ISNUMBER(SEARCH("براکت",G111)),"نشتی - براکت ریل (تعمیر/آب‌بندی)",IF(ISNUMBER(SEARCH("جاپودر",G111)),"نشتی - جاپودری (تعمیر/آب‌بندی)",IF(ISNUMBER(SEARCH("مقسم",G111)),"نشتی - مقسم آب (تعمیر/آب‌بندی)",IF(OR(ISNUMBER(SEARCH("سنسور دما",G111)),ISNUMBER(SEARCH("ترموستات",G111))),"خرابی - ترموستات (تعویض)",IF(OR(ISNUMBER(SEARCH("هيدروستات",G111)),ISNUMBER(SEARCH("هیدروستات",G111))),"خرابی - هیدروستات (تعویض)",IF(OR(ISNUMBER(SEARCH("بلبرينگ",G111)),ISNUMBER(SEARCH("بلبرینگ",G111))),"خرابی - بلبرینگ (تعویض)",IF(OR(ISNUMBER(SEARCH("شيربرق",G111)),ISNUMBER(SEARCH("شیربرق",G111))),"خرابی - شیربرقی (تعویض)",IF(OR(ISNUMBER(SEARCH("واتر جت",G111)),ISNUMBER(SEARCH("واترجت",G111))),"خرابی - واترجت (تعویض)",IF(OR(ISNUMBER(SEARCH("سيم",G111)),ISNUMBER(SEARCH("سیم",G111)),ISNUMBER(SEARCH("اتصال",G111))),"سیم‌کشی/اتصالات (تعویض/بازبینی)",IF(OR(ISNUMBER(SEARCH("تصوير",G111)),ISNUMBER(SEARCH("تصویر",G111))),"برد نمایش تلویزیون (تعویض)",IF(OR(ISNUMBER(SEARCH("ريموت",G111)),ISNUMBER(SEARCH("ریموت",G111))),"ریموت کنترل (تعویض/تعمیر)",IF(OR(ISNUMBER(SEARCH("ال اي دي",G111)),ISNUMBER(SEARCH("ال ای دی",G111)),ISNUMBER(SEARCH("LED",G111))),"خرابی - لامپ/LED داخلی (تعویض)",IF(ISNUMBER(SEARCH("زنگ زدگ",G111)),"زنگ‌زدگی بدنه/قطعه (تعویض)",IF(OR(ISNUMBER(SEARCH("قطعات تزئين",G111)),ISNUMBER(SEARCH("قطعات تزئین",G111))),"قطعات تزئینی - شکستگی/کسری (تعویض)",IF(ISNUMBER(SEARCH("سبد",G111)),"سبد ظرفشویی - شکستگی (تعویض)",IF(ISNUMBER(SEARCH("تاب درام",G111)),"خرابی - تاب برداشتن درام (تعویض)",IF(ISNUMBER(SEARCH("درام",G111)),"خرابی - سایر ایراد درام (تعویض)",IF(ISNUMBER(SEARCH("موتور",G111)),"خرابی - موتور (تعویض)",IF(ISNUMBER(SEARCH("تسمه",G111)),"خرابی - تسمه (تعویض)",IF(OR(ISNUMBER(SEARCH("پيچ ولوم",G111)),ISNUMBER(SEARCH("پیچ ولوم",G111))),"تنظیم - پیچ ولوم/دکمه (تعمیر)",IF(OR(ISNUMBER(SEARCH("کسري قطعات",G111)),ISNUMBER(SEARCH("کسری قطعات",G111))),"کسری قطعات تزئینی (تعویض)",IF(ISNUMBER(SEARCH("پرچ",G111)),"پرچ/بدنه کابین(تعمیر)",IF(OR(ISNUMBER(SEARCH("نشت",G111)),ISNUMBER(SEARCH("آبريزش",G111)),ISNUMBER(SEARCH("آبریزش",G111))),"نشتی آب - محل نامشخص (نیازمند بازدید)",IF(ISNUMBER(SEARCH("درب",G111)),"سایر اجزای درب (بازبینی)",IF(ISNUMBER(SEARCH("ضربه",G111)),"بدنه/کابین - ضربه (بازبینی/تعویض پنل)",IF(ISNUMBER(SEARCH("تراز",G111)),"تراز/لرزش - نصب (رگلاژ پایه)",IF(OR(ISNUMBER(SEARCH("تعویض",G111)),ISNUMBER(SEARCH("تعويض",G111))),"تعویض کامل دستگاه (Replacement)","سایر (نیازمند بررسی دستی)")))))))))))))))))))))))))))))))))))))))))))</f>
        <v/>
      </c>
      <c r="P111" s="124" t="inlineStr">
        <is>
          <t>*</t>
        </is>
      </c>
      <c r="Q111" s="124">
        <f>IF(ISNUMBER(SEARCH("عهده شرکت",F111)),"شرکت",IF(ISNUMBER(SEARCH("عهده مشتري",F111)),"مشتری",IF(ISNUMBER(SEARCH("عهده مشتری",F111)),"مشتری","نامشخص")))</f>
        <v/>
      </c>
      <c r="R111" s="178">
        <f>IF(O111="تعویض کامل دستگاه (Replacement)",IF(SUMIF('قیمت‌ها و مفروضات'!$A$9:$A$13,C111,'قیمت‌ها و مفروضات'!$C$9:$C$13)&lt;&gt;0,SUMIF('قیمت‌ها و مفروضات'!$A$9:$A$13,C111,'قیمت‌ها و مفروضات'!$C$9:$C$13),SUMIF('قیمت‌ها و مفروضات'!$A$9:$A$13,C111,'قیمت‌ها و مفروضات'!$B$9:$B$13)),IF(SUMIF('قیمت‌ها و مفروضات'!$A$18:$A$63,O111,'قیمت‌ها و مفروضات'!$C$18:$C$63)&lt;&gt;0,SUMIF('قیمت‌ها و مفروضات'!$A$18:$A$63,O111,'قیمت‌ها و مفروضات'!$C$18:$C$63),SUMIF('قیمت‌ها و مفروضات'!$A$18:$A$63,O111,'قیمت‌ها و مفروضات'!$B$18:$B$63)))</f>
        <v/>
      </c>
      <c r="S111" s="178">
        <f>'قیمت‌ها و مفروضات'!$B$3+'قیمت‌ها و مفروضات'!$B$4</f>
        <v/>
      </c>
      <c r="T111" s="178">
        <f>R111+S111</f>
        <v/>
      </c>
      <c r="U111" s="178">
        <f>IF(COUNTIF($E$2:E111,E111)&gt;1,"بله (تکراری)","خیر")</f>
        <v/>
      </c>
      <c r="V111" s="178">
        <f>IF(U111="بله (تکراری)",S111,0)</f>
        <v/>
      </c>
      <c r="W111" s="208" t="inlineStr"/>
      <c r="X111" s="208" t="inlineStr"/>
    </row>
    <row r="112" ht="58.5" customHeight="1" s="151">
      <c r="A112" s="176" t="n">
        <v>100003921</v>
      </c>
      <c r="B112" s="124">
        <f>CHOOSE(_xlfn.NUMBERVALUE(MID(H112,6,2)),"فروردین","اردیبهشت","خرداد","تیر","مرداد","شهریور","مهر","آبان","آذر","دی","بهمن","اسفند")</f>
        <v/>
      </c>
      <c r="C112" s="176" t="inlineStr">
        <is>
          <t>ماشين ظرفشويي</t>
        </is>
      </c>
      <c r="D112" s="176" t="inlineStr">
        <is>
          <t>CDW-H16T</t>
        </is>
      </c>
      <c r="E112" s="176" t="inlineStr">
        <is>
          <t>52220005N00318</t>
        </is>
      </c>
      <c r="F112" s="173" t="inlineStr">
        <is>
          <t>اياب و ذهاب به عهده شرکت ** بسته نشدن درب</t>
        </is>
      </c>
      <c r="G112" s="173" t="inlineStr">
        <is>
          <t>ريست دستگاه - ظرفشويي</t>
        </is>
      </c>
      <c r="H112" s="176" t="inlineStr">
        <is>
          <t>1405/01/24</t>
        </is>
      </c>
      <c r="I112" s="124" t="inlineStr">
        <is>
          <t>1403/07/28</t>
        </is>
      </c>
      <c r="J112" s="124" t="inlineStr">
        <is>
          <t>1404/03/31</t>
        </is>
      </c>
      <c r="K112" s="177">
        <f>IFERROR(VLOOKUP(LEFT(H112,7),'تبدیل تاریخ'!$A$2:$B$73,2,FALSE())+VALUE(RIGHT(H112,2))-1,"")</f>
        <v/>
      </c>
      <c r="L112" s="177">
        <f>IFERROR(VLOOKUP(LEFT(I112,7),'تبدیل تاریخ'!$A$2:$B$73,2,FALSE())+VALUE(RIGHT(I112,2))-1,"")</f>
        <v/>
      </c>
      <c r="M112" s="177">
        <f>IF(J112="","",IFERROR(VLOOKUP(LEFT(J112,7),'تبدیل تاریخ'!$A$2:$B$73,2,FALSE())+VALUE(RIGHT(J112,2))-1,""))</f>
        <v/>
      </c>
      <c r="N112" s="124">
        <f>IF(OR(K112="",M112=""),"",CEILING((K112-M112)/30,1))</f>
        <v/>
      </c>
      <c r="O112" s="124">
        <f>IF(OR(ISNUMBER(SEARCH("بدون مورد",G112)),ISNUMBER(SEARCH("غير گارانتي",G112)),ISNUMBER(SEARCH("غیر گارانتی",G112)),ISNUMBER(SEARCH("بدون اجرت",G112)),ISNUMBER(SEARCH("فيلتر",G112)),ISNUMBER(SEARCH("فیلتر",G112))),"غیرگارانتی/بدون قطعه",IF(OR(ISNUMBER(SEARCH("ريست",G112)),ISNUMBER(SEARCH("ریست",G112))),"ریست نرم‌افزاری (بدون قطعه)",IF(OR(ISNUMBER(SEARCH("تعویض محصول",G112)),ISNUMBER(SEARCH("تعویض دستگاه",G112))),"تعویض کامل دستگاه (Replacement)",IF(ISNUMBER(SEARCH("پمپ",G112)),IF(ISNUMBER(SEARCH("نشت",G112)),"نشتی - پمپ تخلیه (تعمیر/آب‌بندی)","خرابی - پمپ تخلیه (تعویض)"),IF(ISNUMBER(SEARCH("کمپرسور",G112)),"خرابی - کمپرسور (تعویض)",IF(ISNUMBER(SEARCH("کمک فنر",G112)),"خرابی - کمک فنر (تعویض)",IF(ISNUMBER(SEARCH("لولا",G112)),"مکانیزم درب - لولا (تعویض)",IF(OR(ISNUMBER(SEARCH("قلاب",G112)),ISNUMBER(SEARCH("ميکروسوئيچ",G112)),ISNUMBER(SEARCH("میکروسوئیچ",G112))),"مکانیزم درب - میکروسوئیچ/قلاب (تعویض/تنظیم)",IF(ISNUMBER(SEARCH("زبانه",G112)),"مکانیزم درب - زبانه (تعویض)",IF(OR(ISNUMBER(SEARCH("شيلنگ",G112)),ISNUMBER(SEARCH("شیلنگ",G112))),IF(OR(ISNUMBER(SEARCH("نشتی",G112)),ISNUMBER(SEARCH("نشتي",G112))),"نشتی - شیلنگ (تعمیر/آب‌بندی)",IF(OR(ISNUMBER(SEARCH("يخ",G112)),ISNUMBER(SEARCH("یخ",G112))),"شیلنگ یخساز - یخ‌زدگی (بازبینی)","شیلنگ - برخورد/لهیدگی (بازبینی)")),IF(OR(ISNUMBER(SEARCH("تنظيم ديسپل",G112)),ISNUMBER(SEARCH("تنظیم دیسپل",G112)),ISNUMBER(SEARCH("تنظيم صفحه نمايش",G112)),ISNUMBER(SEARCH("تنظیم صفحه نمایش",G112))),"تنظیم - تنظیمات دستگاه/دیسپلی (تعمیر)",IF(OR(ISNUMBER(SEARCH("برد",G112)),ISNUMBER(SEARCH("سوکت",G112)),ISNUMBER(SEARCH("ديسپل",G112)),ISNUMBER(SEARCH("دیسپل",G112))),"خرابی - برد الکترونیک (تعویض)",IF(OR(ISNUMBER(SEARCH("يخساز",G112)),ISNUMBER(SEARCH("یخساز",G112)),ISNUMBER(SEARCH("دمپر",G112))),IF(OR(ISNUMBER(SEARCH("خرابی",G112)),ISNUMBER(SEARCH("خراب",G112)),ISNUMBER(SEARCH("عدم کارکرد",G112)),ISNUMBER(SEARCH("عدم عملکرد",G112))),"یخساز - خرابی موتور/سنسور/برد (تعویض)","یخساز - تنظیم/عایق (تعمیر)"),IF(OR(ISNUMBER(SEARCH("لاستيک",G112)),ISNUMBER(SEARCH("لاستیک",G112))),"لاستیک درزگیر - دفرمگی/پارگی (تعویض)",IF(OR(ISNUMBER(SEARCH("گسکت",G112)),ISNUMBER(SEARCH("گسگت",G112))),"لاستیک درزگیر - دفرمگی/پارگی (تعویض)",IF(ISNUMBER(SEARCH("مخزن نمک",G112)),"نشتی - درب مخزن نمک (تعمیر/آب‌بندی)",IF(ISNUMBER(SEARCH("براکت",G112)),"نشتی - براکت ریل (تعمیر/آب‌بندی)",IF(ISNUMBER(SEARCH("جاپودر",G112)),"نشتی - جاپودری (تعمیر/آب‌بندی)",IF(ISNUMBER(SEARCH("مقسم",G112)),"نشتی - مقسم آب (تعمیر/آب‌بندی)",IF(OR(ISNUMBER(SEARCH("سنسور دما",G112)),ISNUMBER(SEARCH("ترموستات",G112))),"خرابی - ترموستات (تعویض)",IF(OR(ISNUMBER(SEARCH("هيدروستات",G112)),ISNUMBER(SEARCH("هیدروستات",G112))),"خرابی - هیدروستات (تعویض)",IF(OR(ISNUMBER(SEARCH("بلبرينگ",G112)),ISNUMBER(SEARCH("بلبرینگ",G112))),"خرابی - بلبرینگ (تعویض)",IF(OR(ISNUMBER(SEARCH("شيربرق",G112)),ISNUMBER(SEARCH("شیربرق",G112))),"خرابی - شیربرقی (تعویض)",IF(OR(ISNUMBER(SEARCH("واتر جت",G112)),ISNUMBER(SEARCH("واترجت",G112))),"خرابی - واترجت (تعویض)",IF(OR(ISNUMBER(SEARCH("سيم",G112)),ISNUMBER(SEARCH("سیم",G112)),ISNUMBER(SEARCH("اتصال",G112))),"سیم‌کشی/اتصالات (تعویض/بازبینی)",IF(OR(ISNUMBER(SEARCH("تصوير",G112)),ISNUMBER(SEARCH("تصویر",G112))),"برد نمایش تلویزیون (تعویض)",IF(OR(ISNUMBER(SEARCH("ريموت",G112)),ISNUMBER(SEARCH("ریموت",G112))),"ریموت کنترل (تعویض/تعمیر)",IF(OR(ISNUMBER(SEARCH("ال اي دي",G112)),ISNUMBER(SEARCH("ال ای دی",G112)),ISNUMBER(SEARCH("LED",G112))),"خرابی - لامپ/LED داخلی (تعویض)",IF(ISNUMBER(SEARCH("زنگ زدگ",G112)),"زنگ‌زدگی بدنه/قطعه (تعویض)",IF(OR(ISNUMBER(SEARCH("قطعات تزئين",G112)),ISNUMBER(SEARCH("قطعات تزئین",G112))),"قطعات تزئینی - شکستگی/کسری (تعویض)",IF(ISNUMBER(SEARCH("سبد",G112)),"سبد ظرفشویی - شکستگی (تعویض)",IF(ISNUMBER(SEARCH("تاب درام",G112)),"خرابی - تاب برداشتن درام (تعویض)",IF(ISNUMBER(SEARCH("درام",G112)),"خرابی - سایر ایراد درام (تعویض)",IF(ISNUMBER(SEARCH("موتور",G112)),"خرابی - موتور (تعویض)",IF(ISNUMBER(SEARCH("تسمه",G112)),"خرابی - تسمه (تعویض)",IF(OR(ISNUMBER(SEARCH("پيچ ولوم",G112)),ISNUMBER(SEARCH("پیچ ولوم",G112))),"تنظیم - پیچ ولوم/دکمه (تعمیر)",IF(OR(ISNUMBER(SEARCH("کسري قطعات",G112)),ISNUMBER(SEARCH("کسری قطعات",G112))),"کسری قطعات تزئینی (تعویض)",IF(ISNUMBER(SEARCH("پرچ",G112)),"پرچ/بدنه کابین(تعمیر)",IF(OR(ISNUMBER(SEARCH("نشت",G112)),ISNUMBER(SEARCH("آبريزش",G112)),ISNUMBER(SEARCH("آبریزش",G112))),"نشتی آب - محل نامشخص (نیازمند بازدید)",IF(ISNUMBER(SEARCH("درب",G112)),"سایر اجزای درب (بازبینی)",IF(ISNUMBER(SEARCH("ضربه",G112)),"بدنه/کابین - ضربه (بازبینی/تعویض پنل)",IF(ISNUMBER(SEARCH("تراز",G112)),"تراز/لرزش - نصب (رگلاژ پایه)",IF(OR(ISNUMBER(SEARCH("تعویض",G112)),ISNUMBER(SEARCH("تعويض",G112))),"تعویض کامل دستگاه (Replacement)","سایر (نیازمند بررسی دستی)")))))))))))))))))))))))))))))))))))))))))))</f>
        <v/>
      </c>
      <c r="P112" s="124" t="inlineStr">
        <is>
          <t>*</t>
        </is>
      </c>
      <c r="Q112" s="124">
        <f>IF(ISNUMBER(SEARCH("عهده شرکت",F112)),"شرکت",IF(ISNUMBER(SEARCH("عهده مشتري",F112)),"مشتری",IF(ISNUMBER(SEARCH("عهده مشتری",F112)),"مشتری","نامشخص")))</f>
        <v/>
      </c>
      <c r="R112" s="178">
        <f>IF(O112="تعویض کامل دستگاه (Replacement)",IF(SUMIF('قیمت‌ها و مفروضات'!$A$9:$A$13,C112,'قیمت‌ها و مفروضات'!$C$9:$C$13)&lt;&gt;0,SUMIF('قیمت‌ها و مفروضات'!$A$9:$A$13,C112,'قیمت‌ها و مفروضات'!$C$9:$C$13),SUMIF('قیمت‌ها و مفروضات'!$A$9:$A$13,C112,'قیمت‌ها و مفروضات'!$B$9:$B$13)),IF(SUMIF('قیمت‌ها و مفروضات'!$A$18:$A$63,O112,'قیمت‌ها و مفروضات'!$C$18:$C$63)&lt;&gt;0,SUMIF('قیمت‌ها و مفروضات'!$A$18:$A$63,O112,'قیمت‌ها و مفروضات'!$C$18:$C$63),SUMIF('قیمت‌ها و مفروضات'!$A$18:$A$63,O112,'قیمت‌ها و مفروضات'!$B$18:$B$63)))</f>
        <v/>
      </c>
      <c r="S112" s="178">
        <f>'قیمت‌ها و مفروضات'!$B$3+'قیمت‌ها و مفروضات'!$B$4</f>
        <v/>
      </c>
      <c r="T112" s="178">
        <f>R112+S112</f>
        <v/>
      </c>
      <c r="U112" s="178">
        <f>IF(COUNTIF($E$2:E112,E112)&gt;1,"بله (تکراری)","خیر")</f>
        <v/>
      </c>
      <c r="V112" s="178">
        <f>IF(U112="بله (تکراری)",S112,0)</f>
        <v/>
      </c>
      <c r="W112" s="208" t="inlineStr"/>
      <c r="X112" s="208" t="inlineStr"/>
    </row>
    <row r="113" ht="58.5" customHeight="1" s="151">
      <c r="A113" s="176" t="n">
        <v>130007683</v>
      </c>
      <c r="B113" s="124">
        <f>CHOOSE(_xlfn.NUMBERVALUE(MID(H113,6,2)),"فروردین","اردیبهشت","خرداد","تیر","مرداد","شهریور","مهر","آبان","آذر","دی","بهمن","اسفند")</f>
        <v/>
      </c>
      <c r="C113" s="176" t="inlineStr">
        <is>
          <t>ماشين ظرفشويي</t>
        </is>
      </c>
      <c r="D113" s="176" t="inlineStr">
        <is>
          <t>CDW-H15V</t>
        </is>
      </c>
      <c r="E113" s="176" t="inlineStr">
        <is>
          <t>52220003N02786</t>
        </is>
      </c>
      <c r="F113" s="173" t="inlineStr">
        <is>
          <t>شکستگي قطعات تزئيني کابين- کد قطعه در ليست اقدامات درج مي گردد.**اياب و ذهاب به عهده شرکت</t>
        </is>
      </c>
      <c r="G113" s="173" t="inlineStr">
        <is>
          <t>شکستگي سبد بالا</t>
        </is>
      </c>
      <c r="H113" s="176" t="inlineStr">
        <is>
          <t>1405/01/24</t>
        </is>
      </c>
      <c r="I113" s="124" t="inlineStr">
        <is>
          <t>1404/08/15</t>
        </is>
      </c>
      <c r="J113" s="124" t="inlineStr">
        <is>
          <t>1404/12/11</t>
        </is>
      </c>
      <c r="K113" s="177">
        <f>IFERROR(VLOOKUP(LEFT(H113,7),'تبدیل تاریخ'!$A$2:$B$73,2,FALSE())+VALUE(RIGHT(H113,2))-1,"")</f>
        <v/>
      </c>
      <c r="L113" s="177">
        <f>IFERROR(VLOOKUP(LEFT(I113,7),'تبدیل تاریخ'!$A$2:$B$73,2,FALSE())+VALUE(RIGHT(I113,2))-1,"")</f>
        <v/>
      </c>
      <c r="M113" s="177">
        <f>IF(J113="","",IFERROR(VLOOKUP(LEFT(J113,7),'تبدیل تاریخ'!$A$2:$B$73,2,FALSE())+VALUE(RIGHT(J113,2))-1,""))</f>
        <v/>
      </c>
      <c r="N113" s="124">
        <f>IF(OR(K113="",M113=""),"",CEILING((K113-M113)/30,1))</f>
        <v/>
      </c>
      <c r="O113" s="124">
        <f>IF(OR(ISNUMBER(SEARCH("بدون مورد",G113)),ISNUMBER(SEARCH("غير گارانتي",G113)),ISNUMBER(SEARCH("غیر گارانتی",G113)),ISNUMBER(SEARCH("بدون اجرت",G113)),ISNUMBER(SEARCH("فيلتر",G113)),ISNUMBER(SEARCH("فیلتر",G113))),"غیرگارانتی/بدون قطعه",IF(OR(ISNUMBER(SEARCH("ريست",G113)),ISNUMBER(SEARCH("ریست",G113))),"ریست نرم‌افزاری (بدون قطعه)",IF(OR(ISNUMBER(SEARCH("تعویض محصول",G113)),ISNUMBER(SEARCH("تعویض دستگاه",G113))),"تعویض کامل دستگاه (Replacement)",IF(ISNUMBER(SEARCH("پمپ",G113)),IF(ISNUMBER(SEARCH("نشت",G113)),"نشتی - پمپ تخلیه (تعمیر/آب‌بندی)","خرابی - پمپ تخلیه (تعویض)"),IF(ISNUMBER(SEARCH("کمپرسور",G113)),"خرابی - کمپرسور (تعویض)",IF(ISNUMBER(SEARCH("کمک فنر",G113)),"خرابی - کمک فنر (تعویض)",IF(ISNUMBER(SEARCH("لولا",G113)),"مکانیزم درب - لولا (تعویض)",IF(OR(ISNUMBER(SEARCH("قلاب",G113)),ISNUMBER(SEARCH("ميکروسوئيچ",G113)),ISNUMBER(SEARCH("میکروسوئیچ",G113))),"مکانیزم درب - میکروسوئیچ/قلاب (تعویض/تنظیم)",IF(ISNUMBER(SEARCH("زبانه",G113)),"مکانیزم درب - زبانه (تعویض)",IF(OR(ISNUMBER(SEARCH("شيلنگ",G113)),ISNUMBER(SEARCH("شیلنگ",G113))),IF(OR(ISNUMBER(SEARCH("نشتی",G113)),ISNUMBER(SEARCH("نشتي",G113))),"نشتی - شیلنگ (تعمیر/آب‌بندی)",IF(OR(ISNUMBER(SEARCH("يخ",G113)),ISNUMBER(SEARCH("یخ",G113))),"شیلنگ یخساز - یخ‌زدگی (بازبینی)","شیلنگ - برخورد/لهیدگی (بازبینی)")),IF(OR(ISNUMBER(SEARCH("تنظيم ديسپل",G113)),ISNUMBER(SEARCH("تنظیم دیسپل",G113)),ISNUMBER(SEARCH("تنظيم صفحه نمايش",G113)),ISNUMBER(SEARCH("تنظیم صفحه نمایش",G113))),"تنظیم - تنظیمات دستگاه/دیسپلی (تعمیر)",IF(OR(ISNUMBER(SEARCH("برد",G113)),ISNUMBER(SEARCH("سوکت",G113)),ISNUMBER(SEARCH("ديسپل",G113)),ISNUMBER(SEARCH("دیسپل",G113))),"خرابی - برد الکترونیک (تعویض)",IF(OR(ISNUMBER(SEARCH("يخساز",G113)),ISNUMBER(SEARCH("یخساز",G113)),ISNUMBER(SEARCH("دمپر",G113))),IF(OR(ISNUMBER(SEARCH("خرابی",G113)),ISNUMBER(SEARCH("خراب",G113)),ISNUMBER(SEARCH("عدم کارکرد",G113)),ISNUMBER(SEARCH("عدم عملکرد",G113))),"یخساز - خرابی موتور/سنسور/برد (تعویض)","یخساز - تنظیم/عایق (تعمیر)"),IF(OR(ISNUMBER(SEARCH("لاستيک",G113)),ISNUMBER(SEARCH("لاستیک",G113))),"لاستیک درزگیر - دفرمگی/پارگی (تعویض)",IF(OR(ISNUMBER(SEARCH("گسکت",G113)),ISNUMBER(SEARCH("گسگت",G113))),"لاستیک درزگیر - دفرمگی/پارگی (تعویض)",IF(ISNUMBER(SEARCH("مخزن نمک",G113)),"نشتی - درب مخزن نمک (تعمیر/آب‌بندی)",IF(ISNUMBER(SEARCH("براکت",G113)),"نشتی - براکت ریل (تعمیر/آب‌بندی)",IF(ISNUMBER(SEARCH("جاپودر",G113)),"نشتی - جاپودری (تعمیر/آب‌بندی)",IF(ISNUMBER(SEARCH("مقسم",G113)),"نشتی - مقسم آب (تعمیر/آب‌بندی)",IF(OR(ISNUMBER(SEARCH("سنسور دما",G113)),ISNUMBER(SEARCH("ترموستات",G113))),"خرابی - ترموستات (تعویض)",IF(OR(ISNUMBER(SEARCH("هيدروستات",G113)),ISNUMBER(SEARCH("هیدروستات",G113))),"خرابی - هیدروستات (تعویض)",IF(OR(ISNUMBER(SEARCH("بلبرينگ",G113)),ISNUMBER(SEARCH("بلبرینگ",G113))),"خرابی - بلبرینگ (تعویض)",IF(OR(ISNUMBER(SEARCH("شيربرق",G113)),ISNUMBER(SEARCH("شیربرق",G113))),"خرابی - شیربرقی (تعویض)",IF(OR(ISNUMBER(SEARCH("واتر جت",G113)),ISNUMBER(SEARCH("واترجت",G113))),"خرابی - واترجت (تعویض)",IF(OR(ISNUMBER(SEARCH("سيم",G113)),ISNUMBER(SEARCH("سیم",G113)),ISNUMBER(SEARCH("اتصال",G113))),"سیم‌کشی/اتصالات (تعویض/بازبینی)",IF(OR(ISNUMBER(SEARCH("تصوير",G113)),ISNUMBER(SEARCH("تصویر",G113))),"برد نمایش تلویزیون (تعویض)",IF(OR(ISNUMBER(SEARCH("ريموت",G113)),ISNUMBER(SEARCH("ریموت",G113))),"ریموت کنترل (تعویض/تعمیر)",IF(OR(ISNUMBER(SEARCH("ال اي دي",G113)),ISNUMBER(SEARCH("ال ای دی",G113)),ISNUMBER(SEARCH("LED",G113))),"خرابی - لامپ/LED داخلی (تعویض)",IF(ISNUMBER(SEARCH("زنگ زدگ",G113)),"زنگ‌زدگی بدنه/قطعه (تعویض)",IF(OR(ISNUMBER(SEARCH("قطعات تزئين",G113)),ISNUMBER(SEARCH("قطعات تزئین",G113))),"قطعات تزئینی - شکستگی/کسری (تعویض)",IF(ISNUMBER(SEARCH("سبد",G113)),"سبد ظرفشویی - شکستگی (تعویض)",IF(ISNUMBER(SEARCH("تاب درام",G113)),"خرابی - تاب برداشتن درام (تعویض)",IF(ISNUMBER(SEARCH("درام",G113)),"خرابی - سایر ایراد درام (تعویض)",IF(ISNUMBER(SEARCH("موتور",G113)),"خرابی - موتور (تعویض)",IF(ISNUMBER(SEARCH("تسمه",G113)),"خرابی - تسمه (تعویض)",IF(OR(ISNUMBER(SEARCH("پيچ ولوم",G113)),ISNUMBER(SEARCH("پیچ ولوم",G113))),"تنظیم - پیچ ولوم/دکمه (تعمیر)",IF(OR(ISNUMBER(SEARCH("کسري قطعات",G113)),ISNUMBER(SEARCH("کسری قطعات",G113))),"کسری قطعات تزئینی (تعویض)",IF(ISNUMBER(SEARCH("پرچ",G113)),"پرچ/بدنه کابین(تعمیر)",IF(OR(ISNUMBER(SEARCH("نشت",G113)),ISNUMBER(SEARCH("آبريزش",G113)),ISNUMBER(SEARCH("آبریزش",G113))),"نشتی آب - محل نامشخص (نیازمند بازدید)",IF(ISNUMBER(SEARCH("درب",G113)),"سایر اجزای درب (بازبینی)",IF(ISNUMBER(SEARCH("ضربه",G113)),"بدنه/کابین - ضربه (بازبینی/تعویض پنل)",IF(ISNUMBER(SEARCH("تراز",G113)),"تراز/لرزش - نصب (رگلاژ پایه)",IF(OR(ISNUMBER(SEARCH("تعویض",G113)),ISNUMBER(SEARCH("تعويض",G113))),"تعویض کامل دستگاه (Replacement)","سایر (نیازمند بررسی دستی)")))))))))))))))))))))))))))))))))))))))))))</f>
        <v/>
      </c>
      <c r="P113" s="124" t="inlineStr">
        <is>
          <t>سبد ظرفشویی</t>
        </is>
      </c>
      <c r="Q113" s="124">
        <f>IF(ISNUMBER(SEARCH("عهده شرکت",F113)),"شرکت",IF(ISNUMBER(SEARCH("عهده مشتري",F113)),"مشتری",IF(ISNUMBER(SEARCH("عهده مشتری",F113)),"مشتری","نامشخص")))</f>
        <v/>
      </c>
      <c r="R113" s="178">
        <f>IF(O113="تعویض کامل دستگاه (Replacement)",IF(SUMIF('قیمت‌ها و مفروضات'!$A$9:$A$13,C113,'قیمت‌ها و مفروضات'!$C$9:$C$13)&lt;&gt;0,SUMIF('قیمت‌ها و مفروضات'!$A$9:$A$13,C113,'قیمت‌ها و مفروضات'!$C$9:$C$13),SUMIF('قیمت‌ها و مفروضات'!$A$9:$A$13,C113,'قیمت‌ها و مفروضات'!$B$9:$B$13)),IF(SUMIF('قیمت‌ها و مفروضات'!$A$18:$A$63,O113,'قیمت‌ها و مفروضات'!$C$18:$C$63)&lt;&gt;0,SUMIF('قیمت‌ها و مفروضات'!$A$18:$A$63,O113,'قیمت‌ها و مفروضات'!$C$18:$C$63),SUMIF('قیمت‌ها و مفروضات'!$A$18:$A$63,O113,'قیمت‌ها و مفروضات'!$B$18:$B$63)))</f>
        <v/>
      </c>
      <c r="S113" s="178">
        <f>'قیمت‌ها و مفروضات'!$B$3+'قیمت‌ها و مفروضات'!$B$4</f>
        <v/>
      </c>
      <c r="T113" s="178">
        <f>R113+S113</f>
        <v/>
      </c>
      <c r="U113" s="178">
        <f>IF(COUNTIF($E$2:E113,E113)&gt;1,"بله (تکراری)","خیر")</f>
        <v/>
      </c>
      <c r="V113" s="178">
        <f>IF(U113="بله (تکراری)",S113,0)</f>
        <v/>
      </c>
      <c r="W113" s="208" t="inlineStr"/>
      <c r="X113" s="208" t="inlineStr"/>
    </row>
    <row r="114" ht="58.5" customHeight="1" s="151">
      <c r="A114" s="176" t="n">
        <v>130007683</v>
      </c>
      <c r="B114" s="124">
        <f>CHOOSE(_xlfn.NUMBERVALUE(MID(H114,6,2)),"فروردین","اردیبهشت","خرداد","تیر","مرداد","شهریور","مهر","آبان","آذر","دی","بهمن","اسفند")</f>
        <v/>
      </c>
      <c r="C114" s="176" t="inlineStr">
        <is>
          <t>ماشين ظرفشويي</t>
        </is>
      </c>
      <c r="D114" s="176" t="inlineStr">
        <is>
          <t>CDW-H15V</t>
        </is>
      </c>
      <c r="E114" s="176" t="inlineStr">
        <is>
          <t>52220003N02786</t>
        </is>
      </c>
      <c r="F114" s="173" t="inlineStr">
        <is>
          <t>شکستگي قطعات تزئيني کابين- کد قطعه در ليست اقدامات درج مي گردد.**اياب و ذهاب به عهده شرکت</t>
        </is>
      </c>
      <c r="G114" s="173" t="inlineStr">
        <is>
          <t>شکستگي سبد پايين</t>
        </is>
      </c>
      <c r="H114" s="176" t="inlineStr">
        <is>
          <t>1405/01/24</t>
        </is>
      </c>
      <c r="I114" s="124" t="inlineStr">
        <is>
          <t>1404/08/15</t>
        </is>
      </c>
      <c r="J114" s="124" t="inlineStr">
        <is>
          <t>1404/12/11</t>
        </is>
      </c>
      <c r="K114" s="177">
        <f>IFERROR(VLOOKUP(LEFT(H114,7),'تبدیل تاریخ'!$A$2:$B$73,2,FALSE())+VALUE(RIGHT(H114,2))-1,"")</f>
        <v/>
      </c>
      <c r="L114" s="177">
        <f>IFERROR(VLOOKUP(LEFT(I114,7),'تبدیل تاریخ'!$A$2:$B$73,2,FALSE())+VALUE(RIGHT(I114,2))-1,"")</f>
        <v/>
      </c>
      <c r="M114" s="177">
        <f>IF(J114="","",IFERROR(VLOOKUP(LEFT(J114,7),'تبدیل تاریخ'!$A$2:$B$73,2,FALSE())+VALUE(RIGHT(J114,2))-1,""))</f>
        <v/>
      </c>
      <c r="N114" s="124">
        <f>IF(OR(K114="",M114=""),"",CEILING((K114-M114)/30,1))</f>
        <v/>
      </c>
      <c r="O114" s="124">
        <f>IF(OR(ISNUMBER(SEARCH("بدون مورد",G114)),ISNUMBER(SEARCH("غير گارانتي",G114)),ISNUMBER(SEARCH("غیر گارانتی",G114)),ISNUMBER(SEARCH("بدون اجرت",G114)),ISNUMBER(SEARCH("فيلتر",G114)),ISNUMBER(SEARCH("فیلتر",G114))),"غیرگارانتی/بدون قطعه",IF(OR(ISNUMBER(SEARCH("ريست",G114)),ISNUMBER(SEARCH("ریست",G114))),"ریست نرم‌افزاری (بدون قطعه)",IF(OR(ISNUMBER(SEARCH("تعویض محصول",G114)),ISNUMBER(SEARCH("تعویض دستگاه",G114))),"تعویض کامل دستگاه (Replacement)",IF(ISNUMBER(SEARCH("پمپ",G114)),IF(ISNUMBER(SEARCH("نشت",G114)),"نشتی - پمپ تخلیه (تعمیر/آب‌بندی)","خرابی - پمپ تخلیه (تعویض)"),IF(ISNUMBER(SEARCH("کمپرسور",G114)),"خرابی - کمپرسور (تعویض)",IF(ISNUMBER(SEARCH("کمک فنر",G114)),"خرابی - کمک فنر (تعویض)",IF(ISNUMBER(SEARCH("لولا",G114)),"مکانیزم درب - لولا (تعویض)",IF(OR(ISNUMBER(SEARCH("قلاب",G114)),ISNUMBER(SEARCH("ميکروسوئيچ",G114)),ISNUMBER(SEARCH("میکروسوئیچ",G114))),"مکانیزم درب - میکروسوئیچ/قلاب (تعویض/تنظیم)",IF(ISNUMBER(SEARCH("زبانه",G114)),"مکانیزم درب - زبانه (تعویض)",IF(OR(ISNUMBER(SEARCH("شيلنگ",G114)),ISNUMBER(SEARCH("شیلنگ",G114))),IF(OR(ISNUMBER(SEARCH("نشتی",G114)),ISNUMBER(SEARCH("نشتي",G114))),"نشتی - شیلنگ (تعمیر/آب‌بندی)",IF(OR(ISNUMBER(SEARCH("يخ",G114)),ISNUMBER(SEARCH("یخ",G114))),"شیلنگ یخساز - یخ‌زدگی (بازبینی)","شیلنگ - برخورد/لهیدگی (بازبینی)")),IF(OR(ISNUMBER(SEARCH("تنظيم ديسپل",G114)),ISNUMBER(SEARCH("تنظیم دیسپل",G114)),ISNUMBER(SEARCH("تنظيم صفحه نمايش",G114)),ISNUMBER(SEARCH("تنظیم صفحه نمایش",G114))),"تنظیم - تنظیمات دستگاه/دیسپلی (تعمیر)",IF(OR(ISNUMBER(SEARCH("برد",G114)),ISNUMBER(SEARCH("سوکت",G114)),ISNUMBER(SEARCH("ديسپل",G114)),ISNUMBER(SEARCH("دیسپل",G114))),"خرابی - برد الکترونیک (تعویض)",IF(OR(ISNUMBER(SEARCH("يخساز",G114)),ISNUMBER(SEARCH("یخساز",G114)),ISNUMBER(SEARCH("دمپر",G114))),IF(OR(ISNUMBER(SEARCH("خرابی",G114)),ISNUMBER(SEARCH("خراب",G114)),ISNUMBER(SEARCH("عدم کارکرد",G114)),ISNUMBER(SEARCH("عدم عملکرد",G114))),"یخساز - خرابی موتور/سنسور/برد (تعویض)","یخساز - تنظیم/عایق (تعمیر)"),IF(OR(ISNUMBER(SEARCH("لاستيک",G114)),ISNUMBER(SEARCH("لاستیک",G114))),"لاستیک درزگیر - دفرمگی/پارگی (تعویض)",IF(OR(ISNUMBER(SEARCH("گسکت",G114)),ISNUMBER(SEARCH("گسگت",G114))),"لاستیک درزگیر - دفرمگی/پارگی (تعویض)",IF(ISNUMBER(SEARCH("مخزن نمک",G114)),"نشتی - درب مخزن نمک (تعمیر/آب‌بندی)",IF(ISNUMBER(SEARCH("براکت",G114)),"نشتی - براکت ریل (تعمیر/آب‌بندی)",IF(ISNUMBER(SEARCH("جاپودر",G114)),"نشتی - جاپودری (تعمیر/آب‌بندی)",IF(ISNUMBER(SEARCH("مقسم",G114)),"نشتی - مقسم آب (تعمیر/آب‌بندی)",IF(OR(ISNUMBER(SEARCH("سنسور دما",G114)),ISNUMBER(SEARCH("ترموستات",G114))),"خرابی - ترموستات (تعویض)",IF(OR(ISNUMBER(SEARCH("هيدروستات",G114)),ISNUMBER(SEARCH("هیدروستات",G114))),"خرابی - هیدروستات (تعویض)",IF(OR(ISNUMBER(SEARCH("بلبرينگ",G114)),ISNUMBER(SEARCH("بلبرینگ",G114))),"خرابی - بلبرینگ (تعویض)",IF(OR(ISNUMBER(SEARCH("شيربرق",G114)),ISNUMBER(SEARCH("شیربرق",G114))),"خرابی - شیربرقی (تعویض)",IF(OR(ISNUMBER(SEARCH("واتر جت",G114)),ISNUMBER(SEARCH("واترجت",G114))),"خرابی - واترجت (تعویض)",IF(OR(ISNUMBER(SEARCH("سيم",G114)),ISNUMBER(SEARCH("سیم",G114)),ISNUMBER(SEARCH("اتصال",G114))),"سیم‌کشی/اتصالات (تعویض/بازبینی)",IF(OR(ISNUMBER(SEARCH("تصوير",G114)),ISNUMBER(SEARCH("تصویر",G114))),"برد نمایش تلویزیون (تعویض)",IF(OR(ISNUMBER(SEARCH("ريموت",G114)),ISNUMBER(SEARCH("ریموت",G114))),"ریموت کنترل (تعویض/تعمیر)",IF(OR(ISNUMBER(SEARCH("ال اي دي",G114)),ISNUMBER(SEARCH("ال ای دی",G114)),ISNUMBER(SEARCH("LED",G114))),"خرابی - لامپ/LED داخلی (تعویض)",IF(ISNUMBER(SEARCH("زنگ زدگ",G114)),"زنگ‌زدگی بدنه/قطعه (تعویض)",IF(OR(ISNUMBER(SEARCH("قطعات تزئين",G114)),ISNUMBER(SEARCH("قطعات تزئین",G114))),"قطعات تزئینی - شکستگی/کسری (تعویض)",IF(ISNUMBER(SEARCH("سبد",G114)),"سبد ظرفشویی - شکستگی (تعویض)",IF(ISNUMBER(SEARCH("تاب درام",G114)),"خرابی - تاب برداشتن درام (تعویض)",IF(ISNUMBER(SEARCH("درام",G114)),"خرابی - سایر ایراد درام (تعویض)",IF(ISNUMBER(SEARCH("موتور",G114)),"خرابی - موتور (تعویض)",IF(ISNUMBER(SEARCH("تسمه",G114)),"خرابی - تسمه (تعویض)",IF(OR(ISNUMBER(SEARCH("پيچ ولوم",G114)),ISNUMBER(SEARCH("پیچ ولوم",G114))),"تنظیم - پیچ ولوم/دکمه (تعمیر)",IF(OR(ISNUMBER(SEARCH("کسري قطعات",G114)),ISNUMBER(SEARCH("کسری قطعات",G114))),"کسری قطعات تزئینی (تعویض)",IF(ISNUMBER(SEARCH("پرچ",G114)),"پرچ/بدنه کابین(تعمیر)",IF(OR(ISNUMBER(SEARCH("نشت",G114)),ISNUMBER(SEARCH("آبريزش",G114)),ISNUMBER(SEARCH("آبریزش",G114))),"نشتی آب - محل نامشخص (نیازمند بازدید)",IF(ISNUMBER(SEARCH("درب",G114)),"سایر اجزای درب (بازبینی)",IF(ISNUMBER(SEARCH("ضربه",G114)),"بدنه/کابین - ضربه (بازبینی/تعویض پنل)",IF(ISNUMBER(SEARCH("تراز",G114)),"تراز/لرزش - نصب (رگلاژ پایه)",IF(OR(ISNUMBER(SEARCH("تعویض",G114)),ISNUMBER(SEARCH("تعويض",G114))),"تعویض کامل دستگاه (Replacement)","سایر (نیازمند بررسی دستی)")))))))))))))))))))))))))))))))))))))))))))</f>
        <v/>
      </c>
      <c r="P114" s="124" t="inlineStr">
        <is>
          <t>سبد ظرفشویی</t>
        </is>
      </c>
      <c r="Q114" s="124">
        <f>IF(ISNUMBER(SEARCH("عهده شرکت",F114)),"شرکت",IF(ISNUMBER(SEARCH("عهده مشتري",F114)),"مشتری",IF(ISNUMBER(SEARCH("عهده مشتری",F114)),"مشتری","نامشخص")))</f>
        <v/>
      </c>
      <c r="R114" s="178">
        <f>IF(O114="تعویض کامل دستگاه (Replacement)",IF(SUMIF('قیمت‌ها و مفروضات'!$A$9:$A$13,C114,'قیمت‌ها و مفروضات'!$C$9:$C$13)&lt;&gt;0,SUMIF('قیمت‌ها و مفروضات'!$A$9:$A$13,C114,'قیمت‌ها و مفروضات'!$C$9:$C$13),SUMIF('قیمت‌ها و مفروضات'!$A$9:$A$13,C114,'قیمت‌ها و مفروضات'!$B$9:$B$13)),IF(SUMIF('قیمت‌ها و مفروضات'!$A$18:$A$63,O114,'قیمت‌ها و مفروضات'!$C$18:$C$63)&lt;&gt;0,SUMIF('قیمت‌ها و مفروضات'!$A$18:$A$63,O114,'قیمت‌ها و مفروضات'!$C$18:$C$63),SUMIF('قیمت‌ها و مفروضات'!$A$18:$A$63,O114,'قیمت‌ها و مفروضات'!$B$18:$B$63)))</f>
        <v/>
      </c>
      <c r="S114" s="178">
        <f>'قیمت‌ها و مفروضات'!$B$3+'قیمت‌ها و مفروضات'!$B$4</f>
        <v/>
      </c>
      <c r="T114" s="178">
        <f>R114+S114</f>
        <v/>
      </c>
      <c r="U114" s="178">
        <f>IF(COUNTIF($E$2:E114,E114)&gt;1,"بله (تکراری)","خیر")</f>
        <v/>
      </c>
      <c r="V114" s="178">
        <f>IF(U114="بله (تکراری)",S114,0)</f>
        <v/>
      </c>
      <c r="W114" s="208" t="inlineStr"/>
      <c r="X114" s="208" t="inlineStr"/>
    </row>
    <row r="115" ht="58.5" customHeight="1" s="151">
      <c r="A115" s="176" t="n">
        <v>210004825</v>
      </c>
      <c r="B115" s="124">
        <f>CHOOSE(_xlfn.NUMBERVALUE(MID(H115,6,2)),"فروردین","اردیبهشت","خرداد","تیر","مرداد","شهریور","مهر","آبان","آذر","دی","بهمن","اسفند")</f>
        <v/>
      </c>
      <c r="C115" s="176" t="inlineStr">
        <is>
          <t>یخچال ساید‌بای‌ساید</t>
        </is>
      </c>
      <c r="D115" s="176" t="inlineStr">
        <is>
          <t>C2S-29HS1</t>
        </is>
      </c>
      <c r="E115" s="176" t="inlineStr">
        <is>
          <t>52240001N01196</t>
        </is>
      </c>
      <c r="F115" s="173" t="inlineStr">
        <is>
          <t>عدم کارکرد يخساز اياب و ذهاب به عهده شرکت</t>
        </is>
      </c>
      <c r="G115" s="173" t="inlineStr">
        <is>
          <t>خرابي موتور يخساز - سايد باي سايد</t>
        </is>
      </c>
      <c r="H115" s="176" t="inlineStr">
        <is>
          <t>1405/01/23</t>
        </is>
      </c>
      <c r="I115" s="124" t="inlineStr">
        <is>
          <t>1403/04/24</t>
        </is>
      </c>
      <c r="J115" s="124" t="inlineStr">
        <is>
          <t>1404/03/12</t>
        </is>
      </c>
      <c r="K115" s="177">
        <f>IFERROR(VLOOKUP(LEFT(H115,7),'تبدیل تاریخ'!$A$2:$B$73,2,FALSE())+VALUE(RIGHT(H115,2))-1,"")</f>
        <v/>
      </c>
      <c r="L115" s="177">
        <f>IFERROR(VLOOKUP(LEFT(I115,7),'تبدیل تاریخ'!$A$2:$B$73,2,FALSE())+VALUE(RIGHT(I115,2))-1,"")</f>
        <v/>
      </c>
      <c r="M115" s="177">
        <f>IF(J115="","",IFERROR(VLOOKUP(LEFT(J115,7),'تبدیل تاریخ'!$A$2:$B$73,2,FALSE())+VALUE(RIGHT(J115,2))-1,""))</f>
        <v/>
      </c>
      <c r="N115" s="124">
        <f>IF(OR(K115="",M115=""),"",CEILING((K115-M115)/30,1))</f>
        <v/>
      </c>
      <c r="O115" s="124">
        <f>IF(OR(ISNUMBER(SEARCH("بدون مورد",G115)),ISNUMBER(SEARCH("غير گارانتي",G115)),ISNUMBER(SEARCH("غیر گارانتی",G115)),ISNUMBER(SEARCH("بدون اجرت",G115)),ISNUMBER(SEARCH("فيلتر",G115)),ISNUMBER(SEARCH("فیلتر",G115))),"غیرگارانتی/بدون قطعه",IF(OR(ISNUMBER(SEARCH("ريست",G115)),ISNUMBER(SEARCH("ریست",G115))),"ریست نرم‌افزاری (بدون قطعه)",IF(OR(ISNUMBER(SEARCH("تعویض محصول",G115)),ISNUMBER(SEARCH("تعویض دستگاه",G115))),"تعویض کامل دستگاه (Replacement)",IF(ISNUMBER(SEARCH("پمپ",G115)),IF(ISNUMBER(SEARCH("نشت",G115)),"نشتی - پمپ تخلیه (تعمیر/آب‌بندی)","خرابی - پمپ تخلیه (تعویض)"),IF(ISNUMBER(SEARCH("کمپرسور",G115)),"خرابی - کمپرسور (تعویض)",IF(ISNUMBER(SEARCH("کمک فنر",G115)),"خرابی - کمک فنر (تعویض)",IF(ISNUMBER(SEARCH("لولا",G115)),"مکانیزم درب - لولا (تعویض)",IF(OR(ISNUMBER(SEARCH("قلاب",G115)),ISNUMBER(SEARCH("ميکروسوئيچ",G115)),ISNUMBER(SEARCH("میکروسوئیچ",G115))),"مکانیزم درب - میکروسوئیچ/قلاب (تعویض/تنظیم)",IF(ISNUMBER(SEARCH("زبانه",G115)),"مکانیزم درب - زبانه (تعویض)",IF(OR(ISNUMBER(SEARCH("شيلنگ",G115)),ISNUMBER(SEARCH("شیلنگ",G115))),IF(OR(ISNUMBER(SEARCH("نشتی",G115)),ISNUMBER(SEARCH("نشتي",G115))),"نشتی - شیلنگ (تعمیر/آب‌بندی)",IF(OR(ISNUMBER(SEARCH("يخ",G115)),ISNUMBER(SEARCH("یخ",G115))),"شیلنگ یخساز - یخ‌زدگی (بازبینی)","شیلنگ - برخورد/لهیدگی (بازبینی)")),IF(OR(ISNUMBER(SEARCH("تنظيم ديسپل",G115)),ISNUMBER(SEARCH("تنظیم دیسپل",G115)),ISNUMBER(SEARCH("تنظيم صفحه نمايش",G115)),ISNUMBER(SEARCH("تنظیم صفحه نمایش",G115))),"تنظیم - تنظیمات دستگاه/دیسپلی (تعمیر)",IF(OR(ISNUMBER(SEARCH("برد",G115)),ISNUMBER(SEARCH("سوکت",G115)),ISNUMBER(SEARCH("ديسپل",G115)),ISNUMBER(SEARCH("دیسپل",G115))),"خرابی - برد الکترونیک (تعویض)",IF(OR(ISNUMBER(SEARCH("يخساز",G115)),ISNUMBER(SEARCH("یخساز",G115)),ISNUMBER(SEARCH("دمپر",G115))),IF(OR(ISNUMBER(SEARCH("خرابی",G115)),ISNUMBER(SEARCH("خراب",G115)),ISNUMBER(SEARCH("عدم کارکرد",G115)),ISNUMBER(SEARCH("عدم عملکرد",G115))),"یخساز - خرابی موتور/سنسور/برد (تعویض)","یخساز - تنظیم/عایق (تعمیر)"),IF(OR(ISNUMBER(SEARCH("لاستيک",G115)),ISNUMBER(SEARCH("لاستیک",G115))),"لاستیک درزگیر - دفرمگی/پارگی (تعویض)",IF(OR(ISNUMBER(SEARCH("گسکت",G115)),ISNUMBER(SEARCH("گسگت",G115))),"لاستیک درزگیر - دفرمگی/پارگی (تعویض)",IF(ISNUMBER(SEARCH("مخزن نمک",G115)),"نشتی - درب مخزن نمک (تعمیر/آب‌بندی)",IF(ISNUMBER(SEARCH("براکت",G115)),"نشتی - براکت ریل (تعمیر/آب‌بندی)",IF(ISNUMBER(SEARCH("جاپودر",G115)),"نشتی - جاپودری (تعمیر/آب‌بندی)",IF(ISNUMBER(SEARCH("مقسم",G115)),"نشتی - مقسم آب (تعمیر/آب‌بندی)",IF(OR(ISNUMBER(SEARCH("سنسور دما",G115)),ISNUMBER(SEARCH("ترموستات",G115))),"خرابی - ترموستات (تعویض)",IF(OR(ISNUMBER(SEARCH("هيدروستات",G115)),ISNUMBER(SEARCH("هیدروستات",G115))),"خرابی - هیدروستات (تعویض)",IF(OR(ISNUMBER(SEARCH("بلبرينگ",G115)),ISNUMBER(SEARCH("بلبرینگ",G115))),"خرابی - بلبرینگ (تعویض)",IF(OR(ISNUMBER(SEARCH("شيربرق",G115)),ISNUMBER(SEARCH("شیربرق",G115))),"خرابی - شیربرقی (تعویض)",IF(OR(ISNUMBER(SEARCH("واتر جت",G115)),ISNUMBER(SEARCH("واترجت",G115))),"خرابی - واترجت (تعویض)",IF(OR(ISNUMBER(SEARCH("سيم",G115)),ISNUMBER(SEARCH("سیم",G115)),ISNUMBER(SEARCH("اتصال",G115))),"سیم‌کشی/اتصالات (تعویض/بازبینی)",IF(OR(ISNUMBER(SEARCH("تصوير",G115)),ISNUMBER(SEARCH("تصویر",G115))),"برد نمایش تلویزیون (تعویض)",IF(OR(ISNUMBER(SEARCH("ريموت",G115)),ISNUMBER(SEARCH("ریموت",G115))),"ریموت کنترل (تعویض/تعمیر)",IF(OR(ISNUMBER(SEARCH("ال اي دي",G115)),ISNUMBER(SEARCH("ال ای دی",G115)),ISNUMBER(SEARCH("LED",G115))),"خرابی - لامپ/LED داخلی (تعویض)",IF(ISNUMBER(SEARCH("زنگ زدگ",G115)),"زنگ‌زدگی بدنه/قطعه (تعویض)",IF(OR(ISNUMBER(SEARCH("قطعات تزئين",G115)),ISNUMBER(SEARCH("قطعات تزئین",G115))),"قطعات تزئینی - شکستگی/کسری (تعویض)",IF(ISNUMBER(SEARCH("سبد",G115)),"سبد ظرفشویی - شکستگی (تعویض)",IF(ISNUMBER(SEARCH("تاب درام",G115)),"خرابی - تاب برداشتن درام (تعویض)",IF(ISNUMBER(SEARCH("درام",G115)),"خرابی - سایر ایراد درام (تعویض)",IF(ISNUMBER(SEARCH("موتور",G115)),"خرابی - موتور (تعویض)",IF(ISNUMBER(SEARCH("تسمه",G115)),"خرابی - تسمه (تعویض)",IF(OR(ISNUMBER(SEARCH("پيچ ولوم",G115)),ISNUMBER(SEARCH("پیچ ولوم",G115))),"تنظیم - پیچ ولوم/دکمه (تعمیر)",IF(OR(ISNUMBER(SEARCH("کسري قطعات",G115)),ISNUMBER(SEARCH("کسری قطعات",G115))),"کسری قطعات تزئینی (تعویض)",IF(ISNUMBER(SEARCH("پرچ",G115)),"پرچ/بدنه کابین(تعمیر)",IF(OR(ISNUMBER(SEARCH("نشت",G115)),ISNUMBER(SEARCH("آبريزش",G115)),ISNUMBER(SEARCH("آبریزش",G115))),"نشتی آب - محل نامشخص (نیازمند بازدید)",IF(ISNUMBER(SEARCH("درب",G115)),"سایر اجزای درب (بازبینی)",IF(ISNUMBER(SEARCH("ضربه",G115)),"بدنه/کابین - ضربه (بازبینی/تعویض پنل)",IF(ISNUMBER(SEARCH("تراز",G115)),"تراز/لرزش - نصب (رگلاژ پایه)",IF(OR(ISNUMBER(SEARCH("تعویض",G115)),ISNUMBER(SEARCH("تعويض",G115))),"تعویض کامل دستگاه (Replacement)","سایر (نیازمند بررسی دستی)")))))))))))))))))))))))))))))))))))))))))))</f>
        <v/>
      </c>
      <c r="P115" s="124" t="inlineStr">
        <is>
          <t>خرابی موتور یخساز ساید</t>
        </is>
      </c>
      <c r="Q115" s="124">
        <f>IF(ISNUMBER(SEARCH("عهده شرکت",F115)),"شرکت",IF(ISNUMBER(SEARCH("عهده مشتري",F115)),"مشتری",IF(ISNUMBER(SEARCH("عهده مشتری",F115)),"مشتری","نامشخص")))</f>
        <v/>
      </c>
      <c r="R115" s="178">
        <f>IF(O115="تعویض کامل دستگاه (Replacement)",IF(SUMIF('قیمت‌ها و مفروضات'!$A$9:$A$13,C115,'قیمت‌ها و مفروضات'!$C$9:$C$13)&lt;&gt;0,SUMIF('قیمت‌ها و مفروضات'!$A$9:$A$13,C115,'قیمت‌ها و مفروضات'!$C$9:$C$13),SUMIF('قیمت‌ها و مفروضات'!$A$9:$A$13,C115,'قیمت‌ها و مفروضات'!$B$9:$B$13)),IF(SUMIF('قیمت‌ها و مفروضات'!$A$18:$A$63,O115,'قیمت‌ها و مفروضات'!$C$18:$C$63)&lt;&gt;0,SUMIF('قیمت‌ها و مفروضات'!$A$18:$A$63,O115,'قیمت‌ها و مفروضات'!$C$18:$C$63),SUMIF('قیمت‌ها و مفروضات'!$A$18:$A$63,O115,'قیمت‌ها و مفروضات'!$B$18:$B$63)))</f>
        <v/>
      </c>
      <c r="S115" s="178">
        <f>'قیمت‌ها و مفروضات'!$B$3+'قیمت‌ها و مفروضات'!$B$4</f>
        <v/>
      </c>
      <c r="T115" s="178">
        <f>R115+S115</f>
        <v/>
      </c>
      <c r="U115" s="178">
        <f>IF(COUNTIF($E$2:E115,E115)&gt;1,"بله (تکراری)","خیر")</f>
        <v/>
      </c>
      <c r="V115" s="178">
        <f>IF(U115="بله (تکراری)",S115,0)</f>
        <v/>
      </c>
      <c r="W115" s="208" t="inlineStr"/>
      <c r="X115" s="208" t="inlineStr"/>
    </row>
    <row r="116" ht="58.5" customHeight="1" s="151">
      <c r="A116" s="176" t="n">
        <v>130007886</v>
      </c>
      <c r="B116" s="124">
        <f>CHOOSE(_xlfn.NUMBERVALUE(MID(H116,6,2)),"فروردین","اردیبهشت","خرداد","تیر","مرداد","شهریور","مهر","آبان","آذر","دی","بهمن","اسفند")</f>
        <v/>
      </c>
      <c r="C116" s="176" t="inlineStr">
        <is>
          <t>ماشين لباسشويي</t>
        </is>
      </c>
      <c r="D116" s="176" t="inlineStr">
        <is>
          <t>CWM-BMW8V1</t>
        </is>
      </c>
      <c r="E116" s="176" t="inlineStr">
        <is>
          <t>52210004N00791</t>
        </is>
      </c>
      <c r="F116" s="173" t="inlineStr">
        <is>
          <t>صداي غيرعادي هنگام خشک کن**مجدد**لرزش و حرکت محصول**اياب و ذهاب به عهده مشتري</t>
        </is>
      </c>
      <c r="G116" s="173" t="inlineStr">
        <is>
          <t>خرابي بلبرينگ</t>
        </is>
      </c>
      <c r="H116" s="176" t="inlineStr">
        <is>
          <t>1405/01/16</t>
        </is>
      </c>
      <c r="I116" s="124" t="inlineStr">
        <is>
          <t>1403/02/11</t>
        </is>
      </c>
      <c r="J116" s="124" t="inlineStr">
        <is>
          <t>1403/08/13</t>
        </is>
      </c>
      <c r="K116" s="177">
        <f>IFERROR(VLOOKUP(LEFT(H116,7),'تبدیل تاریخ'!$A$2:$B$73,2,FALSE())+VALUE(RIGHT(H116,2))-1,"")</f>
        <v/>
      </c>
      <c r="L116" s="177">
        <f>IFERROR(VLOOKUP(LEFT(I116,7),'تبدیل تاریخ'!$A$2:$B$73,2,FALSE())+VALUE(RIGHT(I116,2))-1,"")</f>
        <v/>
      </c>
      <c r="M116" s="177">
        <f>IF(J116="","",IFERROR(VLOOKUP(LEFT(J116,7),'تبدیل تاریخ'!$A$2:$B$73,2,FALSE())+VALUE(RIGHT(J116,2))-1,""))</f>
        <v/>
      </c>
      <c r="N116" s="124">
        <f>IF(OR(K116="",M116=""),"",CEILING((K116-M116)/30,1))</f>
        <v/>
      </c>
      <c r="O116" s="124">
        <f>IF(OR(ISNUMBER(SEARCH("بدون مورد",G116)),ISNUMBER(SEARCH("غير گارانتي",G116)),ISNUMBER(SEARCH("غیر گارانتی",G116)),ISNUMBER(SEARCH("بدون اجرت",G116)),ISNUMBER(SEARCH("فيلتر",G116)),ISNUMBER(SEARCH("فیلتر",G116))),"غیرگارانتی/بدون قطعه",IF(OR(ISNUMBER(SEARCH("ريست",G116)),ISNUMBER(SEARCH("ریست",G116))),"ریست نرم‌افزاری (بدون قطعه)",IF(OR(ISNUMBER(SEARCH("تعویض محصول",G116)),ISNUMBER(SEARCH("تعویض دستگاه",G116))),"تعویض کامل دستگاه (Replacement)",IF(ISNUMBER(SEARCH("پمپ",G116)),IF(ISNUMBER(SEARCH("نشت",G116)),"نشتی - پمپ تخلیه (تعمیر/آب‌بندی)","خرابی - پمپ تخلیه (تعویض)"),IF(ISNUMBER(SEARCH("کمپرسور",G116)),"خرابی - کمپرسور (تعویض)",IF(ISNUMBER(SEARCH("کمک فنر",G116)),"خرابی - کمک فنر (تعویض)",IF(ISNUMBER(SEARCH("لولا",G116)),"مکانیزم درب - لولا (تعویض)",IF(OR(ISNUMBER(SEARCH("قلاب",G116)),ISNUMBER(SEARCH("ميکروسوئيچ",G116)),ISNUMBER(SEARCH("میکروسوئیچ",G116))),"مکانیزم درب - میکروسوئیچ/قلاب (تعویض/تنظیم)",IF(ISNUMBER(SEARCH("زبانه",G116)),"مکانیزم درب - زبانه (تعویض)",IF(OR(ISNUMBER(SEARCH("شيلنگ",G116)),ISNUMBER(SEARCH("شیلنگ",G116))),IF(OR(ISNUMBER(SEARCH("نشتی",G116)),ISNUMBER(SEARCH("نشتي",G116))),"نشتی - شیلنگ (تعمیر/آب‌بندی)",IF(OR(ISNUMBER(SEARCH("يخ",G116)),ISNUMBER(SEARCH("یخ",G116))),"شیلنگ یخساز - یخ‌زدگی (بازبینی)","شیلنگ - برخورد/لهیدگی (بازبینی)")),IF(OR(ISNUMBER(SEARCH("تنظيم ديسپل",G116)),ISNUMBER(SEARCH("تنظیم دیسپل",G116)),ISNUMBER(SEARCH("تنظيم صفحه نمايش",G116)),ISNUMBER(SEARCH("تنظیم صفحه نمایش",G116))),"تنظیم - تنظیمات دستگاه/دیسپلی (تعمیر)",IF(OR(ISNUMBER(SEARCH("برد",G116)),ISNUMBER(SEARCH("سوکت",G116)),ISNUMBER(SEARCH("ديسپل",G116)),ISNUMBER(SEARCH("دیسپل",G116))),"خرابی - برد الکترونیک (تعویض)",IF(OR(ISNUMBER(SEARCH("يخساز",G116)),ISNUMBER(SEARCH("یخساز",G116)),ISNUMBER(SEARCH("دمپر",G116))),IF(OR(ISNUMBER(SEARCH("خرابی",G116)),ISNUMBER(SEARCH("خراب",G116)),ISNUMBER(SEARCH("عدم کارکرد",G116)),ISNUMBER(SEARCH("عدم عملکرد",G116))),"یخساز - خرابی موتور/سنسور/برد (تعویض)","یخساز - تنظیم/عایق (تعمیر)"),IF(OR(ISNUMBER(SEARCH("لاستيک",G116)),ISNUMBER(SEARCH("لاستیک",G116))),"لاستیک درزگیر - دفرمگی/پارگی (تعویض)",IF(OR(ISNUMBER(SEARCH("گسکت",G116)),ISNUMBER(SEARCH("گسگت",G116))),"لاستیک درزگیر - دفرمگی/پارگی (تعویض)",IF(ISNUMBER(SEARCH("مخزن نمک",G116)),"نشتی - درب مخزن نمک (تعمیر/آب‌بندی)",IF(ISNUMBER(SEARCH("براکت",G116)),"نشتی - براکت ریل (تعمیر/آب‌بندی)",IF(ISNUMBER(SEARCH("جاپودر",G116)),"نشتی - جاپودری (تعمیر/آب‌بندی)",IF(ISNUMBER(SEARCH("مقسم",G116)),"نشتی - مقسم آب (تعمیر/آب‌بندی)",IF(OR(ISNUMBER(SEARCH("سنسور دما",G116)),ISNUMBER(SEARCH("ترموستات",G116))),"خرابی - ترموستات (تعویض)",IF(OR(ISNUMBER(SEARCH("هيدروستات",G116)),ISNUMBER(SEARCH("هیدروستات",G116))),"خرابی - هیدروستات (تعویض)",IF(OR(ISNUMBER(SEARCH("بلبرينگ",G116)),ISNUMBER(SEARCH("بلبرینگ",G116))),"خرابی - بلبرینگ (تعویض)",IF(OR(ISNUMBER(SEARCH("شيربرق",G116)),ISNUMBER(SEARCH("شیربرق",G116))),"خرابی - شیربرقی (تعویض)",IF(OR(ISNUMBER(SEARCH("واتر جت",G116)),ISNUMBER(SEARCH("واترجت",G116))),"خرابی - واترجت (تعویض)",IF(OR(ISNUMBER(SEARCH("سيم",G116)),ISNUMBER(SEARCH("سیم",G116)),ISNUMBER(SEARCH("اتصال",G116))),"سیم‌کشی/اتصالات (تعویض/بازبینی)",IF(OR(ISNUMBER(SEARCH("تصوير",G116)),ISNUMBER(SEARCH("تصویر",G116))),"برد نمایش تلویزیون (تعویض)",IF(OR(ISNUMBER(SEARCH("ريموت",G116)),ISNUMBER(SEARCH("ریموت",G116))),"ریموت کنترل (تعویض/تعمیر)",IF(OR(ISNUMBER(SEARCH("ال اي دي",G116)),ISNUMBER(SEARCH("ال ای دی",G116)),ISNUMBER(SEARCH("LED",G116))),"خرابی - لامپ/LED داخلی (تعویض)",IF(ISNUMBER(SEARCH("زنگ زدگ",G116)),"زنگ‌زدگی بدنه/قطعه (تعویض)",IF(OR(ISNUMBER(SEARCH("قطعات تزئين",G116)),ISNUMBER(SEARCH("قطعات تزئین",G116))),"قطعات تزئینی - شکستگی/کسری (تعویض)",IF(ISNUMBER(SEARCH("سبد",G116)),"سبد ظرفشویی - شکستگی (تعویض)",IF(ISNUMBER(SEARCH("تاب درام",G116)),"خرابی - تاب برداشتن درام (تعویض)",IF(ISNUMBER(SEARCH("درام",G116)),"خرابی - سایر ایراد درام (تعویض)",IF(ISNUMBER(SEARCH("موتور",G116)),"خرابی - موتور (تعویض)",IF(ISNUMBER(SEARCH("تسمه",G116)),"خرابی - تسمه (تعویض)",IF(OR(ISNUMBER(SEARCH("پيچ ولوم",G116)),ISNUMBER(SEARCH("پیچ ولوم",G116))),"تنظیم - پیچ ولوم/دکمه (تعمیر)",IF(OR(ISNUMBER(SEARCH("کسري قطعات",G116)),ISNUMBER(SEARCH("کسری قطعات",G116))),"کسری قطعات تزئینی (تعویض)",IF(ISNUMBER(SEARCH("پرچ",G116)),"پرچ/بدنه کابین(تعمیر)",IF(OR(ISNUMBER(SEARCH("نشت",G116)),ISNUMBER(SEARCH("آبريزش",G116)),ISNUMBER(SEARCH("آبریزش",G116))),"نشتی آب - محل نامشخص (نیازمند بازدید)",IF(ISNUMBER(SEARCH("درب",G116)),"سایر اجزای درب (بازبینی)",IF(ISNUMBER(SEARCH("ضربه",G116)),"بدنه/کابین - ضربه (بازبینی/تعویض پنل)",IF(ISNUMBER(SEARCH("تراز",G116)),"تراز/لرزش - نصب (رگلاژ پایه)",IF(OR(ISNUMBER(SEARCH("تعویض",G116)),ISNUMBER(SEARCH("تعويض",G116))),"تعویض کامل دستگاه (Replacement)","سایر (نیازمند بررسی دستی)")))))))))))))))))))))))))))))))))))))))))))</f>
        <v/>
      </c>
      <c r="P116" s="124" t="inlineStr">
        <is>
          <t>بلبرینگ لباسشویی</t>
        </is>
      </c>
      <c r="Q116" s="124">
        <f>IF(ISNUMBER(SEARCH("عهده شرکت",F116)),"شرکت",IF(ISNUMBER(SEARCH("عهده مشتري",F116)),"مشتری",IF(ISNUMBER(SEARCH("عهده مشتری",F116)),"مشتری","نامشخص")))</f>
        <v/>
      </c>
      <c r="R116" s="178">
        <f>IF(O116="تعویض کامل دستگاه (Replacement)",IF(SUMIF('قیمت‌ها و مفروضات'!$A$9:$A$13,C116,'قیمت‌ها و مفروضات'!$C$9:$C$13)&lt;&gt;0,SUMIF('قیمت‌ها و مفروضات'!$A$9:$A$13,C116,'قیمت‌ها و مفروضات'!$C$9:$C$13),SUMIF('قیمت‌ها و مفروضات'!$A$9:$A$13,C116,'قیمت‌ها و مفروضات'!$B$9:$B$13)),IF(SUMIF('قیمت‌ها و مفروضات'!$A$18:$A$63,O116,'قیمت‌ها و مفروضات'!$C$18:$C$63)&lt;&gt;0,SUMIF('قیمت‌ها و مفروضات'!$A$18:$A$63,O116,'قیمت‌ها و مفروضات'!$C$18:$C$63),SUMIF('قیمت‌ها و مفروضات'!$A$18:$A$63,O116,'قیمت‌ها و مفروضات'!$B$18:$B$63)))</f>
        <v/>
      </c>
      <c r="S116" s="178">
        <f>'قیمت‌ها و مفروضات'!$B$3+'قیمت‌ها و مفروضات'!$B$4</f>
        <v/>
      </c>
      <c r="T116" s="178">
        <f>R116+S116</f>
        <v/>
      </c>
      <c r="U116" s="178">
        <f>IF(COUNTIF($E$2:E116,E116)&gt;1,"بله (تکراری)","خیر")</f>
        <v/>
      </c>
      <c r="V116" s="178">
        <f>IF(U116="بله (تکراری)",S116,0)</f>
        <v/>
      </c>
      <c r="W116" s="208" t="inlineStr"/>
      <c r="X116" s="208" t="inlineStr"/>
    </row>
    <row r="117" ht="58.5" customHeight="1" s="151">
      <c r="A117" s="176" t="n">
        <v>130007902</v>
      </c>
      <c r="B117" s="124">
        <f>CHOOSE(_xlfn.NUMBERVALUE(MID(H117,6,2)),"فروردین","اردیبهشت","خرداد","تیر","مرداد","شهریور","مهر","آبان","آذر","دی","بهمن","اسفند")</f>
        <v/>
      </c>
      <c r="C117" s="176" t="inlineStr">
        <is>
          <t>ماشين ظرفشويي</t>
        </is>
      </c>
      <c r="D117" s="176" t="inlineStr">
        <is>
          <t>CDW-H13V</t>
        </is>
      </c>
      <c r="E117" s="176" t="inlineStr">
        <is>
          <t>52220001N00661</t>
        </is>
      </c>
      <c r="F117" s="173" t="inlineStr">
        <is>
          <t>خطاي F54 اياب و ذهاب به عهده شرکت</t>
        </is>
      </c>
      <c r="G117" s="173" t="inlineStr">
        <is>
          <t>نشتي اورينگ مخزن نمک</t>
        </is>
      </c>
      <c r="H117" s="176" t="inlineStr">
        <is>
          <t>1405/01/16</t>
        </is>
      </c>
      <c r="I117" s="124" t="inlineStr">
        <is>
          <t>1403/07/07</t>
        </is>
      </c>
      <c r="J117" s="124" t="inlineStr">
        <is>
          <t>1404/11/04</t>
        </is>
      </c>
      <c r="K117" s="177">
        <f>IFERROR(VLOOKUP(LEFT(H117,7),'تبدیل تاریخ'!$A$2:$B$73,2,FALSE())+VALUE(RIGHT(H117,2))-1,"")</f>
        <v/>
      </c>
      <c r="L117" s="177">
        <f>IFERROR(VLOOKUP(LEFT(I117,7),'تبدیل تاریخ'!$A$2:$B$73,2,FALSE())+VALUE(RIGHT(I117,2))-1,"")</f>
        <v/>
      </c>
      <c r="M117" s="177">
        <f>IF(J117="","",IFERROR(VLOOKUP(LEFT(J117,7),'تبدیل تاریخ'!$A$2:$B$73,2,FALSE())+VALUE(RIGHT(J117,2))-1,""))</f>
        <v/>
      </c>
      <c r="N117" s="124">
        <f>IF(OR(K117="",M117=""),"",CEILING((K117-M117)/30,1))</f>
        <v/>
      </c>
      <c r="O117" s="124">
        <f>IF(OR(ISNUMBER(SEARCH("بدون مورد",G117)),ISNUMBER(SEARCH("غير گارانتي",G117)),ISNUMBER(SEARCH("غیر گارانتی",G117)),ISNUMBER(SEARCH("بدون اجرت",G117)),ISNUMBER(SEARCH("فيلتر",G117)),ISNUMBER(SEARCH("فیلتر",G117))),"غیرگارانتی/بدون قطعه",IF(OR(ISNUMBER(SEARCH("ريست",G117)),ISNUMBER(SEARCH("ریست",G117))),"ریست نرم‌افزاری (بدون قطعه)",IF(OR(ISNUMBER(SEARCH("تعویض محصول",G117)),ISNUMBER(SEARCH("تعویض دستگاه",G117))),"تعویض کامل دستگاه (Replacement)",IF(ISNUMBER(SEARCH("پمپ",G117)),IF(ISNUMBER(SEARCH("نشت",G117)),"نشتی - پمپ تخلیه (تعمیر/آب‌بندی)","خرابی - پمپ تخلیه (تعویض)"),IF(ISNUMBER(SEARCH("کمپرسور",G117)),"خرابی - کمپرسور (تعویض)",IF(ISNUMBER(SEARCH("کمک فنر",G117)),"خرابی - کمک فنر (تعویض)",IF(ISNUMBER(SEARCH("لولا",G117)),"مکانیزم درب - لولا (تعویض)",IF(OR(ISNUMBER(SEARCH("قلاب",G117)),ISNUMBER(SEARCH("ميکروسوئيچ",G117)),ISNUMBER(SEARCH("میکروسوئیچ",G117))),"مکانیزم درب - میکروسوئیچ/قلاب (تعویض/تنظیم)",IF(ISNUMBER(SEARCH("زبانه",G117)),"مکانیزم درب - زبانه (تعویض)",IF(OR(ISNUMBER(SEARCH("شيلنگ",G117)),ISNUMBER(SEARCH("شیلنگ",G117))),IF(OR(ISNUMBER(SEARCH("نشتی",G117)),ISNUMBER(SEARCH("نشتي",G117))),"نشتی - شیلنگ (تعمیر/آب‌بندی)",IF(OR(ISNUMBER(SEARCH("يخ",G117)),ISNUMBER(SEARCH("یخ",G117))),"شیلنگ یخساز - یخ‌زدگی (بازبینی)","شیلنگ - برخورد/لهیدگی (بازبینی)")),IF(OR(ISNUMBER(SEARCH("تنظيم ديسپل",G117)),ISNUMBER(SEARCH("تنظیم دیسپل",G117)),ISNUMBER(SEARCH("تنظيم صفحه نمايش",G117)),ISNUMBER(SEARCH("تنظیم صفحه نمایش",G117))),"تنظیم - تنظیمات دستگاه/دیسپلی (تعمیر)",IF(OR(ISNUMBER(SEARCH("برد",G117)),ISNUMBER(SEARCH("سوکت",G117)),ISNUMBER(SEARCH("ديسپل",G117)),ISNUMBER(SEARCH("دیسپل",G117))),"خرابی - برد الکترونیک (تعویض)",IF(OR(ISNUMBER(SEARCH("يخساز",G117)),ISNUMBER(SEARCH("یخساز",G117)),ISNUMBER(SEARCH("دمپر",G117))),IF(OR(ISNUMBER(SEARCH("خرابی",G117)),ISNUMBER(SEARCH("خراب",G117)),ISNUMBER(SEARCH("عدم کارکرد",G117)),ISNUMBER(SEARCH("عدم عملکرد",G117))),"یخساز - خرابی موتور/سنسور/برد (تعویض)","یخساز - تنظیم/عایق (تعمیر)"),IF(OR(ISNUMBER(SEARCH("لاستيک",G117)),ISNUMBER(SEARCH("لاستیک",G117))),"لاستیک درزگیر - دفرمگی/پارگی (تعویض)",IF(OR(ISNUMBER(SEARCH("گسکت",G117)),ISNUMBER(SEARCH("گسگت",G117))),"لاستیک درزگیر - دفرمگی/پارگی (تعویض)",IF(ISNUMBER(SEARCH("مخزن نمک",G117)),"نشتی - درب مخزن نمک (تعمیر/آب‌بندی)",IF(ISNUMBER(SEARCH("براکت",G117)),"نشتی - براکت ریل (تعمیر/آب‌بندی)",IF(ISNUMBER(SEARCH("جاپودر",G117)),"نشتی - جاپودری (تعمیر/آب‌بندی)",IF(ISNUMBER(SEARCH("مقسم",G117)),"نشتی - مقسم آب (تعمیر/آب‌بندی)",IF(OR(ISNUMBER(SEARCH("سنسور دما",G117)),ISNUMBER(SEARCH("ترموستات",G117))),"خرابی - ترموستات (تعویض)",IF(OR(ISNUMBER(SEARCH("هيدروستات",G117)),ISNUMBER(SEARCH("هیدروستات",G117))),"خرابی - هیدروستات (تعویض)",IF(OR(ISNUMBER(SEARCH("بلبرينگ",G117)),ISNUMBER(SEARCH("بلبرینگ",G117))),"خرابی - بلبرینگ (تعویض)",IF(OR(ISNUMBER(SEARCH("شيربرق",G117)),ISNUMBER(SEARCH("شیربرق",G117))),"خرابی - شیربرقی (تعویض)",IF(OR(ISNUMBER(SEARCH("واتر جت",G117)),ISNUMBER(SEARCH("واترجت",G117))),"خرابی - واترجت (تعویض)",IF(OR(ISNUMBER(SEARCH("سيم",G117)),ISNUMBER(SEARCH("سیم",G117)),ISNUMBER(SEARCH("اتصال",G117))),"سیم‌کشی/اتصالات (تعویض/بازبینی)",IF(OR(ISNUMBER(SEARCH("تصوير",G117)),ISNUMBER(SEARCH("تصویر",G117))),"برد نمایش تلویزیون (تعویض)",IF(OR(ISNUMBER(SEARCH("ريموت",G117)),ISNUMBER(SEARCH("ریموت",G117))),"ریموت کنترل (تعویض/تعمیر)",IF(OR(ISNUMBER(SEARCH("ال اي دي",G117)),ISNUMBER(SEARCH("ال ای دی",G117)),ISNUMBER(SEARCH("LED",G117))),"خرابی - لامپ/LED داخلی (تعویض)",IF(ISNUMBER(SEARCH("زنگ زدگ",G117)),"زنگ‌زدگی بدنه/قطعه (تعویض)",IF(OR(ISNUMBER(SEARCH("قطعات تزئين",G117)),ISNUMBER(SEARCH("قطعات تزئین",G117))),"قطعات تزئینی - شکستگی/کسری (تعویض)",IF(ISNUMBER(SEARCH("سبد",G117)),"سبد ظرفشویی - شکستگی (تعویض)",IF(ISNUMBER(SEARCH("تاب درام",G117)),"خرابی - تاب برداشتن درام (تعویض)",IF(ISNUMBER(SEARCH("درام",G117)),"خرابی - سایر ایراد درام (تعویض)",IF(ISNUMBER(SEARCH("موتور",G117)),"خرابی - موتور (تعویض)",IF(ISNUMBER(SEARCH("تسمه",G117)),"خرابی - تسمه (تعویض)",IF(OR(ISNUMBER(SEARCH("پيچ ولوم",G117)),ISNUMBER(SEARCH("پیچ ولوم",G117))),"تنظیم - پیچ ولوم/دکمه (تعمیر)",IF(OR(ISNUMBER(SEARCH("کسري قطعات",G117)),ISNUMBER(SEARCH("کسری قطعات",G117))),"کسری قطعات تزئینی (تعویض)",IF(ISNUMBER(SEARCH("پرچ",G117)),"پرچ/بدنه کابین(تعمیر)",IF(OR(ISNUMBER(SEARCH("نشت",G117)),ISNUMBER(SEARCH("آبريزش",G117)),ISNUMBER(SEARCH("آبریزش",G117))),"نشتی آب - محل نامشخص (نیازمند بازدید)",IF(ISNUMBER(SEARCH("درب",G117)),"سایر اجزای درب (بازبینی)",IF(ISNUMBER(SEARCH("ضربه",G117)),"بدنه/کابین - ضربه (بازبینی/تعویض پنل)",IF(ISNUMBER(SEARCH("تراز",G117)),"تراز/لرزش - نصب (رگلاژ پایه)",IF(OR(ISNUMBER(SEARCH("تعویض",G117)),ISNUMBER(SEARCH("تعويض",G117))),"تعویض کامل دستگاه (Replacement)","سایر (نیازمند بررسی دستی)")))))))))))))))))))))))))))))))))))))))))))</f>
        <v/>
      </c>
      <c r="P117" s="124" t="inlineStr">
        <is>
          <t>*</t>
        </is>
      </c>
      <c r="Q117" s="124">
        <f>IF(ISNUMBER(SEARCH("عهده شرکت",F117)),"شرکت",IF(ISNUMBER(SEARCH("عهده مشتري",F117)),"مشتری",IF(ISNUMBER(SEARCH("عهده مشتری",F117)),"مشتری","نامشخص")))</f>
        <v/>
      </c>
      <c r="R117" s="178">
        <f>IF(O117="تعویض کامل دستگاه (Replacement)",IF(SUMIF('قیمت‌ها و مفروضات'!$A$9:$A$13,C117,'قیمت‌ها و مفروضات'!$C$9:$C$13)&lt;&gt;0,SUMIF('قیمت‌ها و مفروضات'!$A$9:$A$13,C117,'قیمت‌ها و مفروضات'!$C$9:$C$13),SUMIF('قیمت‌ها و مفروضات'!$A$9:$A$13,C117,'قیمت‌ها و مفروضات'!$B$9:$B$13)),IF(SUMIF('قیمت‌ها و مفروضات'!$A$18:$A$63,O117,'قیمت‌ها و مفروضات'!$C$18:$C$63)&lt;&gt;0,SUMIF('قیمت‌ها و مفروضات'!$A$18:$A$63,O117,'قیمت‌ها و مفروضات'!$C$18:$C$63),SUMIF('قیمت‌ها و مفروضات'!$A$18:$A$63,O117,'قیمت‌ها و مفروضات'!$B$18:$B$63)))</f>
        <v/>
      </c>
      <c r="S117" s="178">
        <f>'قیمت‌ها و مفروضات'!$B$3+'قیمت‌ها و مفروضات'!$B$4</f>
        <v/>
      </c>
      <c r="T117" s="178">
        <f>R117+S117</f>
        <v/>
      </c>
      <c r="U117" s="178">
        <f>IF(COUNTIF($E$2:E117,E117)&gt;1,"بله (تکراری)","خیر")</f>
        <v/>
      </c>
      <c r="V117" s="178">
        <f>IF(U117="بله (تکراری)",S117,0)</f>
        <v/>
      </c>
      <c r="W117" s="208" t="inlineStr"/>
      <c r="X117" s="208" t="inlineStr"/>
    </row>
    <row r="118" ht="58.5" customHeight="1" s="151">
      <c r="A118" s="176" t="n">
        <v>310003983</v>
      </c>
      <c r="B118" s="124">
        <f>CHOOSE(_xlfn.NUMBERVALUE(MID(H118,6,2)),"فروردین","اردیبهشت","خرداد","تیر","مرداد","شهریور","مهر","آبان","آذر","دی","بهمن","اسفند")</f>
        <v/>
      </c>
      <c r="C118" s="176" t="inlineStr">
        <is>
          <t>ماشين لباسشويي</t>
        </is>
      </c>
      <c r="D118" s="176" t="inlineStr">
        <is>
          <t>CWM-BMW8V1</t>
        </is>
      </c>
      <c r="E118" s="176" t="inlineStr">
        <is>
          <t>52210003N01422</t>
        </is>
      </c>
      <c r="F118" s="173" t="inlineStr">
        <is>
          <t>ضربه کابين**غيرگارانتي</t>
        </is>
      </c>
      <c r="G118" s="173" t="inlineStr">
        <is>
          <t>ضربه کابين</t>
        </is>
      </c>
      <c r="H118" s="176" t="inlineStr">
        <is>
          <t>1405/01/18</t>
        </is>
      </c>
      <c r="I118" s="124" t="inlineStr">
        <is>
          <t>1403/10/17</t>
        </is>
      </c>
      <c r="J118" s="124" t="inlineStr">
        <is>
          <t>1403/10/17</t>
        </is>
      </c>
      <c r="K118" s="177">
        <f>IFERROR(VLOOKUP(LEFT(H118,7),'تبدیل تاریخ'!$A$2:$B$73,2,FALSE())+VALUE(RIGHT(H118,2))-1,"")</f>
        <v/>
      </c>
      <c r="L118" s="177">
        <f>IFERROR(VLOOKUP(LEFT(I118,7),'تبدیل تاریخ'!$A$2:$B$73,2,FALSE())+VALUE(RIGHT(I118,2))-1,"")</f>
        <v/>
      </c>
      <c r="M118" s="177">
        <f>IF(J118="","",IFERROR(VLOOKUP(LEFT(J118,7),'تبدیل تاریخ'!$A$2:$B$73,2,FALSE())+VALUE(RIGHT(J118,2))-1,""))</f>
        <v/>
      </c>
      <c r="N118" s="124">
        <f>IF(OR(K118="",M118=""),"",CEILING((K118-M118)/30,1))</f>
        <v/>
      </c>
      <c r="O118" s="124">
        <f>IF(OR(ISNUMBER(SEARCH("بدون مورد",G118)),ISNUMBER(SEARCH("غير گارانتي",G118)),ISNUMBER(SEARCH("غیر گارانتی",G118)),ISNUMBER(SEARCH("بدون اجرت",G118)),ISNUMBER(SEARCH("فيلتر",G118)),ISNUMBER(SEARCH("فیلتر",G118))),"غیرگارانتی/بدون قطعه",IF(OR(ISNUMBER(SEARCH("ريست",G118)),ISNUMBER(SEARCH("ریست",G118))),"ریست نرم‌افزاری (بدون قطعه)",IF(OR(ISNUMBER(SEARCH("تعویض محصول",G118)),ISNUMBER(SEARCH("تعویض دستگاه",G118))),"تعویض کامل دستگاه (Replacement)",IF(ISNUMBER(SEARCH("پمپ",G118)),IF(ISNUMBER(SEARCH("نشت",G118)),"نشتی - پمپ تخلیه (تعمیر/آب‌بندی)","خرابی - پمپ تخلیه (تعویض)"),IF(ISNUMBER(SEARCH("کمپرسور",G118)),"خرابی - کمپرسور (تعویض)",IF(ISNUMBER(SEARCH("کمک فنر",G118)),"خرابی - کمک فنر (تعویض)",IF(ISNUMBER(SEARCH("لولا",G118)),"مکانیزم درب - لولا (تعویض)",IF(OR(ISNUMBER(SEARCH("قلاب",G118)),ISNUMBER(SEARCH("ميکروسوئيچ",G118)),ISNUMBER(SEARCH("میکروسوئیچ",G118))),"مکانیزم درب - میکروسوئیچ/قلاب (تعویض/تنظیم)",IF(ISNUMBER(SEARCH("زبانه",G118)),"مکانیزم درب - زبانه (تعویض)",IF(OR(ISNUMBER(SEARCH("شيلنگ",G118)),ISNUMBER(SEARCH("شیلنگ",G118))),IF(OR(ISNUMBER(SEARCH("نشتی",G118)),ISNUMBER(SEARCH("نشتي",G118))),"نشتی - شیلنگ (تعمیر/آب‌بندی)",IF(OR(ISNUMBER(SEARCH("يخ",G118)),ISNUMBER(SEARCH("یخ",G118))),"شیلنگ یخساز - یخ‌زدگی (بازبینی)","شیلنگ - برخورد/لهیدگی (بازبینی)")),IF(OR(ISNUMBER(SEARCH("تنظيم ديسپل",G118)),ISNUMBER(SEARCH("تنظیم دیسپل",G118)),ISNUMBER(SEARCH("تنظيم صفحه نمايش",G118)),ISNUMBER(SEARCH("تنظیم صفحه نمایش",G118))),"تنظیم - تنظیمات دستگاه/دیسپلی (تعمیر)",IF(OR(ISNUMBER(SEARCH("برد",G118)),ISNUMBER(SEARCH("سوکت",G118)),ISNUMBER(SEARCH("ديسپل",G118)),ISNUMBER(SEARCH("دیسپل",G118))),"خرابی - برد الکترونیک (تعویض)",IF(OR(ISNUMBER(SEARCH("يخساز",G118)),ISNUMBER(SEARCH("یخساز",G118)),ISNUMBER(SEARCH("دمپر",G118))),IF(OR(ISNUMBER(SEARCH("خرابی",G118)),ISNUMBER(SEARCH("خراب",G118)),ISNUMBER(SEARCH("عدم کارکرد",G118)),ISNUMBER(SEARCH("عدم عملکرد",G118))),"یخساز - خرابی موتور/سنسور/برد (تعویض)","یخساز - تنظیم/عایق (تعمیر)"),IF(OR(ISNUMBER(SEARCH("لاستيک",G118)),ISNUMBER(SEARCH("لاستیک",G118))),"لاستیک درزگیر - دفرمگی/پارگی (تعویض)",IF(OR(ISNUMBER(SEARCH("گسکت",G118)),ISNUMBER(SEARCH("گسگت",G118))),"لاستیک درزگیر - دفرمگی/پارگی (تعویض)",IF(ISNUMBER(SEARCH("مخزن نمک",G118)),"نشتی - درب مخزن نمک (تعمیر/آب‌بندی)",IF(ISNUMBER(SEARCH("براکت",G118)),"نشتی - براکت ریل (تعمیر/آب‌بندی)",IF(ISNUMBER(SEARCH("جاپودر",G118)),"نشتی - جاپودری (تعمیر/آب‌بندی)",IF(ISNUMBER(SEARCH("مقسم",G118)),"نشتی - مقسم آب (تعمیر/آب‌بندی)",IF(OR(ISNUMBER(SEARCH("سنسور دما",G118)),ISNUMBER(SEARCH("ترموستات",G118))),"خرابی - ترموستات (تعویض)",IF(OR(ISNUMBER(SEARCH("هيدروستات",G118)),ISNUMBER(SEARCH("هیدروستات",G118))),"خرابی - هیدروستات (تعویض)",IF(OR(ISNUMBER(SEARCH("بلبرينگ",G118)),ISNUMBER(SEARCH("بلبرینگ",G118))),"خرابی - بلبرینگ (تعویض)",IF(OR(ISNUMBER(SEARCH("شيربرق",G118)),ISNUMBER(SEARCH("شیربرق",G118))),"خرابی - شیربرقی (تعویض)",IF(OR(ISNUMBER(SEARCH("واتر جت",G118)),ISNUMBER(SEARCH("واترجت",G118))),"خرابی - واترجت (تعویض)",IF(OR(ISNUMBER(SEARCH("سيم",G118)),ISNUMBER(SEARCH("سیم",G118)),ISNUMBER(SEARCH("اتصال",G118))),"سیم‌کشی/اتصالات (تعویض/بازبینی)",IF(OR(ISNUMBER(SEARCH("تصوير",G118)),ISNUMBER(SEARCH("تصویر",G118))),"برد نمایش تلویزیون (تعویض)",IF(OR(ISNUMBER(SEARCH("ريموت",G118)),ISNUMBER(SEARCH("ریموت",G118))),"ریموت کنترل (تعویض/تعمیر)",IF(OR(ISNUMBER(SEARCH("ال اي دي",G118)),ISNUMBER(SEARCH("ال ای دی",G118)),ISNUMBER(SEARCH("LED",G118))),"خرابی - لامپ/LED داخلی (تعویض)",IF(ISNUMBER(SEARCH("زنگ زدگ",G118)),"زنگ‌زدگی بدنه/قطعه (تعویض)",IF(OR(ISNUMBER(SEARCH("قطعات تزئين",G118)),ISNUMBER(SEARCH("قطعات تزئین",G118))),"قطعات تزئینی - شکستگی/کسری (تعویض)",IF(ISNUMBER(SEARCH("سبد",G118)),"سبد ظرفشویی - شکستگی (تعویض)",IF(ISNUMBER(SEARCH("تاب درام",G118)),"خرابی - تاب برداشتن درام (تعویض)",IF(ISNUMBER(SEARCH("درام",G118)),"خرابی - سایر ایراد درام (تعویض)",IF(ISNUMBER(SEARCH("موتور",G118)),"خرابی - موتور (تعویض)",IF(ISNUMBER(SEARCH("تسمه",G118)),"خرابی - تسمه (تعویض)",IF(OR(ISNUMBER(SEARCH("پيچ ولوم",G118)),ISNUMBER(SEARCH("پیچ ولوم",G118))),"تنظیم - پیچ ولوم/دکمه (تعمیر)",IF(OR(ISNUMBER(SEARCH("کسري قطعات",G118)),ISNUMBER(SEARCH("کسری قطعات",G118))),"کسری قطعات تزئینی (تعویض)",IF(ISNUMBER(SEARCH("پرچ",G118)),"پرچ/بدنه کابین(تعمیر)",IF(OR(ISNUMBER(SEARCH("نشت",G118)),ISNUMBER(SEARCH("آبريزش",G118)),ISNUMBER(SEARCH("آبریزش",G118))),"نشتی آب - محل نامشخص (نیازمند بازدید)",IF(ISNUMBER(SEARCH("درب",G118)),"سایر اجزای درب (بازبینی)",IF(ISNUMBER(SEARCH("ضربه",G118)),"بدنه/کابین - ضربه (بازبینی/تعویض پنل)",IF(ISNUMBER(SEARCH("تراز",G118)),"تراز/لرزش - نصب (رگلاژ پایه)",IF(OR(ISNUMBER(SEARCH("تعویض",G118)),ISNUMBER(SEARCH("تعويض",G118))),"تعویض کامل دستگاه (Replacement)","سایر (نیازمند بررسی دستی)")))))))))))))))))))))))))))))))))))))))))))</f>
        <v/>
      </c>
      <c r="P118" s="124" t="inlineStr">
        <is>
          <t>*</t>
        </is>
      </c>
      <c r="Q118" s="124">
        <f>IF(ISNUMBER(SEARCH("عهده شرکت",F118)),"شرکت",IF(ISNUMBER(SEARCH("عهده مشتري",F118)),"مشتری",IF(ISNUMBER(SEARCH("عهده مشتری",F118)),"مشتری","نامشخص")))</f>
        <v/>
      </c>
      <c r="R118" s="178">
        <f>IF(O118="تعویض کامل دستگاه (Replacement)",IF(SUMIF('قیمت‌ها و مفروضات'!$A$9:$A$13,C118,'قیمت‌ها و مفروضات'!$C$9:$C$13)&lt;&gt;0,SUMIF('قیمت‌ها و مفروضات'!$A$9:$A$13,C118,'قیمت‌ها و مفروضات'!$C$9:$C$13),SUMIF('قیمت‌ها و مفروضات'!$A$9:$A$13,C118,'قیمت‌ها و مفروضات'!$B$9:$B$13)),IF(SUMIF('قیمت‌ها و مفروضات'!$A$18:$A$63,O118,'قیمت‌ها و مفروضات'!$C$18:$C$63)&lt;&gt;0,SUMIF('قیمت‌ها و مفروضات'!$A$18:$A$63,O118,'قیمت‌ها و مفروضات'!$C$18:$C$63),SUMIF('قیمت‌ها و مفروضات'!$A$18:$A$63,O118,'قیمت‌ها و مفروضات'!$B$18:$B$63)))</f>
        <v/>
      </c>
      <c r="S118" s="178">
        <f>'قیمت‌ها و مفروضات'!$B$3+'قیمت‌ها و مفروضات'!$B$4</f>
        <v/>
      </c>
      <c r="T118" s="178">
        <f>R118+S118</f>
        <v/>
      </c>
      <c r="U118" s="178">
        <f>IF(COUNTIF($E$2:E118,E118)&gt;1,"بله (تکراری)","خیر")</f>
        <v/>
      </c>
      <c r="V118" s="178">
        <f>IF(U118="بله (تکراری)",S118,0)</f>
        <v/>
      </c>
      <c r="W118" s="208" t="inlineStr"/>
      <c r="X118" s="208" t="inlineStr"/>
    </row>
    <row r="119" ht="58.5" customHeight="1" s="151">
      <c r="A119" s="176" t="n">
        <v>210015748</v>
      </c>
      <c r="B119" s="124">
        <f>CHOOSE(_xlfn.NUMBERVALUE(MID(H119,6,2)),"فروردین","اردیبهشت","خرداد","تیر","مرداد","شهریور","مهر","آبان","آذر","دی","بهمن","اسفند")</f>
        <v/>
      </c>
      <c r="C119" s="176" t="inlineStr">
        <is>
          <t>ماشين ظرفشويي</t>
        </is>
      </c>
      <c r="D119" s="176" t="inlineStr">
        <is>
          <t>CDW-H16T</t>
        </is>
      </c>
      <c r="E119" s="176" t="inlineStr">
        <is>
          <t>52220005N02291</t>
        </is>
      </c>
      <c r="F119" s="173" t="inlineStr">
        <is>
          <t>از کار افتادن محصول**اياب و ذهاب به عهده شرکت</t>
        </is>
      </c>
      <c r="G119" s="173" t="inlineStr">
        <is>
          <t xml:space="preserve">قطعي درخت سيم -غیر گارانتی </t>
        </is>
      </c>
      <c r="H119" s="176" t="inlineStr">
        <is>
          <t>1405/01/19</t>
        </is>
      </c>
      <c r="I119" s="124" t="inlineStr">
        <is>
          <t>1404/01/23</t>
        </is>
      </c>
      <c r="J119" s="124" t="inlineStr">
        <is>
          <t>1404/05/29</t>
        </is>
      </c>
      <c r="K119" s="177">
        <f>IFERROR(VLOOKUP(LEFT(H119,7),'تبدیل تاریخ'!$A$2:$B$73,2,FALSE())+VALUE(RIGHT(H119,2))-1,"")</f>
        <v/>
      </c>
      <c r="L119" s="177">
        <f>IFERROR(VLOOKUP(LEFT(I119,7),'تبدیل تاریخ'!$A$2:$B$73,2,FALSE())+VALUE(RIGHT(I119,2))-1,"")</f>
        <v/>
      </c>
      <c r="M119" s="177">
        <f>IF(J119="","",IFERROR(VLOOKUP(LEFT(J119,7),'تبدیل تاریخ'!$A$2:$B$73,2,FALSE())+VALUE(RIGHT(J119,2))-1,""))</f>
        <v/>
      </c>
      <c r="N119" s="124">
        <f>IF(OR(K119="",M119=""),"",CEILING((K119-M119)/30,1))</f>
        <v/>
      </c>
      <c r="O119" s="124">
        <f>IF(OR(ISNUMBER(SEARCH("بدون مورد",G119)),ISNUMBER(SEARCH("غير گارانتي",G119)),ISNUMBER(SEARCH("غیر گارانتی",G119)),ISNUMBER(SEARCH("بدون اجرت",G119)),ISNUMBER(SEARCH("فيلتر",G119)),ISNUMBER(SEARCH("فیلتر",G119))),"غیرگارانتی/بدون قطعه",IF(OR(ISNUMBER(SEARCH("ريست",G119)),ISNUMBER(SEARCH("ریست",G119))),"ریست نرم‌افزاری (بدون قطعه)",IF(OR(ISNUMBER(SEARCH("تعویض محصول",G119)),ISNUMBER(SEARCH("تعویض دستگاه",G119))),"تعویض کامل دستگاه (Replacement)",IF(ISNUMBER(SEARCH("پمپ",G119)),IF(ISNUMBER(SEARCH("نشت",G119)),"نشتی - پمپ تخلیه (تعمیر/آب‌بندی)","خرابی - پمپ تخلیه (تعویض)"),IF(ISNUMBER(SEARCH("کمپرسور",G119)),"خرابی - کمپرسور (تعویض)",IF(ISNUMBER(SEARCH("کمک فنر",G119)),"خرابی - کمک فنر (تعویض)",IF(ISNUMBER(SEARCH("لولا",G119)),"مکانیزم درب - لولا (تعویض)",IF(OR(ISNUMBER(SEARCH("قلاب",G119)),ISNUMBER(SEARCH("ميکروسوئيچ",G119)),ISNUMBER(SEARCH("میکروسوئیچ",G119))),"مکانیزم درب - میکروسوئیچ/قلاب (تعویض/تنظیم)",IF(ISNUMBER(SEARCH("زبانه",G119)),"مکانیزم درب - زبانه (تعویض)",IF(OR(ISNUMBER(SEARCH("شيلنگ",G119)),ISNUMBER(SEARCH("شیلنگ",G119))),IF(OR(ISNUMBER(SEARCH("نشتی",G119)),ISNUMBER(SEARCH("نشتي",G119))),"نشتی - شیلنگ (تعمیر/آب‌بندی)",IF(OR(ISNUMBER(SEARCH("يخ",G119)),ISNUMBER(SEARCH("یخ",G119))),"شیلنگ یخساز - یخ‌زدگی (بازبینی)","شیلنگ - برخورد/لهیدگی (بازبینی)")),IF(OR(ISNUMBER(SEARCH("تنظيم ديسپل",G119)),ISNUMBER(SEARCH("تنظیم دیسپل",G119)),ISNUMBER(SEARCH("تنظيم صفحه نمايش",G119)),ISNUMBER(SEARCH("تنظیم صفحه نمایش",G119))),"تنظیم - تنظیمات دستگاه/دیسپلی (تعمیر)",IF(OR(ISNUMBER(SEARCH("برد",G119)),ISNUMBER(SEARCH("سوکت",G119)),ISNUMBER(SEARCH("ديسپل",G119)),ISNUMBER(SEARCH("دیسپل",G119))),"خرابی - برد الکترونیک (تعویض)",IF(OR(ISNUMBER(SEARCH("يخساز",G119)),ISNUMBER(SEARCH("یخساز",G119)),ISNUMBER(SEARCH("دمپر",G119))),IF(OR(ISNUMBER(SEARCH("خرابی",G119)),ISNUMBER(SEARCH("خراب",G119)),ISNUMBER(SEARCH("عدم کارکرد",G119)),ISNUMBER(SEARCH("عدم عملکرد",G119))),"یخساز - خرابی موتور/سنسور/برد (تعویض)","یخساز - تنظیم/عایق (تعمیر)"),IF(OR(ISNUMBER(SEARCH("لاستيک",G119)),ISNUMBER(SEARCH("لاستیک",G119))),"لاستیک درزگیر - دفرمگی/پارگی (تعویض)",IF(OR(ISNUMBER(SEARCH("گسکت",G119)),ISNUMBER(SEARCH("گسگت",G119))),"لاستیک درزگیر - دفرمگی/پارگی (تعویض)",IF(ISNUMBER(SEARCH("مخزن نمک",G119)),"نشتی - درب مخزن نمک (تعمیر/آب‌بندی)",IF(ISNUMBER(SEARCH("براکت",G119)),"نشتی - براکت ریل (تعمیر/آب‌بندی)",IF(ISNUMBER(SEARCH("جاپودر",G119)),"نشتی - جاپودری (تعمیر/آب‌بندی)",IF(ISNUMBER(SEARCH("مقسم",G119)),"نشتی - مقسم آب (تعمیر/آب‌بندی)",IF(OR(ISNUMBER(SEARCH("سنسور دما",G119)),ISNUMBER(SEARCH("ترموستات",G119))),"خرابی - ترموستات (تعویض)",IF(OR(ISNUMBER(SEARCH("هيدروستات",G119)),ISNUMBER(SEARCH("هیدروستات",G119))),"خرابی - هیدروستات (تعویض)",IF(OR(ISNUMBER(SEARCH("بلبرينگ",G119)),ISNUMBER(SEARCH("بلبرینگ",G119))),"خرابی - بلبرینگ (تعویض)",IF(OR(ISNUMBER(SEARCH("شيربرق",G119)),ISNUMBER(SEARCH("شیربرق",G119))),"خرابی - شیربرقی (تعویض)",IF(OR(ISNUMBER(SEARCH("واتر جت",G119)),ISNUMBER(SEARCH("واترجت",G119))),"خرابی - واترجت (تعویض)",IF(OR(ISNUMBER(SEARCH("سيم",G119)),ISNUMBER(SEARCH("سیم",G119)),ISNUMBER(SEARCH("اتصال",G119))),"سیم‌کشی/اتصالات (تعویض/بازبینی)",IF(OR(ISNUMBER(SEARCH("تصوير",G119)),ISNUMBER(SEARCH("تصویر",G119))),"برد نمایش تلویزیون (تعویض)",IF(OR(ISNUMBER(SEARCH("ريموت",G119)),ISNUMBER(SEARCH("ریموت",G119))),"ریموت کنترل (تعویض/تعمیر)",IF(OR(ISNUMBER(SEARCH("ال اي دي",G119)),ISNUMBER(SEARCH("ال ای دی",G119)),ISNUMBER(SEARCH("LED",G119))),"خرابی - لامپ/LED داخلی (تعویض)",IF(ISNUMBER(SEARCH("زنگ زدگ",G119)),"زنگ‌زدگی بدنه/قطعه (تعویض)",IF(OR(ISNUMBER(SEARCH("قطعات تزئين",G119)),ISNUMBER(SEARCH("قطعات تزئین",G119))),"قطعات تزئینی - شکستگی/کسری (تعویض)",IF(ISNUMBER(SEARCH("سبد",G119)),"سبد ظرفشویی - شکستگی (تعویض)",IF(ISNUMBER(SEARCH("تاب درام",G119)),"خرابی - تاب برداشتن درام (تعویض)",IF(ISNUMBER(SEARCH("درام",G119)),"خرابی - سایر ایراد درام (تعویض)",IF(ISNUMBER(SEARCH("موتور",G119)),"خرابی - موتور (تعویض)",IF(ISNUMBER(SEARCH("تسمه",G119)),"خرابی - تسمه (تعویض)",IF(OR(ISNUMBER(SEARCH("پيچ ولوم",G119)),ISNUMBER(SEARCH("پیچ ولوم",G119))),"تنظیم - پیچ ولوم/دکمه (تعمیر)",IF(OR(ISNUMBER(SEARCH("کسري قطعات",G119)),ISNUMBER(SEARCH("کسری قطعات",G119))),"کسری قطعات تزئینی (تعویض)",IF(ISNUMBER(SEARCH("پرچ",G119)),"پرچ/بدنه کابین(تعمیر)",IF(OR(ISNUMBER(SEARCH("نشت",G119)),ISNUMBER(SEARCH("آبريزش",G119)),ISNUMBER(SEARCH("آبریزش",G119))),"نشتی آب - محل نامشخص (نیازمند بازدید)",IF(ISNUMBER(SEARCH("درب",G119)),"سایر اجزای درب (بازبینی)",IF(ISNUMBER(SEARCH("ضربه",G119)),"بدنه/کابین - ضربه (بازبینی/تعویض پنل)",IF(ISNUMBER(SEARCH("تراز",G119)),"تراز/لرزش - نصب (رگلاژ پایه)",IF(OR(ISNUMBER(SEARCH("تعویض",G119)),ISNUMBER(SEARCH("تعويض",G119))),"تعویض کامل دستگاه (Replacement)","سایر (نیازمند بررسی دستی)")))))))))))))))))))))))))))))))))))))))))))</f>
        <v/>
      </c>
      <c r="P119" s="124" t="inlineStr">
        <is>
          <t>*</t>
        </is>
      </c>
      <c r="Q119" s="124">
        <f>IF(ISNUMBER(SEARCH("عهده شرکت",F119)),"شرکت",IF(ISNUMBER(SEARCH("عهده مشتري",F119)),"مشتری",IF(ISNUMBER(SEARCH("عهده مشتری",F119)),"مشتری","نامشخص")))</f>
        <v/>
      </c>
      <c r="R119" s="178">
        <f>IF(O119="تعویض کامل دستگاه (Replacement)",IF(SUMIF('قیمت‌ها و مفروضات'!$A$9:$A$13,C119,'قیمت‌ها و مفروضات'!$C$9:$C$13)&lt;&gt;0,SUMIF('قیمت‌ها و مفروضات'!$A$9:$A$13,C119,'قیمت‌ها و مفروضات'!$C$9:$C$13),SUMIF('قیمت‌ها و مفروضات'!$A$9:$A$13,C119,'قیمت‌ها و مفروضات'!$B$9:$B$13)),IF(SUMIF('قیمت‌ها و مفروضات'!$A$18:$A$63,O119,'قیمت‌ها و مفروضات'!$C$18:$C$63)&lt;&gt;0,SUMIF('قیمت‌ها و مفروضات'!$A$18:$A$63,O119,'قیمت‌ها و مفروضات'!$C$18:$C$63),SUMIF('قیمت‌ها و مفروضات'!$A$18:$A$63,O119,'قیمت‌ها و مفروضات'!$B$18:$B$63)))</f>
        <v/>
      </c>
      <c r="S119" s="178">
        <f>'قیمت‌ها و مفروضات'!$B$3+'قیمت‌ها و مفروضات'!$B$4</f>
        <v/>
      </c>
      <c r="T119" s="178">
        <f>R119+S119</f>
        <v/>
      </c>
      <c r="U119" s="178">
        <f>IF(COUNTIF($E$2:E119,E119)&gt;1,"بله (تکراری)","خیر")</f>
        <v/>
      </c>
      <c r="V119" s="178">
        <f>IF(U119="بله (تکراری)",S119,0)</f>
        <v/>
      </c>
      <c r="W119" s="208" t="inlineStr"/>
      <c r="X119" s="208" t="inlineStr"/>
    </row>
    <row r="120" ht="58.5" customHeight="1" s="151">
      <c r="A120" s="176" t="n">
        <v>130006951</v>
      </c>
      <c r="B120" s="124">
        <f>CHOOSE(_xlfn.NUMBERVALUE(MID(H120,6,2)),"فروردین","اردیبهشت","خرداد","تیر","مرداد","شهریور","مهر","آبان","آذر","دی","بهمن","اسفند")</f>
        <v/>
      </c>
      <c r="C120" s="176" t="inlineStr">
        <is>
          <t>ماشين لباسشويي</t>
        </is>
      </c>
      <c r="D120" s="176" t="inlineStr">
        <is>
          <t>CWM-BMW8T3</t>
        </is>
      </c>
      <c r="E120" s="176" t="inlineStr">
        <is>
          <t>52210013N00061</t>
        </is>
      </c>
      <c r="F120" s="173" t="inlineStr">
        <is>
          <t>جمع شدن آب زير محصول**اياب و ذهاب به عهده شرکت</t>
        </is>
      </c>
      <c r="G120" s="173" t="inlineStr">
        <is>
          <t>نشتي از لاستيک دور درب</t>
        </is>
      </c>
      <c r="H120" s="176" t="inlineStr">
        <is>
          <t>1405/01/16</t>
        </is>
      </c>
      <c r="I120" s="124" t="inlineStr">
        <is>
          <t>1404/12/03</t>
        </is>
      </c>
      <c r="J120" s="124" t="inlineStr">
        <is>
          <t>1405/01/05</t>
        </is>
      </c>
      <c r="K120" s="177">
        <f>IFERROR(VLOOKUP(LEFT(H120,7),'تبدیل تاریخ'!$A$2:$B$73,2,FALSE())+VALUE(RIGHT(H120,2))-1,"")</f>
        <v/>
      </c>
      <c r="L120" s="177">
        <f>IFERROR(VLOOKUP(LEFT(I120,7),'تبدیل تاریخ'!$A$2:$B$73,2,FALSE())+VALUE(RIGHT(I120,2))-1,"")</f>
        <v/>
      </c>
      <c r="M120" s="177">
        <f>IF(J120="","",IFERROR(VLOOKUP(LEFT(J120,7),'تبدیل تاریخ'!$A$2:$B$73,2,FALSE())+VALUE(RIGHT(J120,2))-1,""))</f>
        <v/>
      </c>
      <c r="N120" s="124">
        <f>IF(OR(K120="",M120=""),"",CEILING((K120-M120)/30,1))</f>
        <v/>
      </c>
      <c r="O120" s="124">
        <f>IF(OR(ISNUMBER(SEARCH("بدون مورد",G120)),ISNUMBER(SEARCH("غير گارانتي",G120)),ISNUMBER(SEARCH("غیر گارانتی",G120)),ISNUMBER(SEARCH("بدون اجرت",G120)),ISNUMBER(SEARCH("فيلتر",G120)),ISNUMBER(SEARCH("فیلتر",G120))),"غیرگارانتی/بدون قطعه",IF(OR(ISNUMBER(SEARCH("ريست",G120)),ISNUMBER(SEARCH("ریست",G120))),"ریست نرم‌افزاری (بدون قطعه)",IF(OR(ISNUMBER(SEARCH("تعویض محصول",G120)),ISNUMBER(SEARCH("تعویض دستگاه",G120))),"تعویض کامل دستگاه (Replacement)",IF(ISNUMBER(SEARCH("پمپ",G120)),IF(ISNUMBER(SEARCH("نشت",G120)),"نشتی - پمپ تخلیه (تعمیر/آب‌بندی)","خرابی - پمپ تخلیه (تعویض)"),IF(ISNUMBER(SEARCH("کمپرسور",G120)),"خرابی - کمپرسور (تعویض)",IF(ISNUMBER(SEARCH("کمک فنر",G120)),"خرابی - کمک فنر (تعویض)",IF(ISNUMBER(SEARCH("لولا",G120)),"مکانیزم درب - لولا (تعویض)",IF(OR(ISNUMBER(SEARCH("قلاب",G120)),ISNUMBER(SEARCH("ميکروسوئيچ",G120)),ISNUMBER(SEARCH("میکروسوئیچ",G120))),"مکانیزم درب - میکروسوئیچ/قلاب (تعویض/تنظیم)",IF(ISNUMBER(SEARCH("زبانه",G120)),"مکانیزم درب - زبانه (تعویض)",IF(OR(ISNUMBER(SEARCH("شيلنگ",G120)),ISNUMBER(SEARCH("شیلنگ",G120))),IF(OR(ISNUMBER(SEARCH("نشتی",G120)),ISNUMBER(SEARCH("نشتي",G120))),"نشتی - شیلنگ (تعمیر/آب‌بندی)",IF(OR(ISNUMBER(SEARCH("يخ",G120)),ISNUMBER(SEARCH("یخ",G120))),"شیلنگ یخساز - یخ‌زدگی (بازبینی)","شیلنگ - برخورد/لهیدگی (بازبینی)")),IF(OR(ISNUMBER(SEARCH("تنظيم ديسپل",G120)),ISNUMBER(SEARCH("تنظیم دیسپل",G120)),ISNUMBER(SEARCH("تنظيم صفحه نمايش",G120)),ISNUMBER(SEARCH("تنظیم صفحه نمایش",G120))),"تنظیم - تنظیمات دستگاه/دیسپلی (تعمیر)",IF(OR(ISNUMBER(SEARCH("برد",G120)),ISNUMBER(SEARCH("سوکت",G120)),ISNUMBER(SEARCH("ديسپل",G120)),ISNUMBER(SEARCH("دیسپل",G120))),"خرابی - برد الکترونیک (تعویض)",IF(OR(ISNUMBER(SEARCH("يخساز",G120)),ISNUMBER(SEARCH("یخساز",G120)),ISNUMBER(SEARCH("دمپر",G120))),IF(OR(ISNUMBER(SEARCH("خرابی",G120)),ISNUMBER(SEARCH("خراب",G120)),ISNUMBER(SEARCH("عدم کارکرد",G120)),ISNUMBER(SEARCH("عدم عملکرد",G120))),"یخساز - خرابی موتور/سنسور/برد (تعویض)","یخساز - تنظیم/عایق (تعمیر)"),IF(OR(ISNUMBER(SEARCH("لاستيک",G120)),ISNUMBER(SEARCH("لاستیک",G120))),"لاستیک درزگیر - دفرمگی/پارگی (تعویض)",IF(OR(ISNUMBER(SEARCH("گسکت",G120)),ISNUMBER(SEARCH("گسگت",G120))),"لاستیک درزگیر - دفرمگی/پارگی (تعویض)",IF(ISNUMBER(SEARCH("مخزن نمک",G120)),"نشتی - درب مخزن نمک (تعمیر/آب‌بندی)",IF(ISNUMBER(SEARCH("براکت",G120)),"نشتی - براکت ریل (تعمیر/آب‌بندی)",IF(ISNUMBER(SEARCH("جاپودر",G120)),"نشتی - جاپودری (تعمیر/آب‌بندی)",IF(ISNUMBER(SEARCH("مقسم",G120)),"نشتی - مقسم آب (تعمیر/آب‌بندی)",IF(OR(ISNUMBER(SEARCH("سنسور دما",G120)),ISNUMBER(SEARCH("ترموستات",G120))),"خرابی - ترموستات (تعویض)",IF(OR(ISNUMBER(SEARCH("هيدروستات",G120)),ISNUMBER(SEARCH("هیدروستات",G120))),"خرابی - هیدروستات (تعویض)",IF(OR(ISNUMBER(SEARCH("بلبرينگ",G120)),ISNUMBER(SEARCH("بلبرینگ",G120))),"خرابی - بلبرینگ (تعویض)",IF(OR(ISNUMBER(SEARCH("شيربرق",G120)),ISNUMBER(SEARCH("شیربرق",G120))),"خرابی - شیربرقی (تعویض)",IF(OR(ISNUMBER(SEARCH("واتر جت",G120)),ISNUMBER(SEARCH("واترجت",G120))),"خرابی - واترجت (تعویض)",IF(OR(ISNUMBER(SEARCH("سيم",G120)),ISNUMBER(SEARCH("سیم",G120)),ISNUMBER(SEARCH("اتصال",G120))),"سیم‌کشی/اتصالات (تعویض/بازبینی)",IF(OR(ISNUMBER(SEARCH("تصوير",G120)),ISNUMBER(SEARCH("تصویر",G120))),"برد نمایش تلویزیون (تعویض)",IF(OR(ISNUMBER(SEARCH("ريموت",G120)),ISNUMBER(SEARCH("ریموت",G120))),"ریموت کنترل (تعویض/تعمیر)",IF(OR(ISNUMBER(SEARCH("ال اي دي",G120)),ISNUMBER(SEARCH("ال ای دی",G120)),ISNUMBER(SEARCH("LED",G120))),"خرابی - لامپ/LED داخلی (تعویض)",IF(ISNUMBER(SEARCH("زنگ زدگ",G120)),"زنگ‌زدگی بدنه/قطعه (تعویض)",IF(OR(ISNUMBER(SEARCH("قطعات تزئين",G120)),ISNUMBER(SEARCH("قطعات تزئین",G120))),"قطعات تزئینی - شکستگی/کسری (تعویض)",IF(ISNUMBER(SEARCH("سبد",G120)),"سبد ظرفشویی - شکستگی (تعویض)",IF(ISNUMBER(SEARCH("تاب درام",G120)),"خرابی - تاب برداشتن درام (تعویض)",IF(ISNUMBER(SEARCH("درام",G120)),"خرابی - سایر ایراد درام (تعویض)",IF(ISNUMBER(SEARCH("موتور",G120)),"خرابی - موتور (تعویض)",IF(ISNUMBER(SEARCH("تسمه",G120)),"خرابی - تسمه (تعویض)",IF(OR(ISNUMBER(SEARCH("پيچ ولوم",G120)),ISNUMBER(SEARCH("پیچ ولوم",G120))),"تنظیم - پیچ ولوم/دکمه (تعمیر)",IF(OR(ISNUMBER(SEARCH("کسري قطعات",G120)),ISNUMBER(SEARCH("کسری قطعات",G120))),"کسری قطعات تزئینی (تعویض)",IF(ISNUMBER(SEARCH("پرچ",G120)),"پرچ/بدنه کابین(تعمیر)",IF(OR(ISNUMBER(SEARCH("نشت",G120)),ISNUMBER(SEARCH("آبريزش",G120)),ISNUMBER(SEARCH("آبریزش",G120))),"نشتی آب - محل نامشخص (نیازمند بازدید)",IF(ISNUMBER(SEARCH("درب",G120)),"سایر اجزای درب (بازبینی)",IF(ISNUMBER(SEARCH("ضربه",G120)),"بدنه/کابین - ضربه (بازبینی/تعویض پنل)",IF(ISNUMBER(SEARCH("تراز",G120)),"تراز/لرزش - نصب (رگلاژ پایه)",IF(OR(ISNUMBER(SEARCH("تعویض",G120)),ISNUMBER(SEARCH("تعويض",G120))),"تعویض کامل دستگاه (Replacement)","سایر (نیازمند بررسی دستی)")))))))))))))))))))))))))))))))))))))))))))</f>
        <v/>
      </c>
      <c r="P120" s="124" t="inlineStr">
        <is>
          <t>*</t>
        </is>
      </c>
      <c r="Q120" s="124">
        <f>IF(ISNUMBER(SEARCH("عهده شرکت",F120)),"شرکت",IF(ISNUMBER(SEARCH("عهده مشتري",F120)),"مشتری",IF(ISNUMBER(SEARCH("عهده مشتری",F120)),"مشتری","نامشخص")))</f>
        <v/>
      </c>
      <c r="R120" s="178">
        <f>IF(O120="تعویض کامل دستگاه (Replacement)",IF(SUMIF('قیمت‌ها و مفروضات'!$A$9:$A$13,C120,'قیمت‌ها و مفروضات'!$C$9:$C$13)&lt;&gt;0,SUMIF('قیمت‌ها و مفروضات'!$A$9:$A$13,C120,'قیمت‌ها و مفروضات'!$C$9:$C$13),SUMIF('قیمت‌ها و مفروضات'!$A$9:$A$13,C120,'قیمت‌ها و مفروضات'!$B$9:$B$13)),IF(SUMIF('قیمت‌ها و مفروضات'!$A$18:$A$63,O120,'قیمت‌ها و مفروضات'!$C$18:$C$63)&lt;&gt;0,SUMIF('قیمت‌ها و مفروضات'!$A$18:$A$63,O120,'قیمت‌ها و مفروضات'!$C$18:$C$63),SUMIF('قیمت‌ها و مفروضات'!$A$18:$A$63,O120,'قیمت‌ها و مفروضات'!$B$18:$B$63)))</f>
        <v/>
      </c>
      <c r="S120" s="178">
        <f>'قیمت‌ها و مفروضات'!$B$3+'قیمت‌ها و مفروضات'!$B$4</f>
        <v/>
      </c>
      <c r="T120" s="178">
        <f>R120+S120</f>
        <v/>
      </c>
      <c r="U120" s="178">
        <f>IF(COUNTIF($E$2:E120,E120)&gt;1,"بله (تکراری)","خیر")</f>
        <v/>
      </c>
      <c r="V120" s="178">
        <f>IF(U120="بله (تکراری)",S120,0)</f>
        <v/>
      </c>
      <c r="W120" s="208" t="inlineStr"/>
      <c r="X120" s="208" t="inlineStr"/>
    </row>
    <row r="121" ht="58.5" customHeight="1" s="151">
      <c r="A121" s="176" t="n">
        <v>210004826</v>
      </c>
      <c r="B121" s="124">
        <f>CHOOSE(_xlfn.NUMBERVALUE(MID(H121,6,2)),"فروردین","اردیبهشت","خرداد","تیر","مرداد","شهریور","مهر","آبان","آذر","دی","بهمن","اسفند")</f>
        <v/>
      </c>
      <c r="C121" s="176" t="inlineStr">
        <is>
          <t>یخچال ساید‌بای‌ساید</t>
        </is>
      </c>
      <c r="D121" s="176" t="inlineStr">
        <is>
          <t>C2S-29HS1</t>
        </is>
      </c>
      <c r="E121" s="176" t="inlineStr">
        <is>
          <t>52240001N01229</t>
        </is>
      </c>
      <c r="F121" s="173" t="inlineStr">
        <is>
          <t>عدم کارکرد يخسازاياب و ذهاب به عهده شرکت</t>
        </is>
      </c>
      <c r="G121" s="173" t="inlineStr">
        <is>
          <t>اصلاح دمپر پلاستيکي پشت کابين - سايد باي سايد</t>
        </is>
      </c>
      <c r="H121" s="176" t="inlineStr">
        <is>
          <t>1405/01/22</t>
        </is>
      </c>
      <c r="I121" s="124" t="inlineStr">
        <is>
          <t>1403/05/12</t>
        </is>
      </c>
      <c r="J121" s="124" t="inlineStr">
        <is>
          <t>1404/04/28</t>
        </is>
      </c>
      <c r="K121" s="177">
        <f>IFERROR(VLOOKUP(LEFT(H121,7),'تبدیل تاریخ'!$A$2:$B$73,2,FALSE())+VALUE(RIGHT(H121,2))-1,"")</f>
        <v/>
      </c>
      <c r="L121" s="177">
        <f>IFERROR(VLOOKUP(LEFT(I121,7),'تبدیل تاریخ'!$A$2:$B$73,2,FALSE())+VALUE(RIGHT(I121,2))-1,"")</f>
        <v/>
      </c>
      <c r="M121" s="177">
        <f>IF(J121="","",IFERROR(VLOOKUP(LEFT(J121,7),'تبدیل تاریخ'!$A$2:$B$73,2,FALSE())+VALUE(RIGHT(J121,2))-1,""))</f>
        <v/>
      </c>
      <c r="N121" s="124">
        <f>IF(OR(K121="",M121=""),"",CEILING((K121-M121)/30,1))</f>
        <v/>
      </c>
      <c r="O121" s="124">
        <f>IF(OR(ISNUMBER(SEARCH("بدون مورد",G121)),ISNUMBER(SEARCH("غير گارانتي",G121)),ISNUMBER(SEARCH("غیر گارانتی",G121)),ISNUMBER(SEARCH("بدون اجرت",G121)),ISNUMBER(SEARCH("فيلتر",G121)),ISNUMBER(SEARCH("فیلتر",G121))),"غیرگارانتی/بدون قطعه",IF(OR(ISNUMBER(SEARCH("ريست",G121)),ISNUMBER(SEARCH("ریست",G121))),"ریست نرم‌افزاری (بدون قطعه)",IF(OR(ISNUMBER(SEARCH("تعویض محصول",G121)),ISNUMBER(SEARCH("تعویض دستگاه",G121))),"تعویض کامل دستگاه (Replacement)",IF(ISNUMBER(SEARCH("پمپ",G121)),IF(ISNUMBER(SEARCH("نشت",G121)),"نشتی - پمپ تخلیه (تعمیر/آب‌بندی)","خرابی - پمپ تخلیه (تعویض)"),IF(ISNUMBER(SEARCH("کمپرسور",G121)),"خرابی - کمپرسور (تعویض)",IF(ISNUMBER(SEARCH("کمک فنر",G121)),"خرابی - کمک فنر (تعویض)",IF(ISNUMBER(SEARCH("لولا",G121)),"مکانیزم درب - لولا (تعویض)",IF(OR(ISNUMBER(SEARCH("قلاب",G121)),ISNUMBER(SEARCH("ميکروسوئيچ",G121)),ISNUMBER(SEARCH("میکروسوئیچ",G121))),"مکانیزم درب - میکروسوئیچ/قلاب (تعویض/تنظیم)",IF(ISNUMBER(SEARCH("زبانه",G121)),"مکانیزم درب - زبانه (تعویض)",IF(OR(ISNUMBER(SEARCH("شيلنگ",G121)),ISNUMBER(SEARCH("شیلنگ",G121))),IF(OR(ISNUMBER(SEARCH("نشتی",G121)),ISNUMBER(SEARCH("نشتي",G121))),"نشتی - شیلنگ (تعمیر/آب‌بندی)",IF(OR(ISNUMBER(SEARCH("يخ",G121)),ISNUMBER(SEARCH("یخ",G121))),"شیلنگ یخساز - یخ‌زدگی (بازبینی)","شیلنگ - برخورد/لهیدگی (بازبینی)")),IF(OR(ISNUMBER(SEARCH("تنظيم ديسپل",G121)),ISNUMBER(SEARCH("تنظیم دیسپل",G121)),ISNUMBER(SEARCH("تنظيم صفحه نمايش",G121)),ISNUMBER(SEARCH("تنظیم صفحه نمایش",G121))),"تنظیم - تنظیمات دستگاه/دیسپلی (تعمیر)",IF(OR(ISNUMBER(SEARCH("برد",G121)),ISNUMBER(SEARCH("سوکت",G121)),ISNUMBER(SEARCH("ديسپل",G121)),ISNUMBER(SEARCH("دیسپل",G121))),"خرابی - برد الکترونیک (تعویض)",IF(OR(ISNUMBER(SEARCH("يخساز",G121)),ISNUMBER(SEARCH("یخساز",G121)),ISNUMBER(SEARCH("دمپر",G121))),IF(OR(ISNUMBER(SEARCH("خرابی",G121)),ISNUMBER(SEARCH("خراب",G121)),ISNUMBER(SEARCH("عدم کارکرد",G121)),ISNUMBER(SEARCH("عدم عملکرد",G121))),"یخساز - خرابی موتور/سنسور/برد (تعویض)","یخساز - تنظیم/عایق (تعمیر)"),IF(OR(ISNUMBER(SEARCH("لاستيک",G121)),ISNUMBER(SEARCH("لاستیک",G121))),"لاستیک درزگیر - دفرمگی/پارگی (تعویض)",IF(OR(ISNUMBER(SEARCH("گسکت",G121)),ISNUMBER(SEARCH("گسگت",G121))),"لاستیک درزگیر - دفرمگی/پارگی (تعویض)",IF(ISNUMBER(SEARCH("مخزن نمک",G121)),"نشتی - درب مخزن نمک (تعمیر/آب‌بندی)",IF(ISNUMBER(SEARCH("براکت",G121)),"نشتی - براکت ریل (تعمیر/آب‌بندی)",IF(ISNUMBER(SEARCH("جاپودر",G121)),"نشتی - جاپودری (تعمیر/آب‌بندی)",IF(ISNUMBER(SEARCH("مقسم",G121)),"نشتی - مقسم آب (تعمیر/آب‌بندی)",IF(OR(ISNUMBER(SEARCH("سنسور دما",G121)),ISNUMBER(SEARCH("ترموستات",G121))),"خرابی - ترموستات (تعویض)",IF(OR(ISNUMBER(SEARCH("هيدروستات",G121)),ISNUMBER(SEARCH("هیدروستات",G121))),"خرابی - هیدروستات (تعویض)",IF(OR(ISNUMBER(SEARCH("بلبرينگ",G121)),ISNUMBER(SEARCH("بلبرینگ",G121))),"خرابی - بلبرینگ (تعویض)",IF(OR(ISNUMBER(SEARCH("شيربرق",G121)),ISNUMBER(SEARCH("شیربرق",G121))),"خرابی - شیربرقی (تعویض)",IF(OR(ISNUMBER(SEARCH("واتر جت",G121)),ISNUMBER(SEARCH("واترجت",G121))),"خرابی - واترجت (تعویض)",IF(OR(ISNUMBER(SEARCH("سيم",G121)),ISNUMBER(SEARCH("سیم",G121)),ISNUMBER(SEARCH("اتصال",G121))),"سیم‌کشی/اتصالات (تعویض/بازبینی)",IF(OR(ISNUMBER(SEARCH("تصوير",G121)),ISNUMBER(SEARCH("تصویر",G121))),"برد نمایش تلویزیون (تعویض)",IF(OR(ISNUMBER(SEARCH("ريموت",G121)),ISNUMBER(SEARCH("ریموت",G121))),"ریموت کنترل (تعویض/تعمیر)",IF(OR(ISNUMBER(SEARCH("ال اي دي",G121)),ISNUMBER(SEARCH("ال ای دی",G121)),ISNUMBER(SEARCH("LED",G121))),"خرابی - لامپ/LED داخلی (تعویض)",IF(ISNUMBER(SEARCH("زنگ زدگ",G121)),"زنگ‌زدگی بدنه/قطعه (تعویض)",IF(OR(ISNUMBER(SEARCH("قطعات تزئين",G121)),ISNUMBER(SEARCH("قطعات تزئین",G121))),"قطعات تزئینی - شکستگی/کسری (تعویض)",IF(ISNUMBER(SEARCH("سبد",G121)),"سبد ظرفشویی - شکستگی (تعویض)",IF(ISNUMBER(SEARCH("تاب درام",G121)),"خرابی - تاب برداشتن درام (تعویض)",IF(ISNUMBER(SEARCH("درام",G121)),"خرابی - سایر ایراد درام (تعویض)",IF(ISNUMBER(SEARCH("موتور",G121)),"خرابی - موتور (تعویض)",IF(ISNUMBER(SEARCH("تسمه",G121)),"خرابی - تسمه (تعویض)",IF(OR(ISNUMBER(SEARCH("پيچ ولوم",G121)),ISNUMBER(SEARCH("پیچ ولوم",G121))),"تنظیم - پیچ ولوم/دکمه (تعمیر)",IF(OR(ISNUMBER(SEARCH("کسري قطعات",G121)),ISNUMBER(SEARCH("کسری قطعات",G121))),"کسری قطعات تزئینی (تعویض)",IF(ISNUMBER(SEARCH("پرچ",G121)),"پرچ/بدنه کابین(تعمیر)",IF(OR(ISNUMBER(SEARCH("نشت",G121)),ISNUMBER(SEARCH("آبريزش",G121)),ISNUMBER(SEARCH("آبریزش",G121))),"نشتی آب - محل نامشخص (نیازمند بازدید)",IF(ISNUMBER(SEARCH("درب",G121)),"سایر اجزای درب (بازبینی)",IF(ISNUMBER(SEARCH("ضربه",G121)),"بدنه/کابین - ضربه (بازبینی/تعویض پنل)",IF(ISNUMBER(SEARCH("تراز",G121)),"تراز/لرزش - نصب (رگلاژ پایه)",IF(OR(ISNUMBER(SEARCH("تعویض",G121)),ISNUMBER(SEARCH("تعويض",G121))),"تعویض کامل دستگاه (Replacement)","سایر (نیازمند بررسی دستی)")))))))))))))))))))))))))))))))))))))))))))</f>
        <v/>
      </c>
      <c r="P121" s="124" t="inlineStr">
        <is>
          <t>*</t>
        </is>
      </c>
      <c r="Q121" s="124">
        <f>IF(ISNUMBER(SEARCH("عهده شرکت",F121)),"شرکت",IF(ISNUMBER(SEARCH("عهده مشتري",F121)),"مشتری",IF(ISNUMBER(SEARCH("عهده مشتری",F121)),"مشتری","نامشخص")))</f>
        <v/>
      </c>
      <c r="R121" s="178">
        <f>IF(O121="تعویض کامل دستگاه (Replacement)",IF(SUMIF('قیمت‌ها و مفروضات'!$A$9:$A$13,C121,'قیمت‌ها و مفروضات'!$C$9:$C$13)&lt;&gt;0,SUMIF('قیمت‌ها و مفروضات'!$A$9:$A$13,C121,'قیمت‌ها و مفروضات'!$C$9:$C$13),SUMIF('قیمت‌ها و مفروضات'!$A$9:$A$13,C121,'قیمت‌ها و مفروضات'!$B$9:$B$13)),IF(SUMIF('قیمت‌ها و مفروضات'!$A$18:$A$63,O121,'قیمت‌ها و مفروضات'!$C$18:$C$63)&lt;&gt;0,SUMIF('قیمت‌ها و مفروضات'!$A$18:$A$63,O121,'قیمت‌ها و مفروضات'!$C$18:$C$63),SUMIF('قیمت‌ها و مفروضات'!$A$18:$A$63,O121,'قیمت‌ها و مفروضات'!$B$18:$B$63)))</f>
        <v/>
      </c>
      <c r="S121" s="178">
        <f>'قیمت‌ها و مفروضات'!$B$3+'قیمت‌ها و مفروضات'!$B$4</f>
        <v/>
      </c>
      <c r="T121" s="178">
        <f>R121+S121</f>
        <v/>
      </c>
      <c r="U121" s="178">
        <f>IF(COUNTIF($E$2:E121,E121)&gt;1,"بله (تکراری)","خیر")</f>
        <v/>
      </c>
      <c r="V121" s="178">
        <f>IF(U121="بله (تکراری)",S121,0)</f>
        <v/>
      </c>
      <c r="W121" s="208" t="inlineStr"/>
      <c r="X121" s="208" t="inlineStr"/>
    </row>
    <row r="122" ht="58.5" customHeight="1" s="151">
      <c r="A122" s="176" t="n">
        <v>210015866</v>
      </c>
      <c r="B122" s="124">
        <f>CHOOSE(_xlfn.NUMBERVALUE(MID(H122,6,2)),"فروردین","اردیبهشت","خرداد","تیر","مرداد","شهریور","مهر","آبان","آذر","دی","بهمن","اسفند")</f>
        <v/>
      </c>
      <c r="C122" s="176" t="inlineStr">
        <is>
          <t>یخچال ساید‌بای‌ساید</t>
        </is>
      </c>
      <c r="D122" s="176" t="inlineStr">
        <is>
          <t>C2S-29HS1</t>
        </is>
      </c>
      <c r="E122" s="176" t="inlineStr">
        <is>
          <t>52240001N01260</t>
        </is>
      </c>
      <c r="F122" s="173" t="inlineStr">
        <is>
          <t>تعويض فيلتر - غيرگارانتي</t>
        </is>
      </c>
      <c r="G122" s="173" t="inlineStr">
        <is>
          <t>تعويض فيلتر / غيرگارانتي - سايد باي سايد</t>
        </is>
      </c>
      <c r="H122" s="176" t="inlineStr">
        <is>
          <t>1405/01/22</t>
        </is>
      </c>
      <c r="I122" s="124" t="inlineStr">
        <is>
          <t>1403/05/21</t>
        </is>
      </c>
      <c r="J122" s="124" t="inlineStr">
        <is>
          <t>1404/05/04</t>
        </is>
      </c>
      <c r="K122" s="177">
        <f>IFERROR(VLOOKUP(LEFT(H122,7),'تبدیل تاریخ'!$A$2:$B$73,2,FALSE())+VALUE(RIGHT(H122,2))-1,"")</f>
        <v/>
      </c>
      <c r="L122" s="177">
        <f>IFERROR(VLOOKUP(LEFT(I122,7),'تبدیل تاریخ'!$A$2:$B$73,2,FALSE())+VALUE(RIGHT(I122,2))-1,"")</f>
        <v/>
      </c>
      <c r="M122" s="177">
        <f>IF(J122="","",IFERROR(VLOOKUP(LEFT(J122,7),'تبدیل تاریخ'!$A$2:$B$73,2,FALSE())+VALUE(RIGHT(J122,2))-1,""))</f>
        <v/>
      </c>
      <c r="N122" s="124">
        <f>IF(OR(K122="",M122=""),"",CEILING((K122-M122)/30,1))</f>
        <v/>
      </c>
      <c r="O122" s="124">
        <f>IF(OR(ISNUMBER(SEARCH("بدون مورد",G122)),ISNUMBER(SEARCH("غير گارانتي",G122)),ISNUMBER(SEARCH("غیر گارانتی",G122)),ISNUMBER(SEARCH("بدون اجرت",G122)),ISNUMBER(SEARCH("فيلتر",G122)),ISNUMBER(SEARCH("فیلتر",G122))),"غیرگارانتی/بدون قطعه",IF(OR(ISNUMBER(SEARCH("ريست",G122)),ISNUMBER(SEARCH("ریست",G122))),"ریست نرم‌افزاری (بدون قطعه)",IF(OR(ISNUMBER(SEARCH("تعویض محصول",G122)),ISNUMBER(SEARCH("تعویض دستگاه",G122))),"تعویض کامل دستگاه (Replacement)",IF(ISNUMBER(SEARCH("پمپ",G122)),IF(ISNUMBER(SEARCH("نشت",G122)),"نشتی - پمپ تخلیه (تعمیر/آب‌بندی)","خرابی - پمپ تخلیه (تعویض)"),IF(ISNUMBER(SEARCH("کمپرسور",G122)),"خرابی - کمپرسور (تعویض)",IF(ISNUMBER(SEARCH("کمک فنر",G122)),"خرابی - کمک فنر (تعویض)",IF(ISNUMBER(SEARCH("لولا",G122)),"مکانیزم درب - لولا (تعویض)",IF(OR(ISNUMBER(SEARCH("قلاب",G122)),ISNUMBER(SEARCH("ميکروسوئيچ",G122)),ISNUMBER(SEARCH("میکروسوئیچ",G122))),"مکانیزم درب - میکروسوئیچ/قلاب (تعویض/تنظیم)",IF(ISNUMBER(SEARCH("زبانه",G122)),"مکانیزم درب - زبانه (تعویض)",IF(OR(ISNUMBER(SEARCH("شيلنگ",G122)),ISNUMBER(SEARCH("شیلنگ",G122))),IF(OR(ISNUMBER(SEARCH("نشتی",G122)),ISNUMBER(SEARCH("نشتي",G122))),"نشتی - شیلنگ (تعمیر/آب‌بندی)",IF(OR(ISNUMBER(SEARCH("يخ",G122)),ISNUMBER(SEARCH("یخ",G122))),"شیلنگ یخساز - یخ‌زدگی (بازبینی)","شیلنگ - برخورد/لهیدگی (بازبینی)")),IF(OR(ISNUMBER(SEARCH("تنظيم ديسپل",G122)),ISNUMBER(SEARCH("تنظیم دیسپل",G122)),ISNUMBER(SEARCH("تنظيم صفحه نمايش",G122)),ISNUMBER(SEARCH("تنظیم صفحه نمایش",G122))),"تنظیم - تنظیمات دستگاه/دیسپلی (تعمیر)",IF(OR(ISNUMBER(SEARCH("برد",G122)),ISNUMBER(SEARCH("سوکت",G122)),ISNUMBER(SEARCH("ديسپل",G122)),ISNUMBER(SEARCH("دیسپل",G122))),"خرابی - برد الکترونیک (تعویض)",IF(OR(ISNUMBER(SEARCH("يخساز",G122)),ISNUMBER(SEARCH("یخساز",G122)),ISNUMBER(SEARCH("دمپر",G122))),IF(OR(ISNUMBER(SEARCH("خرابی",G122)),ISNUMBER(SEARCH("خراب",G122)),ISNUMBER(SEARCH("عدم کارکرد",G122)),ISNUMBER(SEARCH("عدم عملکرد",G122))),"یخساز - خرابی موتور/سنسور/برد (تعویض)","یخساز - تنظیم/عایق (تعمیر)"),IF(OR(ISNUMBER(SEARCH("لاستيک",G122)),ISNUMBER(SEARCH("لاستیک",G122))),"لاستیک درزگیر - دفرمگی/پارگی (تعویض)",IF(OR(ISNUMBER(SEARCH("گسکت",G122)),ISNUMBER(SEARCH("گسگت",G122))),"لاستیک درزگیر - دفرمگی/پارگی (تعویض)",IF(ISNUMBER(SEARCH("مخزن نمک",G122)),"نشتی - درب مخزن نمک (تعمیر/آب‌بندی)",IF(ISNUMBER(SEARCH("براکت",G122)),"نشتی - براکت ریل (تعمیر/آب‌بندی)",IF(ISNUMBER(SEARCH("جاپودر",G122)),"نشتی - جاپودری (تعمیر/آب‌بندی)",IF(ISNUMBER(SEARCH("مقسم",G122)),"نشتی - مقسم آب (تعمیر/آب‌بندی)",IF(OR(ISNUMBER(SEARCH("سنسور دما",G122)),ISNUMBER(SEARCH("ترموستات",G122))),"خرابی - ترموستات (تعویض)",IF(OR(ISNUMBER(SEARCH("هيدروستات",G122)),ISNUMBER(SEARCH("هیدروستات",G122))),"خرابی - هیدروستات (تعویض)",IF(OR(ISNUMBER(SEARCH("بلبرينگ",G122)),ISNUMBER(SEARCH("بلبرینگ",G122))),"خرابی - بلبرینگ (تعویض)",IF(OR(ISNUMBER(SEARCH("شيربرق",G122)),ISNUMBER(SEARCH("شیربرق",G122))),"خرابی - شیربرقی (تعویض)",IF(OR(ISNUMBER(SEARCH("واتر جت",G122)),ISNUMBER(SEARCH("واترجت",G122))),"خرابی - واترجت (تعویض)",IF(OR(ISNUMBER(SEARCH("سيم",G122)),ISNUMBER(SEARCH("سیم",G122)),ISNUMBER(SEARCH("اتصال",G122))),"سیم‌کشی/اتصالات (تعویض/بازبینی)",IF(OR(ISNUMBER(SEARCH("تصوير",G122)),ISNUMBER(SEARCH("تصویر",G122))),"برد نمایش تلویزیون (تعویض)",IF(OR(ISNUMBER(SEARCH("ريموت",G122)),ISNUMBER(SEARCH("ریموت",G122))),"ریموت کنترل (تعویض/تعمیر)",IF(OR(ISNUMBER(SEARCH("ال اي دي",G122)),ISNUMBER(SEARCH("ال ای دی",G122)),ISNUMBER(SEARCH("LED",G122))),"خرابی - لامپ/LED داخلی (تعویض)",IF(ISNUMBER(SEARCH("زنگ زدگ",G122)),"زنگ‌زدگی بدنه/قطعه (تعویض)",IF(OR(ISNUMBER(SEARCH("قطعات تزئين",G122)),ISNUMBER(SEARCH("قطعات تزئین",G122))),"قطعات تزئینی - شکستگی/کسری (تعویض)",IF(ISNUMBER(SEARCH("سبد",G122)),"سبد ظرفشویی - شکستگی (تعویض)",IF(ISNUMBER(SEARCH("تاب درام",G122)),"خرابی - تاب برداشتن درام (تعویض)",IF(ISNUMBER(SEARCH("درام",G122)),"خرابی - سایر ایراد درام (تعویض)",IF(ISNUMBER(SEARCH("موتور",G122)),"خرابی - موتور (تعویض)",IF(ISNUMBER(SEARCH("تسمه",G122)),"خرابی - تسمه (تعویض)",IF(OR(ISNUMBER(SEARCH("پيچ ولوم",G122)),ISNUMBER(SEARCH("پیچ ولوم",G122))),"تنظیم - پیچ ولوم/دکمه (تعمیر)",IF(OR(ISNUMBER(SEARCH("کسري قطعات",G122)),ISNUMBER(SEARCH("کسری قطعات",G122))),"کسری قطعات تزئینی (تعویض)",IF(ISNUMBER(SEARCH("پرچ",G122)),"پرچ/بدنه کابین(تعمیر)",IF(OR(ISNUMBER(SEARCH("نشت",G122)),ISNUMBER(SEARCH("آبريزش",G122)),ISNUMBER(SEARCH("آبریزش",G122))),"نشتی آب - محل نامشخص (نیازمند بازدید)",IF(ISNUMBER(SEARCH("درب",G122)),"سایر اجزای درب (بازبینی)",IF(ISNUMBER(SEARCH("ضربه",G122)),"بدنه/کابین - ضربه (بازبینی/تعویض پنل)",IF(ISNUMBER(SEARCH("تراز",G122)),"تراز/لرزش - نصب (رگلاژ پایه)",IF(OR(ISNUMBER(SEARCH("تعویض",G122)),ISNUMBER(SEARCH("تعويض",G122))),"تعویض کامل دستگاه (Replacement)","سایر (نیازمند بررسی دستی)")))))))))))))))))))))))))))))))))))))))))))</f>
        <v/>
      </c>
      <c r="P122" s="124" t="inlineStr">
        <is>
          <t>*</t>
        </is>
      </c>
      <c r="Q122" s="124">
        <f>IF(ISNUMBER(SEARCH("عهده شرکت",F122)),"شرکت",IF(ISNUMBER(SEARCH("عهده مشتري",F122)),"مشتری",IF(ISNUMBER(SEARCH("عهده مشتری",F122)),"مشتری","نامشخص")))</f>
        <v/>
      </c>
      <c r="R122" s="178">
        <f>IF(O122="تعویض کامل دستگاه (Replacement)",IF(SUMIF('قیمت‌ها و مفروضات'!$A$9:$A$13,C122,'قیمت‌ها و مفروضات'!$C$9:$C$13)&lt;&gt;0,SUMIF('قیمت‌ها و مفروضات'!$A$9:$A$13,C122,'قیمت‌ها و مفروضات'!$C$9:$C$13),SUMIF('قیمت‌ها و مفروضات'!$A$9:$A$13,C122,'قیمت‌ها و مفروضات'!$B$9:$B$13)),IF(SUMIF('قیمت‌ها و مفروضات'!$A$18:$A$63,O122,'قیمت‌ها و مفروضات'!$C$18:$C$63)&lt;&gt;0,SUMIF('قیمت‌ها و مفروضات'!$A$18:$A$63,O122,'قیمت‌ها و مفروضات'!$C$18:$C$63),SUMIF('قیمت‌ها و مفروضات'!$A$18:$A$63,O122,'قیمت‌ها و مفروضات'!$B$18:$B$63)))</f>
        <v/>
      </c>
      <c r="S122" s="178">
        <f>'قیمت‌ها و مفروضات'!$B$3+'قیمت‌ها و مفروضات'!$B$4</f>
        <v/>
      </c>
      <c r="T122" s="178">
        <f>R122+S122</f>
        <v/>
      </c>
      <c r="U122" s="178">
        <f>IF(COUNTIF($E$2:E122,E122)&gt;1,"بله (تکراری)","خیر")</f>
        <v/>
      </c>
      <c r="V122" s="178">
        <f>IF(U122="بله (تکراری)",S122,0)</f>
        <v/>
      </c>
      <c r="W122" s="208" t="inlineStr"/>
      <c r="X122" s="208" t="inlineStr"/>
    </row>
    <row r="123" ht="58.5" customHeight="1" s="151">
      <c r="A123" s="176" t="n">
        <v>810003274</v>
      </c>
      <c r="B123" s="124">
        <f>CHOOSE(_xlfn.NUMBERVALUE(MID(H123,6,2)),"فروردین","اردیبهشت","خرداد","تیر","مرداد","شهریور","مهر","آبان","آذر","دی","بهمن","اسفند")</f>
        <v/>
      </c>
      <c r="C123" s="176" t="inlineStr">
        <is>
          <t>تلویزیون</t>
        </is>
      </c>
      <c r="D123" s="176" t="inlineStr">
        <is>
          <t>CTV-65UHJS2</t>
        </is>
      </c>
      <c r="E123" s="176" t="inlineStr">
        <is>
          <t>52230004N00072</t>
        </is>
      </c>
      <c r="F123" s="173" t="inlineStr">
        <is>
          <t>اياب و ذهاب به عهده مشتري مشاهده خطوط در نمايش تصوير</t>
        </is>
      </c>
      <c r="G123" s="173" t="inlineStr">
        <is>
          <t xml:space="preserve">بدون مورد اجرت </t>
        </is>
      </c>
      <c r="H123" s="176" t="inlineStr">
        <is>
          <t>1405/01/22</t>
        </is>
      </c>
      <c r="I123" s="124" t="inlineStr">
        <is>
          <t>1403/07/25</t>
        </is>
      </c>
      <c r="J123" s="124" t="inlineStr">
        <is>
          <t>1404/03/27</t>
        </is>
      </c>
      <c r="K123" s="177">
        <f>IFERROR(VLOOKUP(LEFT(H123,7),'تبدیل تاریخ'!$A$2:$B$73,2,FALSE())+VALUE(RIGHT(H123,2))-1,"")</f>
        <v/>
      </c>
      <c r="L123" s="177">
        <f>IFERROR(VLOOKUP(LEFT(I123,7),'تبدیل تاریخ'!$A$2:$B$73,2,FALSE())+VALUE(RIGHT(I123,2))-1,"")</f>
        <v/>
      </c>
      <c r="M123" s="177">
        <f>IF(J123="","",IFERROR(VLOOKUP(LEFT(J123,7),'تبدیل تاریخ'!$A$2:$B$73,2,FALSE())+VALUE(RIGHT(J123,2))-1,""))</f>
        <v/>
      </c>
      <c r="N123" s="124">
        <f>IF(OR(K123="",M123=""),"",CEILING((K123-M123)/30,1))</f>
        <v/>
      </c>
      <c r="O123" s="124">
        <f>IF(OR(ISNUMBER(SEARCH("بدون مورد",G123)),ISNUMBER(SEARCH("غير گارانتي",G123)),ISNUMBER(SEARCH("غیر گارانتی",G123)),ISNUMBER(SEARCH("بدون اجرت",G123)),ISNUMBER(SEARCH("فيلتر",G123)),ISNUMBER(SEARCH("فیلتر",G123))),"غیرگارانتی/بدون قطعه",IF(OR(ISNUMBER(SEARCH("ريست",G123)),ISNUMBER(SEARCH("ریست",G123))),"ریست نرم‌افزاری (بدون قطعه)",IF(OR(ISNUMBER(SEARCH("تعویض محصول",G123)),ISNUMBER(SEARCH("تعویض دستگاه",G123))),"تعویض کامل دستگاه (Replacement)",IF(ISNUMBER(SEARCH("پمپ",G123)),IF(ISNUMBER(SEARCH("نشت",G123)),"نشتی - پمپ تخلیه (تعمیر/آب‌بندی)","خرابی - پمپ تخلیه (تعویض)"),IF(ISNUMBER(SEARCH("کمپرسور",G123)),"خرابی - کمپرسور (تعویض)",IF(ISNUMBER(SEARCH("کمک فنر",G123)),"خرابی - کمک فنر (تعویض)",IF(ISNUMBER(SEARCH("لولا",G123)),"مکانیزم درب - لولا (تعویض)",IF(OR(ISNUMBER(SEARCH("قلاب",G123)),ISNUMBER(SEARCH("ميکروسوئيچ",G123)),ISNUMBER(SEARCH("میکروسوئیچ",G123))),"مکانیزم درب - میکروسوئیچ/قلاب (تعویض/تنظیم)",IF(ISNUMBER(SEARCH("زبانه",G123)),"مکانیزم درب - زبانه (تعویض)",IF(OR(ISNUMBER(SEARCH("شيلنگ",G123)),ISNUMBER(SEARCH("شیلنگ",G123))),IF(OR(ISNUMBER(SEARCH("نشتی",G123)),ISNUMBER(SEARCH("نشتي",G123))),"نشتی - شیلنگ (تعمیر/آب‌بندی)",IF(OR(ISNUMBER(SEARCH("يخ",G123)),ISNUMBER(SEARCH("یخ",G123))),"شیلنگ یخساز - یخ‌زدگی (بازبینی)","شیلنگ - برخورد/لهیدگی (بازبینی)")),IF(OR(ISNUMBER(SEARCH("تنظيم ديسپل",G123)),ISNUMBER(SEARCH("تنظیم دیسپل",G123)),ISNUMBER(SEARCH("تنظيم صفحه نمايش",G123)),ISNUMBER(SEARCH("تنظیم صفحه نمایش",G123))),"تنظیم - تنظیمات دستگاه/دیسپلی (تعمیر)",IF(OR(ISNUMBER(SEARCH("برد",G123)),ISNUMBER(SEARCH("سوکت",G123)),ISNUMBER(SEARCH("ديسپل",G123)),ISNUMBER(SEARCH("دیسپل",G123))),"خرابی - برد الکترونیک (تعویض)",IF(OR(ISNUMBER(SEARCH("يخساز",G123)),ISNUMBER(SEARCH("یخساز",G123)),ISNUMBER(SEARCH("دمپر",G123))),IF(OR(ISNUMBER(SEARCH("خرابی",G123)),ISNUMBER(SEARCH("خراب",G123)),ISNUMBER(SEARCH("عدم کارکرد",G123)),ISNUMBER(SEARCH("عدم عملکرد",G123))),"یخساز - خرابی موتور/سنسور/برد (تعویض)","یخساز - تنظیم/عایق (تعمیر)"),IF(OR(ISNUMBER(SEARCH("لاستيک",G123)),ISNUMBER(SEARCH("لاستیک",G123))),"لاستیک درزگیر - دفرمگی/پارگی (تعویض)",IF(OR(ISNUMBER(SEARCH("گسکت",G123)),ISNUMBER(SEARCH("گسگت",G123))),"لاستیک درزگیر - دفرمگی/پارگی (تعویض)",IF(ISNUMBER(SEARCH("مخزن نمک",G123)),"نشتی - درب مخزن نمک (تعمیر/آب‌بندی)",IF(ISNUMBER(SEARCH("براکت",G123)),"نشتی - براکت ریل (تعمیر/آب‌بندی)",IF(ISNUMBER(SEARCH("جاپودر",G123)),"نشتی - جاپودری (تعمیر/آب‌بندی)",IF(ISNUMBER(SEARCH("مقسم",G123)),"نشتی - مقسم آب (تعمیر/آب‌بندی)",IF(OR(ISNUMBER(SEARCH("سنسور دما",G123)),ISNUMBER(SEARCH("ترموستات",G123))),"خرابی - ترموستات (تعویض)",IF(OR(ISNUMBER(SEARCH("هيدروستات",G123)),ISNUMBER(SEARCH("هیدروستات",G123))),"خرابی - هیدروستات (تعویض)",IF(OR(ISNUMBER(SEARCH("بلبرينگ",G123)),ISNUMBER(SEARCH("بلبرینگ",G123))),"خرابی - بلبرینگ (تعویض)",IF(OR(ISNUMBER(SEARCH("شيربرق",G123)),ISNUMBER(SEARCH("شیربرق",G123))),"خرابی - شیربرقی (تعویض)",IF(OR(ISNUMBER(SEARCH("واتر جت",G123)),ISNUMBER(SEARCH("واترجت",G123))),"خرابی - واترجت (تعویض)",IF(OR(ISNUMBER(SEARCH("سيم",G123)),ISNUMBER(SEARCH("سیم",G123)),ISNUMBER(SEARCH("اتصال",G123))),"سیم‌کشی/اتصالات (تعویض/بازبینی)",IF(OR(ISNUMBER(SEARCH("تصوير",G123)),ISNUMBER(SEARCH("تصویر",G123))),"برد نمایش تلویزیون (تعویض)",IF(OR(ISNUMBER(SEARCH("ريموت",G123)),ISNUMBER(SEARCH("ریموت",G123))),"ریموت کنترل (تعویض/تعمیر)",IF(OR(ISNUMBER(SEARCH("ال اي دي",G123)),ISNUMBER(SEARCH("ال ای دی",G123)),ISNUMBER(SEARCH("LED",G123))),"خرابی - لامپ/LED داخلی (تعویض)",IF(ISNUMBER(SEARCH("زنگ زدگ",G123)),"زنگ‌زدگی بدنه/قطعه (تعویض)",IF(OR(ISNUMBER(SEARCH("قطعات تزئين",G123)),ISNUMBER(SEARCH("قطعات تزئین",G123))),"قطعات تزئینی - شکستگی/کسری (تعویض)",IF(ISNUMBER(SEARCH("سبد",G123)),"سبد ظرفشویی - شکستگی (تعویض)",IF(ISNUMBER(SEARCH("تاب درام",G123)),"خرابی - تاب برداشتن درام (تعویض)",IF(ISNUMBER(SEARCH("درام",G123)),"خرابی - سایر ایراد درام (تعویض)",IF(ISNUMBER(SEARCH("موتور",G123)),"خرابی - موتور (تعویض)",IF(ISNUMBER(SEARCH("تسمه",G123)),"خرابی - تسمه (تعویض)",IF(OR(ISNUMBER(SEARCH("پيچ ولوم",G123)),ISNUMBER(SEARCH("پیچ ولوم",G123))),"تنظیم - پیچ ولوم/دکمه (تعمیر)",IF(OR(ISNUMBER(SEARCH("کسري قطعات",G123)),ISNUMBER(SEARCH("کسری قطعات",G123))),"کسری قطعات تزئینی (تعویض)",IF(ISNUMBER(SEARCH("پرچ",G123)),"پرچ/بدنه کابین(تعمیر)",IF(OR(ISNUMBER(SEARCH("نشت",G123)),ISNUMBER(SEARCH("آبريزش",G123)),ISNUMBER(SEARCH("آبریزش",G123))),"نشتی آب - محل نامشخص (نیازمند بازدید)",IF(ISNUMBER(SEARCH("درب",G123)),"سایر اجزای درب (بازبینی)",IF(ISNUMBER(SEARCH("ضربه",G123)),"بدنه/کابین - ضربه (بازبینی/تعویض پنل)",IF(ISNUMBER(SEARCH("تراز",G123)),"تراز/لرزش - نصب (رگلاژ پایه)",IF(OR(ISNUMBER(SEARCH("تعویض",G123)),ISNUMBER(SEARCH("تعويض",G123))),"تعویض کامل دستگاه (Replacement)","سایر (نیازمند بررسی دستی)")))))))))))))))))))))))))))))))))))))))))))</f>
        <v/>
      </c>
      <c r="P123" s="124" t="inlineStr">
        <is>
          <t>*</t>
        </is>
      </c>
      <c r="Q123" s="124">
        <f>IF(ISNUMBER(SEARCH("عهده شرکت",F123)),"شرکت",IF(ISNUMBER(SEARCH("عهده مشتري",F123)),"مشتری",IF(ISNUMBER(SEARCH("عهده مشتری",F123)),"مشتری","نامشخص")))</f>
        <v/>
      </c>
      <c r="R123" s="178">
        <f>IF(O123="تعویض کامل دستگاه (Replacement)",IF(SUMIF('قیمت‌ها و مفروضات'!$A$9:$A$13,C123,'قیمت‌ها و مفروضات'!$C$9:$C$13)&lt;&gt;0,SUMIF('قیمت‌ها و مفروضات'!$A$9:$A$13,C123,'قیمت‌ها و مفروضات'!$C$9:$C$13),SUMIF('قیمت‌ها و مفروضات'!$A$9:$A$13,C123,'قیمت‌ها و مفروضات'!$B$9:$B$13)),IF(SUMIF('قیمت‌ها و مفروضات'!$A$18:$A$63,O123,'قیمت‌ها و مفروضات'!$C$18:$C$63)&lt;&gt;0,SUMIF('قیمت‌ها و مفروضات'!$A$18:$A$63,O123,'قیمت‌ها و مفروضات'!$C$18:$C$63),SUMIF('قیمت‌ها و مفروضات'!$A$18:$A$63,O123,'قیمت‌ها و مفروضات'!$B$18:$B$63)))</f>
        <v/>
      </c>
      <c r="S123" s="178">
        <f>'قیمت‌ها و مفروضات'!$B$3+'قیمت‌ها و مفروضات'!$B$4</f>
        <v/>
      </c>
      <c r="T123" s="178">
        <f>R123+S123</f>
        <v/>
      </c>
      <c r="U123" s="178">
        <f>IF(COUNTIF($E$2:E123,E123)&gt;1,"بله (تکراری)","خیر")</f>
        <v/>
      </c>
      <c r="V123" s="178">
        <f>IF(U123="بله (تکراری)",S123,0)</f>
        <v/>
      </c>
      <c r="W123" s="208" t="inlineStr"/>
      <c r="X123" s="208" t="inlineStr"/>
    </row>
    <row r="124" ht="58.5" customHeight="1" s="151">
      <c r="A124" s="176" t="n">
        <v>510022350</v>
      </c>
      <c r="B124" s="124">
        <f>CHOOSE(_xlfn.NUMBERVALUE(MID(H124,6,2)),"فروردین","اردیبهشت","خرداد","تیر","مرداد","شهریور","مهر","آبان","آذر","دی","بهمن","اسفند")</f>
        <v/>
      </c>
      <c r="C124" s="176" t="inlineStr">
        <is>
          <t>یخچال ساید‌بای‌ساید</t>
        </is>
      </c>
      <c r="D124" s="176" t="inlineStr">
        <is>
          <t>C2S-29HS1</t>
        </is>
      </c>
      <c r="E124" s="176" t="inlineStr">
        <is>
          <t>52240001N00642</t>
        </is>
      </c>
      <c r="F124" s="173" t="inlineStr">
        <is>
          <t>تعويض فيلتر - غيرگارانتي</t>
        </is>
      </c>
      <c r="G124" s="173" t="inlineStr">
        <is>
          <t>تعويض فيلتر / غيرگارانتي - سايد باي سايد</t>
        </is>
      </c>
      <c r="H124" s="176" t="inlineStr">
        <is>
          <t>1405/01/24</t>
        </is>
      </c>
      <c r="I124" s="124" t="inlineStr">
        <is>
          <t>1403/04/06</t>
        </is>
      </c>
      <c r="J124" s="124" t="inlineStr">
        <is>
          <t>1403/09/27</t>
        </is>
      </c>
      <c r="K124" s="177">
        <f>IFERROR(VLOOKUP(LEFT(H124,7),'تبدیل تاریخ'!$A$2:$B$73,2,FALSE())+VALUE(RIGHT(H124,2))-1,"")</f>
        <v/>
      </c>
      <c r="L124" s="177">
        <f>IFERROR(VLOOKUP(LEFT(I124,7),'تبدیل تاریخ'!$A$2:$B$73,2,FALSE())+VALUE(RIGHT(I124,2))-1,"")</f>
        <v/>
      </c>
      <c r="M124" s="177">
        <f>IF(J124="","",IFERROR(VLOOKUP(LEFT(J124,7),'تبدیل تاریخ'!$A$2:$B$73,2,FALSE())+VALUE(RIGHT(J124,2))-1,""))</f>
        <v/>
      </c>
      <c r="N124" s="124">
        <f>IF(OR(K124="",M124=""),"",CEILING((K124-M124)/30,1))</f>
        <v/>
      </c>
      <c r="O124" s="124">
        <f>IF(OR(ISNUMBER(SEARCH("بدون مورد",G124)),ISNUMBER(SEARCH("غير گارانتي",G124)),ISNUMBER(SEARCH("غیر گارانتی",G124)),ISNUMBER(SEARCH("بدون اجرت",G124)),ISNUMBER(SEARCH("فيلتر",G124)),ISNUMBER(SEARCH("فیلتر",G124))),"غیرگارانتی/بدون قطعه",IF(OR(ISNUMBER(SEARCH("ريست",G124)),ISNUMBER(SEARCH("ریست",G124))),"ریست نرم‌افزاری (بدون قطعه)",IF(OR(ISNUMBER(SEARCH("تعویض محصول",G124)),ISNUMBER(SEARCH("تعویض دستگاه",G124))),"تعویض کامل دستگاه (Replacement)",IF(ISNUMBER(SEARCH("پمپ",G124)),IF(ISNUMBER(SEARCH("نشت",G124)),"نشتی - پمپ تخلیه (تعمیر/آب‌بندی)","خرابی - پمپ تخلیه (تعویض)"),IF(ISNUMBER(SEARCH("کمپرسور",G124)),"خرابی - کمپرسور (تعویض)",IF(ISNUMBER(SEARCH("کمک فنر",G124)),"خرابی - کمک فنر (تعویض)",IF(ISNUMBER(SEARCH("لولا",G124)),"مکانیزم درب - لولا (تعویض)",IF(OR(ISNUMBER(SEARCH("قلاب",G124)),ISNUMBER(SEARCH("ميکروسوئيچ",G124)),ISNUMBER(SEARCH("میکروسوئیچ",G124))),"مکانیزم درب - میکروسوئیچ/قلاب (تعویض/تنظیم)",IF(ISNUMBER(SEARCH("زبانه",G124)),"مکانیزم درب - زبانه (تعویض)",IF(OR(ISNUMBER(SEARCH("شيلنگ",G124)),ISNUMBER(SEARCH("شیلنگ",G124))),IF(OR(ISNUMBER(SEARCH("نشتی",G124)),ISNUMBER(SEARCH("نشتي",G124))),"نشتی - شیلنگ (تعمیر/آب‌بندی)",IF(OR(ISNUMBER(SEARCH("يخ",G124)),ISNUMBER(SEARCH("یخ",G124))),"شیلنگ یخساز - یخ‌زدگی (بازبینی)","شیلنگ - برخورد/لهیدگی (بازبینی)")),IF(OR(ISNUMBER(SEARCH("تنظيم ديسپل",G124)),ISNUMBER(SEARCH("تنظیم دیسپل",G124)),ISNUMBER(SEARCH("تنظيم صفحه نمايش",G124)),ISNUMBER(SEARCH("تنظیم صفحه نمایش",G124))),"تنظیم - تنظیمات دستگاه/دیسپلی (تعمیر)",IF(OR(ISNUMBER(SEARCH("برد",G124)),ISNUMBER(SEARCH("سوکت",G124)),ISNUMBER(SEARCH("ديسپل",G124)),ISNUMBER(SEARCH("دیسپل",G124))),"خرابی - برد الکترونیک (تعویض)",IF(OR(ISNUMBER(SEARCH("يخساز",G124)),ISNUMBER(SEARCH("یخساز",G124)),ISNUMBER(SEARCH("دمپر",G124))),IF(OR(ISNUMBER(SEARCH("خرابی",G124)),ISNUMBER(SEARCH("خراب",G124)),ISNUMBER(SEARCH("عدم کارکرد",G124)),ISNUMBER(SEARCH("عدم عملکرد",G124))),"یخساز - خرابی موتور/سنسور/برد (تعویض)","یخساز - تنظیم/عایق (تعمیر)"),IF(OR(ISNUMBER(SEARCH("لاستيک",G124)),ISNUMBER(SEARCH("لاستیک",G124))),"لاستیک درزگیر - دفرمگی/پارگی (تعویض)",IF(OR(ISNUMBER(SEARCH("گسکت",G124)),ISNUMBER(SEARCH("گسگت",G124))),"لاستیک درزگیر - دفرمگی/پارگی (تعویض)",IF(ISNUMBER(SEARCH("مخزن نمک",G124)),"نشتی - درب مخزن نمک (تعمیر/آب‌بندی)",IF(ISNUMBER(SEARCH("براکت",G124)),"نشتی - براکت ریل (تعمیر/آب‌بندی)",IF(ISNUMBER(SEARCH("جاپودر",G124)),"نشتی - جاپودری (تعمیر/آب‌بندی)",IF(ISNUMBER(SEARCH("مقسم",G124)),"نشتی - مقسم آب (تعمیر/آب‌بندی)",IF(OR(ISNUMBER(SEARCH("سنسور دما",G124)),ISNUMBER(SEARCH("ترموستات",G124))),"خرابی - ترموستات (تعویض)",IF(OR(ISNUMBER(SEARCH("هيدروستات",G124)),ISNUMBER(SEARCH("هیدروستات",G124))),"خرابی - هیدروستات (تعویض)",IF(OR(ISNUMBER(SEARCH("بلبرينگ",G124)),ISNUMBER(SEARCH("بلبرینگ",G124))),"خرابی - بلبرینگ (تعویض)",IF(OR(ISNUMBER(SEARCH("شيربرق",G124)),ISNUMBER(SEARCH("شیربرق",G124))),"خرابی - شیربرقی (تعویض)",IF(OR(ISNUMBER(SEARCH("واتر جت",G124)),ISNUMBER(SEARCH("واترجت",G124))),"خرابی - واترجت (تعویض)",IF(OR(ISNUMBER(SEARCH("سيم",G124)),ISNUMBER(SEARCH("سیم",G124)),ISNUMBER(SEARCH("اتصال",G124))),"سیم‌کشی/اتصالات (تعویض/بازبینی)",IF(OR(ISNUMBER(SEARCH("تصوير",G124)),ISNUMBER(SEARCH("تصویر",G124))),"برد نمایش تلویزیون (تعویض)",IF(OR(ISNUMBER(SEARCH("ريموت",G124)),ISNUMBER(SEARCH("ریموت",G124))),"ریموت کنترل (تعویض/تعمیر)",IF(OR(ISNUMBER(SEARCH("ال اي دي",G124)),ISNUMBER(SEARCH("ال ای دی",G124)),ISNUMBER(SEARCH("LED",G124))),"خرابی - لامپ/LED داخلی (تعویض)",IF(ISNUMBER(SEARCH("زنگ زدگ",G124)),"زنگ‌زدگی بدنه/قطعه (تعویض)",IF(OR(ISNUMBER(SEARCH("قطعات تزئين",G124)),ISNUMBER(SEARCH("قطعات تزئین",G124))),"قطعات تزئینی - شکستگی/کسری (تعویض)",IF(ISNUMBER(SEARCH("سبد",G124)),"سبد ظرفشویی - شکستگی (تعویض)",IF(ISNUMBER(SEARCH("تاب درام",G124)),"خرابی - تاب برداشتن درام (تعویض)",IF(ISNUMBER(SEARCH("درام",G124)),"خرابی - سایر ایراد درام (تعویض)",IF(ISNUMBER(SEARCH("موتور",G124)),"خرابی - موتور (تعویض)",IF(ISNUMBER(SEARCH("تسمه",G124)),"خرابی - تسمه (تعویض)",IF(OR(ISNUMBER(SEARCH("پيچ ولوم",G124)),ISNUMBER(SEARCH("پیچ ولوم",G124))),"تنظیم - پیچ ولوم/دکمه (تعمیر)",IF(OR(ISNUMBER(SEARCH("کسري قطعات",G124)),ISNUMBER(SEARCH("کسری قطعات",G124))),"کسری قطعات تزئینی (تعویض)",IF(ISNUMBER(SEARCH("پرچ",G124)),"پرچ/بدنه کابین(تعمیر)",IF(OR(ISNUMBER(SEARCH("نشت",G124)),ISNUMBER(SEARCH("آبريزش",G124)),ISNUMBER(SEARCH("آبریزش",G124))),"نشتی آب - محل نامشخص (نیازمند بازدید)",IF(ISNUMBER(SEARCH("درب",G124)),"سایر اجزای درب (بازبینی)",IF(ISNUMBER(SEARCH("ضربه",G124)),"بدنه/کابین - ضربه (بازبینی/تعویض پنل)",IF(ISNUMBER(SEARCH("تراز",G124)),"تراز/لرزش - نصب (رگلاژ پایه)",IF(OR(ISNUMBER(SEARCH("تعویض",G124)),ISNUMBER(SEARCH("تعويض",G124))),"تعویض کامل دستگاه (Replacement)","سایر (نیازمند بررسی دستی)")))))))))))))))))))))))))))))))))))))))))))</f>
        <v/>
      </c>
      <c r="P124" s="124" t="inlineStr">
        <is>
          <t>*</t>
        </is>
      </c>
      <c r="Q124" s="124">
        <f>IF(ISNUMBER(SEARCH("عهده شرکت",F124)),"شرکت",IF(ISNUMBER(SEARCH("عهده مشتري",F124)),"مشتری",IF(ISNUMBER(SEARCH("عهده مشتری",F124)),"مشتری","نامشخص")))</f>
        <v/>
      </c>
      <c r="R124" s="178">
        <f>IF(O124="تعویض کامل دستگاه (Replacement)",IF(SUMIF('قیمت‌ها و مفروضات'!$A$9:$A$13,C124,'قیمت‌ها و مفروضات'!$C$9:$C$13)&lt;&gt;0,SUMIF('قیمت‌ها و مفروضات'!$A$9:$A$13,C124,'قیمت‌ها و مفروضات'!$C$9:$C$13),SUMIF('قیمت‌ها و مفروضات'!$A$9:$A$13,C124,'قیمت‌ها و مفروضات'!$B$9:$B$13)),IF(SUMIF('قیمت‌ها و مفروضات'!$A$18:$A$63,O124,'قیمت‌ها و مفروضات'!$C$18:$C$63)&lt;&gt;0,SUMIF('قیمت‌ها و مفروضات'!$A$18:$A$63,O124,'قیمت‌ها و مفروضات'!$C$18:$C$63),SUMIF('قیمت‌ها و مفروضات'!$A$18:$A$63,O124,'قیمت‌ها و مفروضات'!$B$18:$B$63)))</f>
        <v/>
      </c>
      <c r="S124" s="178">
        <f>'قیمت‌ها و مفروضات'!$B$3+'قیمت‌ها و مفروضات'!$B$4</f>
        <v/>
      </c>
      <c r="T124" s="178">
        <f>R124+S124</f>
        <v/>
      </c>
      <c r="U124" s="178">
        <f>IF(COUNTIF($E$2:E124,E124)&gt;1,"بله (تکراری)","خیر")</f>
        <v/>
      </c>
      <c r="V124" s="178">
        <f>IF(U124="بله (تکراری)",S124,0)</f>
        <v/>
      </c>
      <c r="W124" s="208" t="inlineStr"/>
      <c r="X124" s="208" t="inlineStr"/>
    </row>
    <row r="125" ht="58.5" customHeight="1" s="151">
      <c r="A125" s="176" t="n">
        <v>130008509</v>
      </c>
      <c r="B125" s="124">
        <f>CHOOSE(_xlfn.NUMBERVALUE(MID(H125,6,2)),"فروردین","اردیبهشت","خرداد","تیر","مرداد","شهریور","مهر","آبان","آذر","دی","بهمن","اسفند")</f>
        <v/>
      </c>
      <c r="C125" s="176" t="inlineStr">
        <is>
          <t>ماشين لباسشويي</t>
        </is>
      </c>
      <c r="D125" s="176" t="inlineStr">
        <is>
          <t>CWM-BMW7.5VI1</t>
        </is>
      </c>
      <c r="E125" s="176" t="inlineStr">
        <is>
          <t>52210002N00408</t>
        </is>
      </c>
      <c r="F125" s="173" t="inlineStr">
        <is>
          <t>پارگي لباس اياب و ذهاب به عهده شرکت</t>
        </is>
      </c>
      <c r="G125" s="173" t="inlineStr">
        <is>
          <t>زنگ زدگي درام</t>
        </is>
      </c>
      <c r="H125" s="176" t="inlineStr">
        <is>
          <t>1405/01/25</t>
        </is>
      </c>
      <c r="I125" s="124" t="inlineStr">
        <is>
          <t>1404/05/05</t>
        </is>
      </c>
      <c r="J125" s="124" t="inlineStr">
        <is>
          <t>1404/11/04</t>
        </is>
      </c>
      <c r="K125" s="177">
        <f>IFERROR(VLOOKUP(LEFT(H125,7),'تبدیل تاریخ'!$A$2:$B$73,2,FALSE())+VALUE(RIGHT(H125,2))-1,"")</f>
        <v/>
      </c>
      <c r="L125" s="177">
        <f>IFERROR(VLOOKUP(LEFT(I125,7),'تبدیل تاریخ'!$A$2:$B$73,2,FALSE())+VALUE(RIGHT(I125,2))-1,"")</f>
        <v/>
      </c>
      <c r="M125" s="177">
        <f>IF(J125="","",IFERROR(VLOOKUP(LEFT(J125,7),'تبدیل تاریخ'!$A$2:$B$73,2,FALSE())+VALUE(RIGHT(J125,2))-1,""))</f>
        <v/>
      </c>
      <c r="N125" s="124">
        <f>IF(OR(K125="",M125=""),"",CEILING((K125-M125)/30,1))</f>
        <v/>
      </c>
      <c r="O125" s="124">
        <f>IF(OR(ISNUMBER(SEARCH("بدون مورد",G125)),ISNUMBER(SEARCH("غير گارانتي",G125)),ISNUMBER(SEARCH("غیر گارانتی",G125)),ISNUMBER(SEARCH("بدون اجرت",G125)),ISNUMBER(SEARCH("فيلتر",G125)),ISNUMBER(SEARCH("فیلتر",G125))),"غیرگارانتی/بدون قطعه",IF(OR(ISNUMBER(SEARCH("ريست",G125)),ISNUMBER(SEARCH("ریست",G125))),"ریست نرم‌افزاری (بدون قطعه)",IF(OR(ISNUMBER(SEARCH("تعویض محصول",G125)),ISNUMBER(SEARCH("تعویض دستگاه",G125))),"تعویض کامل دستگاه (Replacement)",IF(ISNUMBER(SEARCH("پمپ",G125)),IF(ISNUMBER(SEARCH("نشت",G125)),"نشتی - پمپ تخلیه (تعمیر/آب‌بندی)","خرابی - پمپ تخلیه (تعویض)"),IF(ISNUMBER(SEARCH("کمپرسور",G125)),"خرابی - کمپرسور (تعویض)",IF(ISNUMBER(SEARCH("کمک فنر",G125)),"خرابی - کمک فنر (تعویض)",IF(ISNUMBER(SEARCH("لولا",G125)),"مکانیزم درب - لولا (تعویض)",IF(OR(ISNUMBER(SEARCH("قلاب",G125)),ISNUMBER(SEARCH("ميکروسوئيچ",G125)),ISNUMBER(SEARCH("میکروسوئیچ",G125))),"مکانیزم درب - میکروسوئیچ/قلاب (تعویض/تنظیم)",IF(ISNUMBER(SEARCH("زبانه",G125)),"مکانیزم درب - زبانه (تعویض)",IF(OR(ISNUMBER(SEARCH("شيلنگ",G125)),ISNUMBER(SEARCH("شیلنگ",G125))),IF(OR(ISNUMBER(SEARCH("نشتی",G125)),ISNUMBER(SEARCH("نشتي",G125))),"نشتی - شیلنگ (تعمیر/آب‌بندی)",IF(OR(ISNUMBER(SEARCH("يخ",G125)),ISNUMBER(SEARCH("یخ",G125))),"شیلنگ یخساز - یخ‌زدگی (بازبینی)","شیلنگ - برخورد/لهیدگی (بازبینی)")),IF(OR(ISNUMBER(SEARCH("تنظيم ديسپل",G125)),ISNUMBER(SEARCH("تنظیم دیسپل",G125)),ISNUMBER(SEARCH("تنظيم صفحه نمايش",G125)),ISNUMBER(SEARCH("تنظیم صفحه نمایش",G125))),"تنظیم - تنظیمات دستگاه/دیسپلی (تعمیر)",IF(OR(ISNUMBER(SEARCH("برد",G125)),ISNUMBER(SEARCH("سوکت",G125)),ISNUMBER(SEARCH("ديسپل",G125)),ISNUMBER(SEARCH("دیسپل",G125))),"خرابی - برد الکترونیک (تعویض)",IF(OR(ISNUMBER(SEARCH("يخساز",G125)),ISNUMBER(SEARCH("یخساز",G125)),ISNUMBER(SEARCH("دمپر",G125))),IF(OR(ISNUMBER(SEARCH("خرابی",G125)),ISNUMBER(SEARCH("خراب",G125)),ISNUMBER(SEARCH("عدم کارکرد",G125)),ISNUMBER(SEARCH("عدم عملکرد",G125))),"یخساز - خرابی موتور/سنسور/برد (تعویض)","یخساز - تنظیم/عایق (تعمیر)"),IF(OR(ISNUMBER(SEARCH("لاستيک",G125)),ISNUMBER(SEARCH("لاستیک",G125))),"لاستیک درزگیر - دفرمگی/پارگی (تعویض)",IF(OR(ISNUMBER(SEARCH("گسکت",G125)),ISNUMBER(SEARCH("گسگت",G125))),"لاستیک درزگیر - دفرمگی/پارگی (تعویض)",IF(ISNUMBER(SEARCH("مخزن نمک",G125)),"نشتی - درب مخزن نمک (تعمیر/آب‌بندی)",IF(ISNUMBER(SEARCH("براکت",G125)),"نشتی - براکت ریل (تعمیر/آب‌بندی)",IF(ISNUMBER(SEARCH("جاپودر",G125)),"نشتی - جاپودری (تعمیر/آب‌بندی)",IF(ISNUMBER(SEARCH("مقسم",G125)),"نشتی - مقسم آب (تعمیر/آب‌بندی)",IF(OR(ISNUMBER(SEARCH("سنسور دما",G125)),ISNUMBER(SEARCH("ترموستات",G125))),"خرابی - ترموستات (تعویض)",IF(OR(ISNUMBER(SEARCH("هيدروستات",G125)),ISNUMBER(SEARCH("هیدروستات",G125))),"خرابی - هیدروستات (تعویض)",IF(OR(ISNUMBER(SEARCH("بلبرينگ",G125)),ISNUMBER(SEARCH("بلبرینگ",G125))),"خرابی - بلبرینگ (تعویض)",IF(OR(ISNUMBER(SEARCH("شيربرق",G125)),ISNUMBER(SEARCH("شیربرق",G125))),"خرابی - شیربرقی (تعویض)",IF(OR(ISNUMBER(SEARCH("واتر جت",G125)),ISNUMBER(SEARCH("واترجت",G125))),"خرابی - واترجت (تعویض)",IF(OR(ISNUMBER(SEARCH("سيم",G125)),ISNUMBER(SEARCH("سیم",G125)),ISNUMBER(SEARCH("اتصال",G125))),"سیم‌کشی/اتصالات (تعویض/بازبینی)",IF(OR(ISNUMBER(SEARCH("تصوير",G125)),ISNUMBER(SEARCH("تصویر",G125))),"برد نمایش تلویزیون (تعویض)",IF(OR(ISNUMBER(SEARCH("ريموت",G125)),ISNUMBER(SEARCH("ریموت",G125))),"ریموت کنترل (تعویض/تعمیر)",IF(OR(ISNUMBER(SEARCH("ال اي دي",G125)),ISNUMBER(SEARCH("ال ای دی",G125)),ISNUMBER(SEARCH("LED",G125))),"خرابی - لامپ/LED داخلی (تعویض)",IF(ISNUMBER(SEARCH("زنگ زدگ",G125)),"زنگ‌زدگی بدنه/قطعه (تعویض)",IF(OR(ISNUMBER(SEARCH("قطعات تزئين",G125)),ISNUMBER(SEARCH("قطعات تزئین",G125))),"قطعات تزئینی - شکستگی/کسری (تعویض)",IF(ISNUMBER(SEARCH("سبد",G125)),"سبد ظرفشویی - شکستگی (تعویض)",IF(ISNUMBER(SEARCH("تاب درام",G125)),"خرابی - تاب برداشتن درام (تعویض)",IF(ISNUMBER(SEARCH("درام",G125)),"خرابی - سایر ایراد درام (تعویض)",IF(ISNUMBER(SEARCH("موتور",G125)),"خرابی - موتور (تعویض)",IF(ISNUMBER(SEARCH("تسمه",G125)),"خرابی - تسمه (تعویض)",IF(OR(ISNUMBER(SEARCH("پيچ ولوم",G125)),ISNUMBER(SEARCH("پیچ ولوم",G125))),"تنظیم - پیچ ولوم/دکمه (تعمیر)",IF(OR(ISNUMBER(SEARCH("کسري قطعات",G125)),ISNUMBER(SEARCH("کسری قطعات",G125))),"کسری قطعات تزئینی (تعویض)",IF(ISNUMBER(SEARCH("پرچ",G125)),"پرچ/بدنه کابین(تعمیر)",IF(OR(ISNUMBER(SEARCH("نشت",G125)),ISNUMBER(SEARCH("آبريزش",G125)),ISNUMBER(SEARCH("آبریزش",G125))),"نشتی آب - محل نامشخص (نیازمند بازدید)",IF(ISNUMBER(SEARCH("درب",G125)),"سایر اجزای درب (بازبینی)",IF(ISNUMBER(SEARCH("ضربه",G125)),"بدنه/کابین - ضربه (بازبینی/تعویض پنل)",IF(ISNUMBER(SEARCH("تراز",G125)),"تراز/لرزش - نصب (رگلاژ پایه)",IF(OR(ISNUMBER(SEARCH("تعویض",G125)),ISNUMBER(SEARCH("تعويض",G125))),"تعویض کامل دستگاه (Replacement)","سایر (نیازمند بررسی دستی)")))))))))))))))))))))))))))))))))))))))))))</f>
        <v/>
      </c>
      <c r="P125" s="124" t="inlineStr">
        <is>
          <t>زنگ زدگی درام</t>
        </is>
      </c>
      <c r="Q125" s="124">
        <f>IF(ISNUMBER(SEARCH("عهده شرکت",F125)),"شرکت",IF(ISNUMBER(SEARCH("عهده مشتري",F125)),"مشتری",IF(ISNUMBER(SEARCH("عهده مشتری",F125)),"مشتری","نامشخص")))</f>
        <v/>
      </c>
      <c r="R125" s="178">
        <f>IF(O125="تعویض کامل دستگاه (Replacement)",IF(SUMIF('قیمت‌ها و مفروضات'!$A$9:$A$13,C125,'قیمت‌ها و مفروضات'!$C$9:$C$13)&lt;&gt;0,SUMIF('قیمت‌ها و مفروضات'!$A$9:$A$13,C125,'قیمت‌ها و مفروضات'!$C$9:$C$13),SUMIF('قیمت‌ها و مفروضات'!$A$9:$A$13,C125,'قیمت‌ها و مفروضات'!$B$9:$B$13)),IF(SUMIF('قیمت‌ها و مفروضات'!$A$18:$A$63,O125,'قیمت‌ها و مفروضات'!$C$18:$C$63)&lt;&gt;0,SUMIF('قیمت‌ها و مفروضات'!$A$18:$A$63,O125,'قیمت‌ها و مفروضات'!$C$18:$C$63),SUMIF('قیمت‌ها و مفروضات'!$A$18:$A$63,O125,'قیمت‌ها و مفروضات'!$B$18:$B$63)))</f>
        <v/>
      </c>
      <c r="S125" s="178">
        <f>'قیمت‌ها و مفروضات'!$B$3+'قیمت‌ها و مفروضات'!$B$4</f>
        <v/>
      </c>
      <c r="T125" s="178">
        <f>R125+S125</f>
        <v/>
      </c>
      <c r="U125" s="178">
        <f>IF(COUNTIF($E$2:E125,E125)&gt;1,"بله (تکراری)","خیر")</f>
        <v/>
      </c>
      <c r="V125" s="178">
        <f>IF(U125="بله (تکراری)",S125,0)</f>
        <v/>
      </c>
      <c r="W125" s="208" t="inlineStr"/>
      <c r="X125" s="208" t="inlineStr"/>
    </row>
    <row r="126" ht="58.5" customHeight="1" s="151">
      <c r="A126" s="176" t="n">
        <v>210006131</v>
      </c>
      <c r="B126" s="124">
        <f>CHOOSE(_xlfn.NUMBERVALUE(MID(H126,6,2)),"فروردین","اردیبهشت","خرداد","تیر","مرداد","شهریور","مهر","آبان","آذر","دی","بهمن","اسفند")</f>
        <v/>
      </c>
      <c r="C126" s="176" t="inlineStr">
        <is>
          <t>ماشين لباسشويي</t>
        </is>
      </c>
      <c r="D126" s="176" t="inlineStr">
        <is>
          <t>CWM-BMW8T1</t>
        </is>
      </c>
      <c r="E126" s="176" t="inlineStr">
        <is>
          <t>52210006N01567</t>
        </is>
      </c>
      <c r="F126" s="173" t="inlineStr">
        <is>
          <t>جمع شدن آب داخل محصول**اياب و ذهاب به عهده شرکت</t>
        </is>
      </c>
      <c r="G126" s="124" t="inlineStr">
        <is>
          <t>خرابي شيربرقي</t>
        </is>
      </c>
      <c r="H126" s="176" t="inlineStr">
        <is>
          <t>1405/01/24</t>
        </is>
      </c>
      <c r="I126" s="124" t="inlineStr">
        <is>
          <t>1404/05/15</t>
        </is>
      </c>
      <c r="J126" s="124" t="inlineStr">
        <is>
          <t>1404/10/14</t>
        </is>
      </c>
      <c r="K126" s="177">
        <f>IFERROR(VLOOKUP(LEFT(H126,7),'تبدیل تاریخ'!$A$2:$B$73,2,FALSE())+VALUE(RIGHT(H126,2))-1,"")</f>
        <v/>
      </c>
      <c r="L126" s="177">
        <f>IFERROR(VLOOKUP(LEFT(I126,7),'تبدیل تاریخ'!$A$2:$B$73,2,FALSE())+VALUE(RIGHT(I126,2))-1,"")</f>
        <v/>
      </c>
      <c r="M126" s="177">
        <f>IF(J126="","",IFERROR(VLOOKUP(LEFT(J126,7),'تبدیل تاریخ'!$A$2:$B$73,2,FALSE())+VALUE(RIGHT(J126,2))-1,""))</f>
        <v/>
      </c>
      <c r="N126" s="124">
        <f>IF(OR(K126="",M126=""),"",CEILING((K126-M126)/30,1))</f>
        <v/>
      </c>
      <c r="O126" s="124">
        <f>IF(OR(ISNUMBER(SEARCH("بدون مورد",G126)),ISNUMBER(SEARCH("غير گارانتي",G126)),ISNUMBER(SEARCH("غیر گارانتی",G126)),ISNUMBER(SEARCH("بدون اجرت",G126)),ISNUMBER(SEARCH("فيلتر",G126)),ISNUMBER(SEARCH("فیلتر",G126))),"غیرگارانتی/بدون قطعه",IF(OR(ISNUMBER(SEARCH("ريست",G126)),ISNUMBER(SEARCH("ریست",G126))),"ریست نرم‌افزاری (بدون قطعه)",IF(OR(ISNUMBER(SEARCH("تعویض محصول",G126)),ISNUMBER(SEARCH("تعویض دستگاه",G126))),"تعویض کامل دستگاه (Replacement)",IF(ISNUMBER(SEARCH("پمپ",G126)),IF(ISNUMBER(SEARCH("نشت",G126)),"نشتی - پمپ تخلیه (تعمیر/آب‌بندی)","خرابی - پمپ تخلیه (تعویض)"),IF(ISNUMBER(SEARCH("کمپرسور",G126)),"خرابی - کمپرسور (تعویض)",IF(ISNUMBER(SEARCH("کمک فنر",G126)),"خرابی - کمک فنر (تعویض)",IF(ISNUMBER(SEARCH("لولا",G126)),"مکانیزم درب - لولا (تعویض)",IF(OR(ISNUMBER(SEARCH("قلاب",G126)),ISNUMBER(SEARCH("ميکروسوئيچ",G126)),ISNUMBER(SEARCH("میکروسوئیچ",G126))),"مکانیزم درب - میکروسوئیچ/قلاب (تعویض/تنظیم)",IF(ISNUMBER(SEARCH("زبانه",G126)),"مکانیزم درب - زبانه (تعویض)",IF(OR(ISNUMBER(SEARCH("شيلنگ",G126)),ISNUMBER(SEARCH("شیلنگ",G126))),IF(OR(ISNUMBER(SEARCH("نشتی",G126)),ISNUMBER(SEARCH("نشتي",G126))),"نشتی - شیلنگ (تعمیر/آب‌بندی)",IF(OR(ISNUMBER(SEARCH("يخ",G126)),ISNUMBER(SEARCH("یخ",G126))),"شیلنگ یخساز - یخ‌زدگی (بازبینی)","شیلنگ - برخورد/لهیدگی (بازبینی)")),IF(OR(ISNUMBER(SEARCH("تنظيم ديسپل",G126)),ISNUMBER(SEARCH("تنظیم دیسپل",G126)),ISNUMBER(SEARCH("تنظيم صفحه نمايش",G126)),ISNUMBER(SEARCH("تنظیم صفحه نمایش",G126))),"تنظیم - تنظیمات دستگاه/دیسپلی (تعمیر)",IF(OR(ISNUMBER(SEARCH("برد",G126)),ISNUMBER(SEARCH("سوکت",G126)),ISNUMBER(SEARCH("ديسپل",G126)),ISNUMBER(SEARCH("دیسپل",G126))),"خرابی - برد الکترونیک (تعویض)",IF(OR(ISNUMBER(SEARCH("يخساز",G126)),ISNUMBER(SEARCH("یخساز",G126)),ISNUMBER(SEARCH("دمپر",G126))),IF(OR(ISNUMBER(SEARCH("خرابی",G126)),ISNUMBER(SEARCH("خراب",G126)),ISNUMBER(SEARCH("عدم کارکرد",G126)),ISNUMBER(SEARCH("عدم عملکرد",G126))),"یخساز - خرابی موتور/سنسور/برد (تعویض)","یخساز - تنظیم/عایق (تعمیر)"),IF(OR(ISNUMBER(SEARCH("لاستيک",G126)),ISNUMBER(SEARCH("لاستیک",G126))),"لاستیک درزگیر - دفرمگی/پارگی (تعویض)",IF(OR(ISNUMBER(SEARCH("گسکت",G126)),ISNUMBER(SEARCH("گسگت",G126))),"لاستیک درزگیر - دفرمگی/پارگی (تعویض)",IF(ISNUMBER(SEARCH("مخزن نمک",G126)),"نشتی - درب مخزن نمک (تعمیر/آب‌بندی)",IF(ISNUMBER(SEARCH("براکت",G126)),"نشتی - براکت ریل (تعمیر/آب‌بندی)",IF(ISNUMBER(SEARCH("جاپودر",G126)),"نشتی - جاپودری (تعمیر/آب‌بندی)",IF(ISNUMBER(SEARCH("مقسم",G126)),"نشتی - مقسم آب (تعمیر/آب‌بندی)",IF(OR(ISNUMBER(SEARCH("سنسور دما",G126)),ISNUMBER(SEARCH("ترموستات",G126))),"خرابی - ترموستات (تعویض)",IF(OR(ISNUMBER(SEARCH("هيدروستات",G126)),ISNUMBER(SEARCH("هیدروستات",G126))),"خرابی - هیدروستات (تعویض)",IF(OR(ISNUMBER(SEARCH("بلبرينگ",G126)),ISNUMBER(SEARCH("بلبرینگ",G126))),"خرابی - بلبرینگ (تعویض)",IF(OR(ISNUMBER(SEARCH("شيربرق",G126)),ISNUMBER(SEARCH("شیربرق",G126))),"خرابی - شیربرقی (تعویض)",IF(OR(ISNUMBER(SEARCH("واتر جت",G126)),ISNUMBER(SEARCH("واترجت",G126))),"خرابی - واترجت (تعویض)",IF(OR(ISNUMBER(SEARCH("سيم",G126)),ISNUMBER(SEARCH("سیم",G126)),ISNUMBER(SEARCH("اتصال",G126))),"سیم‌کشی/اتصالات (تعویض/بازبینی)",IF(OR(ISNUMBER(SEARCH("تصوير",G126)),ISNUMBER(SEARCH("تصویر",G126))),"برد نمایش تلویزیون (تعویض)",IF(OR(ISNUMBER(SEARCH("ريموت",G126)),ISNUMBER(SEARCH("ریموت",G126))),"ریموت کنترل (تعویض/تعمیر)",IF(OR(ISNUMBER(SEARCH("ال اي دي",G126)),ISNUMBER(SEARCH("ال ای دی",G126)),ISNUMBER(SEARCH("LED",G126))),"خرابی - لامپ/LED داخلی (تعویض)",IF(ISNUMBER(SEARCH("زنگ زدگ",G126)),"زنگ‌زدگی بدنه/قطعه (تعویض)",IF(OR(ISNUMBER(SEARCH("قطعات تزئين",G126)),ISNUMBER(SEARCH("قطعات تزئین",G126))),"قطعات تزئینی - شکستگی/کسری (تعویض)",IF(ISNUMBER(SEARCH("سبد",G126)),"سبد ظرفشویی - شکستگی (تعویض)",IF(ISNUMBER(SEARCH("تاب درام",G126)),"خرابی - تاب برداشتن درام (تعویض)",IF(ISNUMBER(SEARCH("درام",G126)),"خرابی - سایر ایراد درام (تعویض)",IF(ISNUMBER(SEARCH("موتور",G126)),"خرابی - موتور (تعویض)",IF(ISNUMBER(SEARCH("تسمه",G126)),"خرابی - تسمه (تعویض)",IF(OR(ISNUMBER(SEARCH("پيچ ولوم",G126)),ISNUMBER(SEARCH("پیچ ولوم",G126))),"تنظیم - پیچ ولوم/دکمه (تعمیر)",IF(OR(ISNUMBER(SEARCH("کسري قطعات",G126)),ISNUMBER(SEARCH("کسری قطعات",G126))),"کسری قطعات تزئینی (تعویض)",IF(ISNUMBER(SEARCH("پرچ",G126)),"پرچ/بدنه کابین(تعمیر)",IF(OR(ISNUMBER(SEARCH("نشت",G126)),ISNUMBER(SEARCH("آبريزش",G126)),ISNUMBER(SEARCH("آبریزش",G126))),"نشتی آب - محل نامشخص (نیازمند بازدید)",IF(ISNUMBER(SEARCH("درب",G126)),"سایر اجزای درب (بازبینی)",IF(ISNUMBER(SEARCH("ضربه",G126)),"بدنه/کابین - ضربه (بازبینی/تعویض پنل)",IF(ISNUMBER(SEARCH("تراز",G126)),"تراز/لرزش - نصب (رگلاژ پایه)",IF(OR(ISNUMBER(SEARCH("تعویض",G126)),ISNUMBER(SEARCH("تعويض",G126))),"تعویض کامل دستگاه (Replacement)","سایر (نیازمند بررسی دستی)")))))))))))))))))))))))))))))))))))))))))))</f>
        <v/>
      </c>
      <c r="P126" s="124" t="inlineStr">
        <is>
          <t>شیر برقی لباسشویی</t>
        </is>
      </c>
      <c r="Q126" s="124">
        <f>IF(ISNUMBER(SEARCH("عهده شرکت",F126)),"شرکت",IF(ISNUMBER(SEARCH("عهده مشتري",F126)),"مشتری",IF(ISNUMBER(SEARCH("عهده مشتری",F126)),"مشتری","نامشخص")))</f>
        <v/>
      </c>
      <c r="R126" s="178">
        <f>IF(O126="تعویض کامل دستگاه (Replacement)",IF(SUMIF('قیمت‌ها و مفروضات'!$A$9:$A$13,C126,'قیمت‌ها و مفروضات'!$C$9:$C$13)&lt;&gt;0,SUMIF('قیمت‌ها و مفروضات'!$A$9:$A$13,C126,'قیمت‌ها و مفروضات'!$C$9:$C$13),SUMIF('قیمت‌ها و مفروضات'!$A$9:$A$13,C126,'قیمت‌ها و مفروضات'!$B$9:$B$13)),IF(SUMIF('قیمت‌ها و مفروضات'!$A$18:$A$63,O126,'قیمت‌ها و مفروضات'!$C$18:$C$63)&lt;&gt;0,SUMIF('قیمت‌ها و مفروضات'!$A$18:$A$63,O126,'قیمت‌ها و مفروضات'!$C$18:$C$63),SUMIF('قیمت‌ها و مفروضات'!$A$18:$A$63,O126,'قیمت‌ها و مفروضات'!$B$18:$B$63)))</f>
        <v/>
      </c>
      <c r="S126" s="178">
        <f>'قیمت‌ها و مفروضات'!$B$3+'قیمت‌ها و مفروضات'!$B$4</f>
        <v/>
      </c>
      <c r="T126" s="178">
        <f>R126+S126</f>
        <v/>
      </c>
      <c r="U126" s="178">
        <f>IF(COUNTIF($E$2:E126,E126)&gt;1,"بله (تکراری)","خیر")</f>
        <v/>
      </c>
      <c r="V126" s="178">
        <f>IF(U126="بله (تکراری)",S126,0)</f>
        <v/>
      </c>
      <c r="W126" s="208" t="inlineStr"/>
      <c r="X126" s="208" t="inlineStr"/>
    </row>
    <row r="127" ht="58.5" customHeight="1" s="151">
      <c r="A127" s="176" t="n">
        <v>710001924</v>
      </c>
      <c r="B127" s="124">
        <f>CHOOSE(_xlfn.NUMBERVALUE(MID(H127,6,2)),"فروردین","اردیبهشت","خرداد","تیر","مرداد","شهریور","مهر","آبان","آذر","دی","بهمن","اسفند")</f>
        <v/>
      </c>
      <c r="C127" s="176" t="inlineStr">
        <is>
          <t>یخچال ساید‌بای‌ساید</t>
        </is>
      </c>
      <c r="D127" s="176" t="inlineStr">
        <is>
          <t>C2S-29HS1</t>
        </is>
      </c>
      <c r="E127" s="176" t="inlineStr">
        <is>
          <t>52240001N02052</t>
        </is>
      </c>
      <c r="F127" s="173" t="inlineStr">
        <is>
          <t>خطاي ER**اياب و ذهاب به عهده شرکت</t>
        </is>
      </c>
      <c r="G127" s="124" t="inlineStr">
        <is>
          <t xml:space="preserve">خرابی مگنت درب </t>
        </is>
      </c>
      <c r="H127" s="176" t="inlineStr">
        <is>
          <t>1405/01/16</t>
        </is>
      </c>
      <c r="I127" s="124" t="inlineStr">
        <is>
          <t>1403/09/20</t>
        </is>
      </c>
      <c r="J127" s="124" t="inlineStr">
        <is>
          <t>1404/12/28</t>
        </is>
      </c>
      <c r="K127" s="177">
        <f>IFERROR(VLOOKUP(LEFT(H127,7),'تبدیل تاریخ'!$A$2:$B$73,2,FALSE())+VALUE(RIGHT(H127,2))-1,"")</f>
        <v/>
      </c>
      <c r="L127" s="177">
        <f>IFERROR(VLOOKUP(LEFT(I127,7),'تبدیل تاریخ'!$A$2:$B$73,2,FALSE())+VALUE(RIGHT(I127,2))-1,"")</f>
        <v/>
      </c>
      <c r="M127" s="177">
        <f>IF(J127="","",IFERROR(VLOOKUP(LEFT(J127,7),'تبدیل تاریخ'!$A$2:$B$73,2,FALSE())+VALUE(RIGHT(J127,2))-1,""))</f>
        <v/>
      </c>
      <c r="N127" s="124">
        <f>IF(OR(K127="",M127=""),"",CEILING((K127-M127)/30,1))</f>
        <v/>
      </c>
      <c r="O127" s="124">
        <f>IF(OR(ISNUMBER(SEARCH("بدون مورد",G127)),ISNUMBER(SEARCH("غير گارانتي",G127)),ISNUMBER(SEARCH("غیر گارانتی",G127)),ISNUMBER(SEARCH("بدون اجرت",G127)),ISNUMBER(SEARCH("فيلتر",G127)),ISNUMBER(SEARCH("فیلتر",G127))),"غیرگارانتی/بدون قطعه",IF(OR(ISNUMBER(SEARCH("ريست",G127)),ISNUMBER(SEARCH("ریست",G127))),"ریست نرم‌افزاری (بدون قطعه)",IF(OR(ISNUMBER(SEARCH("تعویض محصول",G127)),ISNUMBER(SEARCH("تعویض دستگاه",G127))),"تعویض کامل دستگاه (Replacement)",IF(ISNUMBER(SEARCH("پمپ",G127)),IF(ISNUMBER(SEARCH("نشت",G127)),"نشتی - پمپ تخلیه (تعمیر/آب‌بندی)","خرابی - پمپ تخلیه (تعویض)"),IF(ISNUMBER(SEARCH("کمپرسور",G127)),"خرابی - کمپرسور (تعویض)",IF(ISNUMBER(SEARCH("کمک فنر",G127)),"خرابی - کمک فنر (تعویض)",IF(ISNUMBER(SEARCH("لولا",G127)),"مکانیزم درب - لولا (تعویض)",IF(OR(ISNUMBER(SEARCH("قلاب",G127)),ISNUMBER(SEARCH("ميکروسوئيچ",G127)),ISNUMBER(SEARCH("میکروسوئیچ",G127))),"مکانیزم درب - میکروسوئیچ/قلاب (تعویض/تنظیم)",IF(ISNUMBER(SEARCH("زبانه",G127)),"مکانیزم درب - زبانه (تعویض)",IF(OR(ISNUMBER(SEARCH("شيلنگ",G127)),ISNUMBER(SEARCH("شیلنگ",G127))),IF(OR(ISNUMBER(SEARCH("نشتی",G127)),ISNUMBER(SEARCH("نشتي",G127))),"نشتی - شیلنگ (تعمیر/آب‌بندی)",IF(OR(ISNUMBER(SEARCH("يخ",G127)),ISNUMBER(SEARCH("یخ",G127))),"شیلنگ یخساز - یخ‌زدگی (بازبینی)","شیلنگ - برخورد/لهیدگی (بازبینی)")),IF(OR(ISNUMBER(SEARCH("تنظيم ديسپل",G127)),ISNUMBER(SEARCH("تنظیم دیسپل",G127)),ISNUMBER(SEARCH("تنظيم صفحه نمايش",G127)),ISNUMBER(SEARCH("تنظیم صفحه نمایش",G127))),"تنظیم - تنظیمات دستگاه/دیسپلی (تعمیر)",IF(OR(ISNUMBER(SEARCH("برد",G127)),ISNUMBER(SEARCH("سوکت",G127)),ISNUMBER(SEARCH("ديسپل",G127)),ISNUMBER(SEARCH("دیسپل",G127))),"خرابی - برد الکترونیک (تعویض)",IF(OR(ISNUMBER(SEARCH("يخساز",G127)),ISNUMBER(SEARCH("یخساز",G127)),ISNUMBER(SEARCH("دمپر",G127))),IF(OR(ISNUMBER(SEARCH("خرابی",G127)),ISNUMBER(SEARCH("خراب",G127)),ISNUMBER(SEARCH("عدم کارکرد",G127)),ISNUMBER(SEARCH("عدم عملکرد",G127))),"یخساز - خرابی موتور/سنسور/برد (تعویض)","یخساز - تنظیم/عایق (تعمیر)"),IF(OR(ISNUMBER(SEARCH("لاستيک",G127)),ISNUMBER(SEARCH("لاستیک",G127))),"لاستیک درزگیر - دفرمگی/پارگی (تعویض)",IF(OR(ISNUMBER(SEARCH("گسکت",G127)),ISNUMBER(SEARCH("گسگت",G127))),"لاستیک درزگیر - دفرمگی/پارگی (تعویض)",IF(ISNUMBER(SEARCH("مخزن نمک",G127)),"نشتی - درب مخزن نمک (تعمیر/آب‌بندی)",IF(ISNUMBER(SEARCH("براکت",G127)),"نشتی - براکت ریل (تعمیر/آب‌بندی)",IF(ISNUMBER(SEARCH("جاپودر",G127)),"نشتی - جاپودری (تعمیر/آب‌بندی)",IF(ISNUMBER(SEARCH("مقسم",G127)),"نشتی - مقسم آب (تعمیر/آب‌بندی)",IF(OR(ISNUMBER(SEARCH("سنسور دما",G127)),ISNUMBER(SEARCH("ترموستات",G127))),"خرابی - ترموستات (تعویض)",IF(OR(ISNUMBER(SEARCH("هيدروستات",G127)),ISNUMBER(SEARCH("هیدروستات",G127))),"خرابی - هیدروستات (تعویض)",IF(OR(ISNUMBER(SEARCH("بلبرينگ",G127)),ISNUMBER(SEARCH("بلبرینگ",G127))),"خرابی - بلبرینگ (تعویض)",IF(OR(ISNUMBER(SEARCH("شيربرق",G127)),ISNUMBER(SEARCH("شیربرق",G127))),"خرابی - شیربرقی (تعویض)",IF(OR(ISNUMBER(SEARCH("واتر جت",G127)),ISNUMBER(SEARCH("واترجت",G127))),"خرابی - واترجت (تعویض)",IF(OR(ISNUMBER(SEARCH("سيم",G127)),ISNUMBER(SEARCH("سیم",G127)),ISNUMBER(SEARCH("اتصال",G127))),"سیم‌کشی/اتصالات (تعویض/بازبینی)",IF(OR(ISNUMBER(SEARCH("تصوير",G127)),ISNUMBER(SEARCH("تصویر",G127))),"برد نمایش تلویزیون (تعویض)",IF(OR(ISNUMBER(SEARCH("ريموت",G127)),ISNUMBER(SEARCH("ریموت",G127))),"ریموت کنترل (تعویض/تعمیر)",IF(OR(ISNUMBER(SEARCH("ال اي دي",G127)),ISNUMBER(SEARCH("ال ای دی",G127)),ISNUMBER(SEARCH("LED",G127))),"خرابی - لامپ/LED داخلی (تعویض)",IF(ISNUMBER(SEARCH("زنگ زدگ",G127)),"زنگ‌زدگی بدنه/قطعه (تعویض)",IF(OR(ISNUMBER(SEARCH("قطعات تزئين",G127)),ISNUMBER(SEARCH("قطعات تزئین",G127))),"قطعات تزئینی - شکستگی/کسری (تعویض)",IF(ISNUMBER(SEARCH("سبد",G127)),"سبد ظرفشویی - شکستگی (تعویض)",IF(ISNUMBER(SEARCH("تاب درام",G127)),"خرابی - تاب برداشتن درام (تعویض)",IF(ISNUMBER(SEARCH("درام",G127)),"خرابی - سایر ایراد درام (تعویض)",IF(ISNUMBER(SEARCH("موتور",G127)),"خرابی - موتور (تعویض)",IF(ISNUMBER(SEARCH("تسمه",G127)),"خرابی - تسمه (تعویض)",IF(OR(ISNUMBER(SEARCH("پيچ ولوم",G127)),ISNUMBER(SEARCH("پیچ ولوم",G127))),"تنظیم - پیچ ولوم/دکمه (تعمیر)",IF(OR(ISNUMBER(SEARCH("کسري قطعات",G127)),ISNUMBER(SEARCH("کسری قطعات",G127))),"کسری قطعات تزئینی (تعویض)",IF(ISNUMBER(SEARCH("پرچ",G127)),"پرچ/بدنه کابین(تعمیر)",IF(OR(ISNUMBER(SEARCH("نشت",G127)),ISNUMBER(SEARCH("آبريزش",G127)),ISNUMBER(SEARCH("آبریزش",G127))),"نشتی آب - محل نامشخص (نیازمند بازدید)",IF(ISNUMBER(SEARCH("درب",G127)),"سایر اجزای درب (بازبینی)",IF(ISNUMBER(SEARCH("ضربه",G127)),"بدنه/کابین - ضربه (بازبینی/تعویض پنل)",IF(ISNUMBER(SEARCH("تراز",G127)),"تراز/لرزش - نصب (رگلاژ پایه)",IF(OR(ISNUMBER(SEARCH("تعویض",G127)),ISNUMBER(SEARCH("تعويض",G127))),"تعویض کامل دستگاه (Replacement)","سایر (نیازمند بررسی دستی)")))))))))))))))))))))))))))))))))))))))))))</f>
        <v/>
      </c>
      <c r="P127" s="124" t="inlineStr">
        <is>
          <t>*</t>
        </is>
      </c>
      <c r="Q127" s="124">
        <f>IF(ISNUMBER(SEARCH("عهده شرکت",F127)),"شرکت",IF(ISNUMBER(SEARCH("عهده مشتري",F127)),"مشتری",IF(ISNUMBER(SEARCH("عهده مشتری",F127)),"مشتری","نامشخص")))</f>
        <v/>
      </c>
      <c r="R127" s="178">
        <f>IF(O127="تعویض کامل دستگاه (Replacement)",IF(SUMIF('قیمت‌ها و مفروضات'!$A$9:$A$13,C127,'قیمت‌ها و مفروضات'!$C$9:$C$13)&lt;&gt;0,SUMIF('قیمت‌ها و مفروضات'!$A$9:$A$13,C127,'قیمت‌ها و مفروضات'!$C$9:$C$13),SUMIF('قیمت‌ها و مفروضات'!$A$9:$A$13,C127,'قیمت‌ها و مفروضات'!$B$9:$B$13)),IF(SUMIF('قیمت‌ها و مفروضات'!$A$18:$A$63,O127,'قیمت‌ها و مفروضات'!$C$18:$C$63)&lt;&gt;0,SUMIF('قیمت‌ها و مفروضات'!$A$18:$A$63,O127,'قیمت‌ها و مفروضات'!$C$18:$C$63),SUMIF('قیمت‌ها و مفروضات'!$A$18:$A$63,O127,'قیمت‌ها و مفروضات'!$B$18:$B$63)))</f>
        <v/>
      </c>
      <c r="S127" s="178">
        <f>'قیمت‌ها و مفروضات'!$B$3+'قیمت‌ها و مفروضات'!$B$4</f>
        <v/>
      </c>
      <c r="T127" s="178">
        <f>R127+S127</f>
        <v/>
      </c>
      <c r="U127" s="178">
        <f>IF(COUNTIF($E$2:E127,E127)&gt;1,"بله (تکراری)","خیر")</f>
        <v/>
      </c>
      <c r="V127" s="178">
        <f>IF(U127="بله (تکراری)",S127,0)</f>
        <v/>
      </c>
      <c r="W127" s="208" t="inlineStr"/>
      <c r="X127" s="208" t="inlineStr"/>
    </row>
    <row r="128" ht="58.5" customHeight="1" s="151">
      <c r="A128" s="176" t="n">
        <v>210005280</v>
      </c>
      <c r="B128" s="124">
        <f>CHOOSE(_xlfn.NUMBERVALUE(MID(H128,6,2)),"فروردین","اردیبهشت","خرداد","تیر","مرداد","شهریور","مهر","آبان","آذر","دی","بهمن","اسفند")</f>
        <v/>
      </c>
      <c r="C128" s="176" t="inlineStr">
        <is>
          <t>يخچال ميني</t>
        </is>
      </c>
      <c r="D128" s="176" t="inlineStr">
        <is>
          <t>MINI-R (BLACK)</t>
        </is>
      </c>
      <c r="E128" s="176" t="inlineStr">
        <is>
          <t>52240004N00055</t>
        </is>
      </c>
      <c r="F128" s="173" t="inlineStr">
        <is>
          <t>افتادگي درب/ تنظيم درب**اياب و ذهاب به عهده شرکت</t>
        </is>
      </c>
      <c r="G128" s="124" t="inlineStr">
        <is>
          <t>تعويض لولا</t>
        </is>
      </c>
      <c r="H128" s="176" t="inlineStr">
        <is>
          <t>1405/01/16</t>
        </is>
      </c>
      <c r="I128" s="124" t="inlineStr">
        <is>
          <t>1403/08/13</t>
        </is>
      </c>
      <c r="J128" s="124" t="inlineStr">
        <is>
          <t>1403/12/25</t>
        </is>
      </c>
      <c r="K128" s="177">
        <f>IFERROR(VLOOKUP(LEFT(H128,7),'تبدیل تاریخ'!$A$2:$B$73,2,FALSE())+VALUE(RIGHT(H128,2))-1,"")</f>
        <v/>
      </c>
      <c r="L128" s="177">
        <f>IFERROR(VLOOKUP(LEFT(I128,7),'تبدیل تاریخ'!$A$2:$B$73,2,FALSE())+VALUE(RIGHT(I128,2))-1,"")</f>
        <v/>
      </c>
      <c r="M128" s="177">
        <f>IF(J128="","",IFERROR(VLOOKUP(LEFT(J128,7),'تبدیل تاریخ'!$A$2:$B$73,2,FALSE())+VALUE(RIGHT(J128,2))-1,""))</f>
        <v/>
      </c>
      <c r="N128" s="124">
        <f>IF(OR(K128="",M128=""),"",CEILING((K128-M128)/30,1))</f>
        <v/>
      </c>
      <c r="O128" s="124">
        <f>IF(OR(ISNUMBER(SEARCH("بدون مورد",G128)),ISNUMBER(SEARCH("غير گارانتي",G128)),ISNUMBER(SEARCH("غیر گارانتی",G128)),ISNUMBER(SEARCH("بدون اجرت",G128)),ISNUMBER(SEARCH("فيلتر",G128)),ISNUMBER(SEARCH("فیلتر",G128))),"غیرگارانتی/بدون قطعه",IF(OR(ISNUMBER(SEARCH("ريست",G128)),ISNUMBER(SEARCH("ریست",G128))),"ریست نرم‌افزاری (بدون قطعه)",IF(OR(ISNUMBER(SEARCH("تعویض محصول",G128)),ISNUMBER(SEARCH("تعویض دستگاه",G128))),"تعویض کامل دستگاه (Replacement)",IF(ISNUMBER(SEARCH("پمپ",G128)),IF(ISNUMBER(SEARCH("نشت",G128)),"نشتی - پمپ تخلیه (تعمیر/آب‌بندی)","خرابی - پمپ تخلیه (تعویض)"),IF(ISNUMBER(SEARCH("کمپرسور",G128)),"خرابی - کمپرسور (تعویض)",IF(ISNUMBER(SEARCH("کمک فنر",G128)),"خرابی - کمک فنر (تعویض)",IF(ISNUMBER(SEARCH("لولا",G128)),"مکانیزم درب - لولا (تعویض)",IF(OR(ISNUMBER(SEARCH("قلاب",G128)),ISNUMBER(SEARCH("ميکروسوئيچ",G128)),ISNUMBER(SEARCH("میکروسوئیچ",G128))),"مکانیزم درب - میکروسوئیچ/قلاب (تعویض/تنظیم)",IF(ISNUMBER(SEARCH("زبانه",G128)),"مکانیزم درب - زبانه (تعویض)",IF(OR(ISNUMBER(SEARCH("شيلنگ",G128)),ISNUMBER(SEARCH("شیلنگ",G128))),IF(OR(ISNUMBER(SEARCH("نشتی",G128)),ISNUMBER(SEARCH("نشتي",G128))),"نشتی - شیلنگ (تعمیر/آب‌بندی)",IF(OR(ISNUMBER(SEARCH("يخ",G128)),ISNUMBER(SEARCH("یخ",G128))),"شیلنگ یخساز - یخ‌زدگی (بازبینی)","شیلنگ - برخورد/لهیدگی (بازبینی)")),IF(OR(ISNUMBER(SEARCH("تنظيم ديسپل",G128)),ISNUMBER(SEARCH("تنظیم دیسپل",G128)),ISNUMBER(SEARCH("تنظيم صفحه نمايش",G128)),ISNUMBER(SEARCH("تنظیم صفحه نمایش",G128))),"تنظیم - تنظیمات دستگاه/دیسپلی (تعمیر)",IF(OR(ISNUMBER(SEARCH("برد",G128)),ISNUMBER(SEARCH("سوکت",G128)),ISNUMBER(SEARCH("ديسپل",G128)),ISNUMBER(SEARCH("دیسپل",G128))),"خرابی - برد الکترونیک (تعویض)",IF(OR(ISNUMBER(SEARCH("يخساز",G128)),ISNUMBER(SEARCH("یخساز",G128)),ISNUMBER(SEARCH("دمپر",G128))),IF(OR(ISNUMBER(SEARCH("خرابی",G128)),ISNUMBER(SEARCH("خراب",G128)),ISNUMBER(SEARCH("عدم کارکرد",G128)),ISNUMBER(SEARCH("عدم عملکرد",G128))),"یخساز - خرابی موتور/سنسور/برد (تعویض)","یخساز - تنظیم/عایق (تعمیر)"),IF(OR(ISNUMBER(SEARCH("لاستيک",G128)),ISNUMBER(SEARCH("لاستیک",G128))),"لاستیک درزگیر - دفرمگی/پارگی (تعویض)",IF(OR(ISNUMBER(SEARCH("گسکت",G128)),ISNUMBER(SEARCH("گسگت",G128))),"لاستیک درزگیر - دفرمگی/پارگی (تعویض)",IF(ISNUMBER(SEARCH("مخزن نمک",G128)),"نشتی - درب مخزن نمک (تعمیر/آب‌بندی)",IF(ISNUMBER(SEARCH("براکت",G128)),"نشتی - براکت ریل (تعمیر/آب‌بندی)",IF(ISNUMBER(SEARCH("جاپودر",G128)),"نشتی - جاپودری (تعمیر/آب‌بندی)",IF(ISNUMBER(SEARCH("مقسم",G128)),"نشتی - مقسم آب (تعمیر/آب‌بندی)",IF(OR(ISNUMBER(SEARCH("سنسور دما",G128)),ISNUMBER(SEARCH("ترموستات",G128))),"خرابی - ترموستات (تعویض)",IF(OR(ISNUMBER(SEARCH("هيدروستات",G128)),ISNUMBER(SEARCH("هیدروستات",G128))),"خرابی - هیدروستات (تعویض)",IF(OR(ISNUMBER(SEARCH("بلبرينگ",G128)),ISNUMBER(SEARCH("بلبرینگ",G128))),"خرابی - بلبرینگ (تعویض)",IF(OR(ISNUMBER(SEARCH("شيربرق",G128)),ISNUMBER(SEARCH("شیربرق",G128))),"خرابی - شیربرقی (تعویض)",IF(OR(ISNUMBER(SEARCH("واتر جت",G128)),ISNUMBER(SEARCH("واترجت",G128))),"خرابی - واترجت (تعویض)",IF(OR(ISNUMBER(SEARCH("سيم",G128)),ISNUMBER(SEARCH("سیم",G128)),ISNUMBER(SEARCH("اتصال",G128))),"سیم‌کشی/اتصالات (تعویض/بازبینی)",IF(OR(ISNUMBER(SEARCH("تصوير",G128)),ISNUMBER(SEARCH("تصویر",G128))),"برد نمایش تلویزیون (تعویض)",IF(OR(ISNUMBER(SEARCH("ريموت",G128)),ISNUMBER(SEARCH("ریموت",G128))),"ریموت کنترل (تعویض/تعمیر)",IF(OR(ISNUMBER(SEARCH("ال اي دي",G128)),ISNUMBER(SEARCH("ال ای دی",G128)),ISNUMBER(SEARCH("LED",G128))),"خرابی - لامپ/LED داخلی (تعویض)",IF(ISNUMBER(SEARCH("زنگ زدگ",G128)),"زنگ‌زدگی بدنه/قطعه (تعویض)",IF(OR(ISNUMBER(SEARCH("قطعات تزئين",G128)),ISNUMBER(SEARCH("قطعات تزئین",G128))),"قطعات تزئینی - شکستگی/کسری (تعویض)",IF(ISNUMBER(SEARCH("سبد",G128)),"سبد ظرفشویی - شکستگی (تعویض)",IF(ISNUMBER(SEARCH("تاب درام",G128)),"خرابی - تاب برداشتن درام (تعویض)",IF(ISNUMBER(SEARCH("درام",G128)),"خرابی - سایر ایراد درام (تعویض)",IF(ISNUMBER(SEARCH("موتور",G128)),"خرابی - موتور (تعویض)",IF(ISNUMBER(SEARCH("تسمه",G128)),"خرابی - تسمه (تعویض)",IF(OR(ISNUMBER(SEARCH("پيچ ولوم",G128)),ISNUMBER(SEARCH("پیچ ولوم",G128))),"تنظیم - پیچ ولوم/دکمه (تعمیر)",IF(OR(ISNUMBER(SEARCH("کسري قطعات",G128)),ISNUMBER(SEARCH("کسری قطعات",G128))),"کسری قطعات تزئینی (تعویض)",IF(ISNUMBER(SEARCH("پرچ",G128)),"پرچ/بدنه کابین(تعمیر)",IF(OR(ISNUMBER(SEARCH("نشت",G128)),ISNUMBER(SEARCH("آبريزش",G128)),ISNUMBER(SEARCH("آبریزش",G128))),"نشتی آب - محل نامشخص (نیازمند بازدید)",IF(ISNUMBER(SEARCH("درب",G128)),"سایر اجزای درب (بازبینی)",IF(ISNUMBER(SEARCH("ضربه",G128)),"بدنه/کابین - ضربه (بازبینی/تعویض پنل)",IF(ISNUMBER(SEARCH("تراز",G128)),"تراز/لرزش - نصب (رگلاژ پایه)",IF(OR(ISNUMBER(SEARCH("تعویض",G128)),ISNUMBER(SEARCH("تعويض",G128))),"تعویض کامل دستگاه (Replacement)","سایر (نیازمند بررسی دستی)")))))))))))))))))))))))))))))))))))))))))))</f>
        <v/>
      </c>
      <c r="P128" s="124" t="inlineStr">
        <is>
          <t>*</t>
        </is>
      </c>
      <c r="Q128" s="124">
        <f>IF(ISNUMBER(SEARCH("عهده شرکت",F128)),"شرکت",IF(ISNUMBER(SEARCH("عهده مشتري",F128)),"مشتری",IF(ISNUMBER(SEARCH("عهده مشتری",F128)),"مشتری","نامشخص")))</f>
        <v/>
      </c>
      <c r="R128" s="178">
        <f>IF(O128="تعویض کامل دستگاه (Replacement)",IF(SUMIF('قیمت‌ها و مفروضات'!$A$9:$A$13,C128,'قیمت‌ها و مفروضات'!$C$9:$C$13)&lt;&gt;0,SUMIF('قیمت‌ها و مفروضات'!$A$9:$A$13,C128,'قیمت‌ها و مفروضات'!$C$9:$C$13),SUMIF('قیمت‌ها و مفروضات'!$A$9:$A$13,C128,'قیمت‌ها و مفروضات'!$B$9:$B$13)),IF(SUMIF('قیمت‌ها و مفروضات'!$A$18:$A$63,O128,'قیمت‌ها و مفروضات'!$C$18:$C$63)&lt;&gt;0,SUMIF('قیمت‌ها و مفروضات'!$A$18:$A$63,O128,'قیمت‌ها و مفروضات'!$C$18:$C$63),SUMIF('قیمت‌ها و مفروضات'!$A$18:$A$63,O128,'قیمت‌ها و مفروضات'!$B$18:$B$63)))</f>
        <v/>
      </c>
      <c r="S128" s="178">
        <f>'قیمت‌ها و مفروضات'!$B$3+'قیمت‌ها و مفروضات'!$B$4</f>
        <v/>
      </c>
      <c r="T128" s="178">
        <f>R128+S128</f>
        <v/>
      </c>
      <c r="U128" s="178">
        <f>IF(COUNTIF($E$2:E128,E128)&gt;1,"بله (تکراری)","خیر")</f>
        <v/>
      </c>
      <c r="V128" s="178">
        <f>IF(U128="بله (تکراری)",S128,0)</f>
        <v/>
      </c>
      <c r="W128" s="208" t="inlineStr"/>
      <c r="X128" s="208" t="inlineStr"/>
    </row>
    <row r="129" ht="58.5" customHeight="1" s="151">
      <c r="A129" s="176" t="n">
        <v>210004824</v>
      </c>
      <c r="B129" s="124">
        <f>CHOOSE(_xlfn.NUMBERVALUE(MID(H129,6,2)),"فروردین","اردیبهشت","خرداد","تیر","مرداد","شهریور","مهر","آبان","آذر","دی","بهمن","اسفند")</f>
        <v/>
      </c>
      <c r="C129" s="176" t="inlineStr">
        <is>
          <t>یخچال ساید‌بای‌ساید</t>
        </is>
      </c>
      <c r="D129" s="176" t="inlineStr">
        <is>
          <t>C2S-29HS1</t>
        </is>
      </c>
      <c r="E129" s="176" t="inlineStr">
        <is>
          <t>52240001N01153</t>
        </is>
      </c>
      <c r="F129" s="173" t="inlineStr">
        <is>
          <t>عدم کارکرد يخساز**عدم خروج آب از آبسردکن**اياب و ذهاب به عهده شرکت</t>
        </is>
      </c>
      <c r="G129" s="124" t="inlineStr">
        <is>
          <t>اصلاح دمپر پلاستيکي</t>
        </is>
      </c>
      <c r="H129" s="176" t="inlineStr">
        <is>
          <t>1405/01/19</t>
        </is>
      </c>
      <c r="I129" s="124" t="inlineStr">
        <is>
          <t>1403/04/27</t>
        </is>
      </c>
      <c r="J129" s="124" t="inlineStr">
        <is>
          <t>1404/04/16</t>
        </is>
      </c>
      <c r="K129" s="177">
        <f>IFERROR(VLOOKUP(LEFT(H129,7),'تبدیل تاریخ'!$A$2:$B$73,2,FALSE())+VALUE(RIGHT(H129,2))-1,"")</f>
        <v/>
      </c>
      <c r="L129" s="177">
        <f>IFERROR(VLOOKUP(LEFT(I129,7),'تبدیل تاریخ'!$A$2:$B$73,2,FALSE())+VALUE(RIGHT(I129,2))-1,"")</f>
        <v/>
      </c>
      <c r="M129" s="177">
        <f>IF(J129="","",IFERROR(VLOOKUP(LEFT(J129,7),'تبدیل تاریخ'!$A$2:$B$73,2,FALSE())+VALUE(RIGHT(J129,2))-1,""))</f>
        <v/>
      </c>
      <c r="N129" s="124">
        <f>IF(OR(K129="",M129=""),"",CEILING((K129-M129)/30,1))</f>
        <v/>
      </c>
      <c r="O129" s="124">
        <f>IF(OR(ISNUMBER(SEARCH("بدون مورد",G129)),ISNUMBER(SEARCH("غير گارانتي",G129)),ISNUMBER(SEARCH("غیر گارانتی",G129)),ISNUMBER(SEARCH("بدون اجرت",G129)),ISNUMBER(SEARCH("فيلتر",G129)),ISNUMBER(SEARCH("فیلتر",G129))),"غیرگارانتی/بدون قطعه",IF(OR(ISNUMBER(SEARCH("ريست",G129)),ISNUMBER(SEARCH("ریست",G129))),"ریست نرم‌افزاری (بدون قطعه)",IF(OR(ISNUMBER(SEARCH("تعویض محصول",G129)),ISNUMBER(SEARCH("تعویض دستگاه",G129))),"تعویض کامل دستگاه (Replacement)",IF(ISNUMBER(SEARCH("پمپ",G129)),IF(ISNUMBER(SEARCH("نشت",G129)),"نشتی - پمپ تخلیه (تعمیر/آب‌بندی)","خرابی - پمپ تخلیه (تعویض)"),IF(ISNUMBER(SEARCH("کمپرسور",G129)),"خرابی - کمپرسور (تعویض)",IF(ISNUMBER(SEARCH("کمک فنر",G129)),"خرابی - کمک فنر (تعویض)",IF(ISNUMBER(SEARCH("لولا",G129)),"مکانیزم درب - لولا (تعویض)",IF(OR(ISNUMBER(SEARCH("قلاب",G129)),ISNUMBER(SEARCH("ميکروسوئيچ",G129)),ISNUMBER(SEARCH("میکروسوئیچ",G129))),"مکانیزم درب - میکروسوئیچ/قلاب (تعویض/تنظیم)",IF(ISNUMBER(SEARCH("زبانه",G129)),"مکانیزم درب - زبانه (تعویض)",IF(OR(ISNUMBER(SEARCH("شيلنگ",G129)),ISNUMBER(SEARCH("شیلنگ",G129))),IF(OR(ISNUMBER(SEARCH("نشتی",G129)),ISNUMBER(SEARCH("نشتي",G129))),"نشتی - شیلنگ (تعمیر/آب‌بندی)",IF(OR(ISNUMBER(SEARCH("يخ",G129)),ISNUMBER(SEARCH("یخ",G129))),"شیلنگ یخساز - یخ‌زدگی (بازبینی)","شیلنگ - برخورد/لهیدگی (بازبینی)")),IF(OR(ISNUMBER(SEARCH("تنظيم ديسپل",G129)),ISNUMBER(SEARCH("تنظیم دیسپل",G129)),ISNUMBER(SEARCH("تنظيم صفحه نمايش",G129)),ISNUMBER(SEARCH("تنظیم صفحه نمایش",G129))),"تنظیم - تنظیمات دستگاه/دیسپلی (تعمیر)",IF(OR(ISNUMBER(SEARCH("برد",G129)),ISNUMBER(SEARCH("سوکت",G129)),ISNUMBER(SEARCH("ديسپل",G129)),ISNUMBER(SEARCH("دیسپل",G129))),"خرابی - برد الکترونیک (تعویض)",IF(OR(ISNUMBER(SEARCH("يخساز",G129)),ISNUMBER(SEARCH("یخساز",G129)),ISNUMBER(SEARCH("دمپر",G129))),IF(OR(ISNUMBER(SEARCH("خرابی",G129)),ISNUMBER(SEARCH("خراب",G129)),ISNUMBER(SEARCH("عدم کارکرد",G129)),ISNUMBER(SEARCH("عدم عملکرد",G129))),"یخساز - خرابی موتور/سنسور/برد (تعویض)","یخساز - تنظیم/عایق (تعمیر)"),IF(OR(ISNUMBER(SEARCH("لاستيک",G129)),ISNUMBER(SEARCH("لاستیک",G129))),"لاستیک درزگیر - دفرمگی/پارگی (تعویض)",IF(OR(ISNUMBER(SEARCH("گسکت",G129)),ISNUMBER(SEARCH("گسگت",G129))),"لاستیک درزگیر - دفرمگی/پارگی (تعویض)",IF(ISNUMBER(SEARCH("مخزن نمک",G129)),"نشتی - درب مخزن نمک (تعمیر/آب‌بندی)",IF(ISNUMBER(SEARCH("براکت",G129)),"نشتی - براکت ریل (تعمیر/آب‌بندی)",IF(ISNUMBER(SEARCH("جاپودر",G129)),"نشتی - جاپودری (تعمیر/آب‌بندی)",IF(ISNUMBER(SEARCH("مقسم",G129)),"نشتی - مقسم آب (تعمیر/آب‌بندی)",IF(OR(ISNUMBER(SEARCH("سنسور دما",G129)),ISNUMBER(SEARCH("ترموستات",G129))),"خرابی - ترموستات (تعویض)",IF(OR(ISNUMBER(SEARCH("هيدروستات",G129)),ISNUMBER(SEARCH("هیدروستات",G129))),"خرابی - هیدروستات (تعویض)",IF(OR(ISNUMBER(SEARCH("بلبرينگ",G129)),ISNUMBER(SEARCH("بلبرینگ",G129))),"خرابی - بلبرینگ (تعویض)",IF(OR(ISNUMBER(SEARCH("شيربرق",G129)),ISNUMBER(SEARCH("شیربرق",G129))),"خرابی - شیربرقی (تعویض)",IF(OR(ISNUMBER(SEARCH("واتر جت",G129)),ISNUMBER(SEARCH("واترجت",G129))),"خرابی - واترجت (تعویض)",IF(OR(ISNUMBER(SEARCH("سيم",G129)),ISNUMBER(SEARCH("سیم",G129)),ISNUMBER(SEARCH("اتصال",G129))),"سیم‌کشی/اتصالات (تعویض/بازبینی)",IF(OR(ISNUMBER(SEARCH("تصوير",G129)),ISNUMBER(SEARCH("تصویر",G129))),"برد نمایش تلویزیون (تعویض)",IF(OR(ISNUMBER(SEARCH("ريموت",G129)),ISNUMBER(SEARCH("ریموت",G129))),"ریموت کنترل (تعویض/تعمیر)",IF(OR(ISNUMBER(SEARCH("ال اي دي",G129)),ISNUMBER(SEARCH("ال ای دی",G129)),ISNUMBER(SEARCH("LED",G129))),"خرابی - لامپ/LED داخلی (تعویض)",IF(ISNUMBER(SEARCH("زنگ زدگ",G129)),"زنگ‌زدگی بدنه/قطعه (تعویض)",IF(OR(ISNUMBER(SEARCH("قطعات تزئين",G129)),ISNUMBER(SEARCH("قطعات تزئین",G129))),"قطعات تزئینی - شکستگی/کسری (تعویض)",IF(ISNUMBER(SEARCH("سبد",G129)),"سبد ظرفشویی - شکستگی (تعویض)",IF(ISNUMBER(SEARCH("تاب درام",G129)),"خرابی - تاب برداشتن درام (تعویض)",IF(ISNUMBER(SEARCH("درام",G129)),"خرابی - سایر ایراد درام (تعویض)",IF(ISNUMBER(SEARCH("موتور",G129)),"خرابی - موتور (تعویض)",IF(ISNUMBER(SEARCH("تسمه",G129)),"خرابی - تسمه (تعویض)",IF(OR(ISNUMBER(SEARCH("پيچ ولوم",G129)),ISNUMBER(SEARCH("پیچ ولوم",G129))),"تنظیم - پیچ ولوم/دکمه (تعمیر)",IF(OR(ISNUMBER(SEARCH("کسري قطعات",G129)),ISNUMBER(SEARCH("کسری قطعات",G129))),"کسری قطعات تزئینی (تعویض)",IF(ISNUMBER(SEARCH("پرچ",G129)),"پرچ/بدنه کابین(تعمیر)",IF(OR(ISNUMBER(SEARCH("نشت",G129)),ISNUMBER(SEARCH("آبريزش",G129)),ISNUMBER(SEARCH("آبریزش",G129))),"نشتی آب - محل نامشخص (نیازمند بازدید)",IF(ISNUMBER(SEARCH("درب",G129)),"سایر اجزای درب (بازبینی)",IF(ISNUMBER(SEARCH("ضربه",G129)),"بدنه/کابین - ضربه (بازبینی/تعویض پنل)",IF(ISNUMBER(SEARCH("تراز",G129)),"تراز/لرزش - نصب (رگلاژ پایه)",IF(OR(ISNUMBER(SEARCH("تعویض",G129)),ISNUMBER(SEARCH("تعويض",G129))),"تعویض کامل دستگاه (Replacement)","سایر (نیازمند بررسی دستی)")))))))))))))))))))))))))))))))))))))))))))</f>
        <v/>
      </c>
      <c r="P129" s="124" t="inlineStr">
        <is>
          <t>*</t>
        </is>
      </c>
      <c r="Q129" s="124">
        <f>IF(ISNUMBER(SEARCH("عهده شرکت",F129)),"شرکت",IF(ISNUMBER(SEARCH("عهده مشتري",F129)),"مشتری",IF(ISNUMBER(SEARCH("عهده مشتری",F129)),"مشتری","نامشخص")))</f>
        <v/>
      </c>
      <c r="R129" s="178">
        <f>IF(O129="تعویض کامل دستگاه (Replacement)",IF(SUMIF('قیمت‌ها و مفروضات'!$A$9:$A$13,C129,'قیمت‌ها و مفروضات'!$C$9:$C$13)&lt;&gt;0,SUMIF('قیمت‌ها و مفروضات'!$A$9:$A$13,C129,'قیمت‌ها و مفروضات'!$C$9:$C$13),SUMIF('قیمت‌ها و مفروضات'!$A$9:$A$13,C129,'قیمت‌ها و مفروضات'!$B$9:$B$13)),IF(SUMIF('قیمت‌ها و مفروضات'!$A$18:$A$63,O129,'قیمت‌ها و مفروضات'!$C$18:$C$63)&lt;&gt;0,SUMIF('قیمت‌ها و مفروضات'!$A$18:$A$63,O129,'قیمت‌ها و مفروضات'!$C$18:$C$63),SUMIF('قیمت‌ها و مفروضات'!$A$18:$A$63,O129,'قیمت‌ها و مفروضات'!$B$18:$B$63)))</f>
        <v/>
      </c>
      <c r="S129" s="178">
        <f>'قیمت‌ها و مفروضات'!$B$3+'قیمت‌ها و مفروضات'!$B$4</f>
        <v/>
      </c>
      <c r="T129" s="178">
        <f>R129+S129</f>
        <v/>
      </c>
      <c r="U129" s="178">
        <f>IF(COUNTIF($E$2:E129,E129)&gt;1,"بله (تکراری)","خیر")</f>
        <v/>
      </c>
      <c r="V129" s="178">
        <f>IF(U129="بله (تکراری)",S129,0)</f>
        <v/>
      </c>
      <c r="W129" s="208" t="inlineStr"/>
      <c r="X129" s="208" t="inlineStr"/>
    </row>
    <row r="130" ht="58.5" customHeight="1" s="151">
      <c r="A130" s="176" t="n">
        <v>310003960</v>
      </c>
      <c r="B130" s="124">
        <f>CHOOSE(_xlfn.NUMBERVALUE(MID(H130,6,2)),"فروردین","اردیبهشت","خرداد","تیر","مرداد","شهریور","مهر","آبان","آذر","دی","بهمن","اسفند")</f>
        <v/>
      </c>
      <c r="C130" s="176" t="inlineStr">
        <is>
          <t>ماشين لباسشويي</t>
        </is>
      </c>
      <c r="D130" s="176" t="inlineStr">
        <is>
          <t>CWM-BMW8T1</t>
        </is>
      </c>
      <c r="E130" s="176" t="inlineStr">
        <is>
          <t>210100006N00224</t>
        </is>
      </c>
      <c r="F130" s="173" t="inlineStr">
        <is>
          <t>از کار افتادن محصول**اياب و ذهاب به عهده مشتري</t>
        </is>
      </c>
      <c r="G130" s="124" t="inlineStr">
        <is>
          <t>خرابي ديسپلي - عدم عملکرد کليدهاي ديسپلي - لباسشویی</t>
        </is>
      </c>
      <c r="H130" s="176" t="inlineStr">
        <is>
          <t>1405/01/17</t>
        </is>
      </c>
      <c r="I130" s="124" t="inlineStr">
        <is>
          <t>1402/09/29</t>
        </is>
      </c>
      <c r="J130" s="124" t="inlineStr">
        <is>
          <t>1403/07/26</t>
        </is>
      </c>
      <c r="K130" s="177">
        <f>IFERROR(VLOOKUP(LEFT(H130,7),'تبدیل تاریخ'!$A$2:$B$73,2,FALSE())+VALUE(RIGHT(H130,2))-1,"")</f>
        <v/>
      </c>
      <c r="L130" s="177">
        <f>IFERROR(VLOOKUP(LEFT(I130,7),'تبدیل تاریخ'!$A$2:$B$73,2,FALSE())+VALUE(RIGHT(I130,2))-1,"")</f>
        <v/>
      </c>
      <c r="M130" s="177">
        <f>IF(J130="","",IFERROR(VLOOKUP(LEFT(J130,7),'تبدیل تاریخ'!$A$2:$B$73,2,FALSE())+VALUE(RIGHT(J130,2))-1,""))</f>
        <v/>
      </c>
      <c r="N130" s="124">
        <f>IF(OR(K130="",M130=""),"",CEILING((K130-M130)/30,1))</f>
        <v/>
      </c>
      <c r="O130" s="124">
        <f>IF(OR(ISNUMBER(SEARCH("بدون مورد",G130)),ISNUMBER(SEARCH("غير گارانتي",G130)),ISNUMBER(SEARCH("غیر گارانتی",G130)),ISNUMBER(SEARCH("بدون اجرت",G130)),ISNUMBER(SEARCH("فيلتر",G130)),ISNUMBER(SEARCH("فیلتر",G130))),"غیرگارانتی/بدون قطعه",IF(OR(ISNUMBER(SEARCH("ريست",G130)),ISNUMBER(SEARCH("ریست",G130))),"ریست نرم‌افزاری (بدون قطعه)",IF(OR(ISNUMBER(SEARCH("تعویض محصول",G130)),ISNUMBER(SEARCH("تعویض دستگاه",G130))),"تعویض کامل دستگاه (Replacement)",IF(ISNUMBER(SEARCH("پمپ",G130)),IF(ISNUMBER(SEARCH("نشت",G130)),"نشتی - پمپ تخلیه (تعمیر/آب‌بندی)","خرابی - پمپ تخلیه (تعویض)"),IF(ISNUMBER(SEARCH("کمپرسور",G130)),"خرابی - کمپرسور (تعویض)",IF(ISNUMBER(SEARCH("کمک فنر",G130)),"خرابی - کمک فنر (تعویض)",IF(ISNUMBER(SEARCH("لولا",G130)),"مکانیزم درب - لولا (تعویض)",IF(OR(ISNUMBER(SEARCH("قلاب",G130)),ISNUMBER(SEARCH("ميکروسوئيچ",G130)),ISNUMBER(SEARCH("میکروسوئیچ",G130))),"مکانیزم درب - میکروسوئیچ/قلاب (تعویض/تنظیم)",IF(ISNUMBER(SEARCH("زبانه",G130)),"مکانیزم درب - زبانه (تعویض)",IF(OR(ISNUMBER(SEARCH("شيلنگ",G130)),ISNUMBER(SEARCH("شیلنگ",G130))),IF(OR(ISNUMBER(SEARCH("نشتی",G130)),ISNUMBER(SEARCH("نشتي",G130))),"نشتی - شیلنگ (تعمیر/آب‌بندی)",IF(OR(ISNUMBER(SEARCH("يخ",G130)),ISNUMBER(SEARCH("یخ",G130))),"شیلنگ یخساز - یخ‌زدگی (بازبینی)","شیلنگ - برخورد/لهیدگی (بازبینی)")),IF(OR(ISNUMBER(SEARCH("تنظيم ديسپل",G130)),ISNUMBER(SEARCH("تنظیم دیسپل",G130)),ISNUMBER(SEARCH("تنظيم صفحه نمايش",G130)),ISNUMBER(SEARCH("تنظیم صفحه نمایش",G130))),"تنظیم - تنظیمات دستگاه/دیسپلی (تعمیر)",IF(OR(ISNUMBER(SEARCH("برد",G130)),ISNUMBER(SEARCH("سوکت",G130)),ISNUMBER(SEARCH("ديسپل",G130)),ISNUMBER(SEARCH("دیسپل",G130))),"خرابی - برد الکترونیک (تعویض)",IF(OR(ISNUMBER(SEARCH("يخساز",G130)),ISNUMBER(SEARCH("یخساز",G130)),ISNUMBER(SEARCH("دمپر",G130))),IF(OR(ISNUMBER(SEARCH("خرابی",G130)),ISNUMBER(SEARCH("خراب",G130)),ISNUMBER(SEARCH("عدم کارکرد",G130)),ISNUMBER(SEARCH("عدم عملکرد",G130))),"یخساز - خرابی موتور/سنسور/برد (تعویض)","یخساز - تنظیم/عایق (تعمیر)"),IF(OR(ISNUMBER(SEARCH("لاستيک",G130)),ISNUMBER(SEARCH("لاستیک",G130))),"لاستیک درزگیر - دفرمگی/پارگی (تعویض)",IF(OR(ISNUMBER(SEARCH("گسکت",G130)),ISNUMBER(SEARCH("گسگت",G130))),"لاستیک درزگیر - دفرمگی/پارگی (تعویض)",IF(ISNUMBER(SEARCH("مخزن نمک",G130)),"نشتی - درب مخزن نمک (تعمیر/آب‌بندی)",IF(ISNUMBER(SEARCH("براکت",G130)),"نشتی - براکت ریل (تعمیر/آب‌بندی)",IF(ISNUMBER(SEARCH("جاپودر",G130)),"نشتی - جاپودری (تعمیر/آب‌بندی)",IF(ISNUMBER(SEARCH("مقسم",G130)),"نشتی - مقسم آب (تعمیر/آب‌بندی)",IF(OR(ISNUMBER(SEARCH("سنسور دما",G130)),ISNUMBER(SEARCH("ترموستات",G130))),"خرابی - ترموستات (تعویض)",IF(OR(ISNUMBER(SEARCH("هيدروستات",G130)),ISNUMBER(SEARCH("هیدروستات",G130))),"خرابی - هیدروستات (تعویض)",IF(OR(ISNUMBER(SEARCH("بلبرينگ",G130)),ISNUMBER(SEARCH("بلبرینگ",G130))),"خرابی - بلبرینگ (تعویض)",IF(OR(ISNUMBER(SEARCH("شيربرق",G130)),ISNUMBER(SEARCH("شیربرق",G130))),"خرابی - شیربرقی (تعویض)",IF(OR(ISNUMBER(SEARCH("واتر جت",G130)),ISNUMBER(SEARCH("واترجت",G130))),"خرابی - واترجت (تعویض)",IF(OR(ISNUMBER(SEARCH("سيم",G130)),ISNUMBER(SEARCH("سیم",G130)),ISNUMBER(SEARCH("اتصال",G130))),"سیم‌کشی/اتصالات (تعویض/بازبینی)",IF(OR(ISNUMBER(SEARCH("تصوير",G130)),ISNUMBER(SEARCH("تصویر",G130))),"برد نمایش تلویزیون (تعویض)",IF(OR(ISNUMBER(SEARCH("ريموت",G130)),ISNUMBER(SEARCH("ریموت",G130))),"ریموت کنترل (تعویض/تعمیر)",IF(OR(ISNUMBER(SEARCH("ال اي دي",G130)),ISNUMBER(SEARCH("ال ای دی",G130)),ISNUMBER(SEARCH("LED",G130))),"خرابی - لامپ/LED داخلی (تعویض)",IF(ISNUMBER(SEARCH("زنگ زدگ",G130)),"زنگ‌زدگی بدنه/قطعه (تعویض)",IF(OR(ISNUMBER(SEARCH("قطعات تزئين",G130)),ISNUMBER(SEARCH("قطعات تزئین",G130))),"قطعات تزئینی - شکستگی/کسری (تعویض)",IF(ISNUMBER(SEARCH("سبد",G130)),"سبد ظرفشویی - شکستگی (تعویض)",IF(ISNUMBER(SEARCH("تاب درام",G130)),"خرابی - تاب برداشتن درام (تعویض)",IF(ISNUMBER(SEARCH("درام",G130)),"خرابی - سایر ایراد درام (تعویض)",IF(ISNUMBER(SEARCH("موتور",G130)),"خرابی - موتور (تعویض)",IF(ISNUMBER(SEARCH("تسمه",G130)),"خرابی - تسمه (تعویض)",IF(OR(ISNUMBER(SEARCH("پيچ ولوم",G130)),ISNUMBER(SEARCH("پیچ ولوم",G130))),"تنظیم - پیچ ولوم/دکمه (تعمیر)",IF(OR(ISNUMBER(SEARCH("کسري قطعات",G130)),ISNUMBER(SEARCH("کسری قطعات",G130))),"کسری قطعات تزئینی (تعویض)",IF(ISNUMBER(SEARCH("پرچ",G130)),"پرچ/بدنه کابین(تعمیر)",IF(OR(ISNUMBER(SEARCH("نشت",G130)),ISNUMBER(SEARCH("آبريزش",G130)),ISNUMBER(SEARCH("آبریزش",G130))),"نشتی آب - محل نامشخص (نیازمند بازدید)",IF(ISNUMBER(SEARCH("درب",G130)),"سایر اجزای درب (بازبینی)",IF(ISNUMBER(SEARCH("ضربه",G130)),"بدنه/کابین - ضربه (بازبینی/تعویض پنل)",IF(ISNUMBER(SEARCH("تراز",G130)),"تراز/لرزش - نصب (رگلاژ پایه)",IF(OR(ISNUMBER(SEARCH("تعویض",G130)),ISNUMBER(SEARCH("تعويض",G130))),"تعویض کامل دستگاه (Replacement)","سایر (نیازمند بررسی دستی)")))))))))))))))))))))))))))))))))))))))))))</f>
        <v/>
      </c>
      <c r="P130" s="124" t="inlineStr">
        <is>
          <t>برد لباسشویی</t>
        </is>
      </c>
      <c r="Q130" s="124">
        <f>IF(ISNUMBER(SEARCH("عهده شرکت",F130)),"شرکت",IF(ISNUMBER(SEARCH("عهده مشتري",F130)),"مشتری",IF(ISNUMBER(SEARCH("عهده مشتری",F130)),"مشتری","نامشخص")))</f>
        <v/>
      </c>
      <c r="R130" s="178">
        <f>IF(O130="تعویض کامل دستگاه (Replacement)",IF(SUMIF('قیمت‌ها و مفروضات'!$A$9:$A$13,C130,'قیمت‌ها و مفروضات'!$C$9:$C$13)&lt;&gt;0,SUMIF('قیمت‌ها و مفروضات'!$A$9:$A$13,C130,'قیمت‌ها و مفروضات'!$C$9:$C$13),SUMIF('قیمت‌ها و مفروضات'!$A$9:$A$13,C130,'قیمت‌ها و مفروضات'!$B$9:$B$13)),IF(SUMIF('قیمت‌ها و مفروضات'!$A$18:$A$63,O130,'قیمت‌ها و مفروضات'!$C$18:$C$63)&lt;&gt;0,SUMIF('قیمت‌ها و مفروضات'!$A$18:$A$63,O130,'قیمت‌ها و مفروضات'!$C$18:$C$63),SUMIF('قیمت‌ها و مفروضات'!$A$18:$A$63,O130,'قیمت‌ها و مفروضات'!$B$18:$B$63)))</f>
        <v/>
      </c>
      <c r="S130" s="178">
        <f>'قیمت‌ها و مفروضات'!$B$3+'قیمت‌ها و مفروضات'!$B$4</f>
        <v/>
      </c>
      <c r="T130" s="178">
        <f>R130+S130</f>
        <v/>
      </c>
      <c r="U130" s="178">
        <f>IF(COUNTIF($E$2:E130,E130)&gt;1,"بله (تکراری)","خیر")</f>
        <v/>
      </c>
      <c r="V130" s="178">
        <f>IF(U130="بله (تکراری)",S130,0)</f>
        <v/>
      </c>
      <c r="W130" s="208" t="inlineStr"/>
      <c r="X130" s="208" t="inlineStr"/>
    </row>
    <row r="131" ht="58.5" customHeight="1" s="151">
      <c r="A131" s="176" t="n">
        <v>762888</v>
      </c>
      <c r="B131" s="124">
        <f>CHOOSE(_xlfn.NUMBERVALUE(MID(H131,6,2)),"فروردین","اردیبهشت","خرداد","تیر","مرداد","شهریور","مهر","آبان","آذر","دی","بهمن","اسفند")</f>
        <v/>
      </c>
      <c r="C131" s="176" t="inlineStr">
        <is>
          <t>یخچال ساید‌بای‌ساید</t>
        </is>
      </c>
      <c r="D131" s="176" t="inlineStr">
        <is>
          <t>C2S-29HS1</t>
        </is>
      </c>
      <c r="E131" s="176" t="inlineStr">
        <is>
          <t>210120001N00046</t>
        </is>
      </c>
      <c r="F131" s="173" t="inlineStr">
        <is>
          <t>عدم کارکرد يخساز**اياب و ذهاب به عهده شرکت</t>
        </is>
      </c>
      <c r="G131" s="124" t="inlineStr">
        <is>
          <t>خرابي برد - عدم کارکرد يخساز - سايد باي سايد</t>
        </is>
      </c>
      <c r="H131" s="176" t="inlineStr">
        <is>
          <t>1405/01/17</t>
        </is>
      </c>
      <c r="I131" s="124" t="inlineStr">
        <is>
          <t>1403/04/04</t>
        </is>
      </c>
      <c r="J131" s="124" t="inlineStr">
        <is>
          <t>1403/09/03</t>
        </is>
      </c>
      <c r="K131" s="177">
        <f>IFERROR(VLOOKUP(LEFT(H131,7),'تبدیل تاریخ'!$A$2:$B$73,2,FALSE())+VALUE(RIGHT(H131,2))-1,"")</f>
        <v/>
      </c>
      <c r="L131" s="177">
        <f>IFERROR(VLOOKUP(LEFT(I131,7),'تبدیل تاریخ'!$A$2:$B$73,2,FALSE())+VALUE(RIGHT(I131,2))-1,"")</f>
        <v/>
      </c>
      <c r="M131" s="177">
        <f>IF(J131="","",IFERROR(VLOOKUP(LEFT(J131,7),'تبدیل تاریخ'!$A$2:$B$73,2,FALSE())+VALUE(RIGHT(J131,2))-1,""))</f>
        <v/>
      </c>
      <c r="N131" s="124">
        <f>IF(OR(K131="",M131=""),"",CEILING((K131-M131)/30,1))</f>
        <v/>
      </c>
      <c r="O131" s="124">
        <f>IF(OR(ISNUMBER(SEARCH("بدون مورد",G131)),ISNUMBER(SEARCH("غير گارانتي",G131)),ISNUMBER(SEARCH("غیر گارانتی",G131)),ISNUMBER(SEARCH("بدون اجرت",G131)),ISNUMBER(SEARCH("فيلتر",G131)),ISNUMBER(SEARCH("فیلتر",G131))),"غیرگارانتی/بدون قطعه",IF(OR(ISNUMBER(SEARCH("ريست",G131)),ISNUMBER(SEARCH("ریست",G131))),"ریست نرم‌افزاری (بدون قطعه)",IF(OR(ISNUMBER(SEARCH("تعویض محصول",G131)),ISNUMBER(SEARCH("تعویض دستگاه",G131))),"تعویض کامل دستگاه (Replacement)",IF(ISNUMBER(SEARCH("پمپ",G131)),IF(ISNUMBER(SEARCH("نشت",G131)),"نشتی - پمپ تخلیه (تعمیر/آب‌بندی)","خرابی - پمپ تخلیه (تعویض)"),IF(ISNUMBER(SEARCH("کمپرسور",G131)),"خرابی - کمپرسور (تعویض)",IF(ISNUMBER(SEARCH("کمک فنر",G131)),"خرابی - کمک فنر (تعویض)",IF(ISNUMBER(SEARCH("لولا",G131)),"مکانیزم درب - لولا (تعویض)",IF(OR(ISNUMBER(SEARCH("قلاب",G131)),ISNUMBER(SEARCH("ميکروسوئيچ",G131)),ISNUMBER(SEARCH("میکروسوئیچ",G131))),"مکانیزم درب - میکروسوئیچ/قلاب (تعویض/تنظیم)",IF(ISNUMBER(SEARCH("زبانه",G131)),"مکانیزم درب - زبانه (تعویض)",IF(OR(ISNUMBER(SEARCH("شيلنگ",G131)),ISNUMBER(SEARCH("شیلنگ",G131))),IF(OR(ISNUMBER(SEARCH("نشتی",G131)),ISNUMBER(SEARCH("نشتي",G131))),"نشتی - شیلنگ (تعمیر/آب‌بندی)",IF(OR(ISNUMBER(SEARCH("يخ",G131)),ISNUMBER(SEARCH("یخ",G131))),"شیلنگ یخساز - یخ‌زدگی (بازبینی)","شیلنگ - برخورد/لهیدگی (بازبینی)")),IF(OR(ISNUMBER(SEARCH("تنظيم ديسپل",G131)),ISNUMBER(SEARCH("تنظیم دیسپل",G131)),ISNUMBER(SEARCH("تنظيم صفحه نمايش",G131)),ISNUMBER(SEARCH("تنظیم صفحه نمایش",G131))),"تنظیم - تنظیمات دستگاه/دیسپلی (تعمیر)",IF(OR(ISNUMBER(SEARCH("برد",G131)),ISNUMBER(SEARCH("سوکت",G131)),ISNUMBER(SEARCH("ديسپل",G131)),ISNUMBER(SEARCH("دیسپل",G131))),"خرابی - برد الکترونیک (تعویض)",IF(OR(ISNUMBER(SEARCH("يخساز",G131)),ISNUMBER(SEARCH("یخساز",G131)),ISNUMBER(SEARCH("دمپر",G131))),IF(OR(ISNUMBER(SEARCH("خرابی",G131)),ISNUMBER(SEARCH("خراب",G131)),ISNUMBER(SEARCH("عدم کارکرد",G131)),ISNUMBER(SEARCH("عدم عملکرد",G131))),"یخساز - خرابی موتور/سنسور/برد (تعویض)","یخساز - تنظیم/عایق (تعمیر)"),IF(OR(ISNUMBER(SEARCH("لاستيک",G131)),ISNUMBER(SEARCH("لاستیک",G131))),"لاستیک درزگیر - دفرمگی/پارگی (تعویض)",IF(OR(ISNUMBER(SEARCH("گسکت",G131)),ISNUMBER(SEARCH("گسگت",G131))),"لاستیک درزگیر - دفرمگی/پارگی (تعویض)",IF(ISNUMBER(SEARCH("مخزن نمک",G131)),"نشتی - درب مخزن نمک (تعمیر/آب‌بندی)",IF(ISNUMBER(SEARCH("براکت",G131)),"نشتی - براکت ریل (تعمیر/آب‌بندی)",IF(ISNUMBER(SEARCH("جاپودر",G131)),"نشتی - جاپودری (تعمیر/آب‌بندی)",IF(ISNUMBER(SEARCH("مقسم",G131)),"نشتی - مقسم آب (تعمیر/آب‌بندی)",IF(OR(ISNUMBER(SEARCH("سنسور دما",G131)),ISNUMBER(SEARCH("ترموستات",G131))),"خرابی - ترموستات (تعویض)",IF(OR(ISNUMBER(SEARCH("هيدروستات",G131)),ISNUMBER(SEARCH("هیدروستات",G131))),"خرابی - هیدروستات (تعویض)",IF(OR(ISNUMBER(SEARCH("بلبرينگ",G131)),ISNUMBER(SEARCH("بلبرینگ",G131))),"خرابی - بلبرینگ (تعویض)",IF(OR(ISNUMBER(SEARCH("شيربرق",G131)),ISNUMBER(SEARCH("شیربرق",G131))),"خرابی - شیربرقی (تعویض)",IF(OR(ISNUMBER(SEARCH("واتر جت",G131)),ISNUMBER(SEARCH("واترجت",G131))),"خرابی - واترجت (تعویض)",IF(OR(ISNUMBER(SEARCH("سيم",G131)),ISNUMBER(SEARCH("سیم",G131)),ISNUMBER(SEARCH("اتصال",G131))),"سیم‌کشی/اتصالات (تعویض/بازبینی)",IF(OR(ISNUMBER(SEARCH("تصوير",G131)),ISNUMBER(SEARCH("تصویر",G131))),"برد نمایش تلویزیون (تعویض)",IF(OR(ISNUMBER(SEARCH("ريموت",G131)),ISNUMBER(SEARCH("ریموت",G131))),"ریموت کنترل (تعویض/تعمیر)",IF(OR(ISNUMBER(SEARCH("ال اي دي",G131)),ISNUMBER(SEARCH("ال ای دی",G131)),ISNUMBER(SEARCH("LED",G131))),"خرابی - لامپ/LED داخلی (تعویض)",IF(ISNUMBER(SEARCH("زنگ زدگ",G131)),"زنگ‌زدگی بدنه/قطعه (تعویض)",IF(OR(ISNUMBER(SEARCH("قطعات تزئين",G131)),ISNUMBER(SEARCH("قطعات تزئین",G131))),"قطعات تزئینی - شکستگی/کسری (تعویض)",IF(ISNUMBER(SEARCH("سبد",G131)),"سبد ظرفشویی - شکستگی (تعویض)",IF(ISNUMBER(SEARCH("تاب درام",G131)),"خرابی - تاب برداشتن درام (تعویض)",IF(ISNUMBER(SEARCH("درام",G131)),"خرابی - سایر ایراد درام (تعویض)",IF(ISNUMBER(SEARCH("موتور",G131)),"خرابی - موتور (تعویض)",IF(ISNUMBER(SEARCH("تسمه",G131)),"خرابی - تسمه (تعویض)",IF(OR(ISNUMBER(SEARCH("پيچ ولوم",G131)),ISNUMBER(SEARCH("پیچ ولوم",G131))),"تنظیم - پیچ ولوم/دکمه (تعمیر)",IF(OR(ISNUMBER(SEARCH("کسري قطعات",G131)),ISNUMBER(SEARCH("کسری قطعات",G131))),"کسری قطعات تزئینی (تعویض)",IF(ISNUMBER(SEARCH("پرچ",G131)),"پرچ/بدنه کابین(تعمیر)",IF(OR(ISNUMBER(SEARCH("نشت",G131)),ISNUMBER(SEARCH("آبريزش",G131)),ISNUMBER(SEARCH("آبریزش",G131))),"نشتی آب - محل نامشخص (نیازمند بازدید)",IF(ISNUMBER(SEARCH("درب",G131)),"سایر اجزای درب (بازبینی)",IF(ISNUMBER(SEARCH("ضربه",G131)),"بدنه/کابین - ضربه (بازبینی/تعویض پنل)",IF(ISNUMBER(SEARCH("تراز",G131)),"تراز/لرزش - نصب (رگلاژ پایه)",IF(OR(ISNUMBER(SEARCH("تعویض",G131)),ISNUMBER(SEARCH("تعويض",G131))),"تعویض کامل دستگاه (Replacement)","سایر (نیازمند بررسی دستی)")))))))))))))))))))))))))))))))))))))))))))</f>
        <v/>
      </c>
      <c r="P131" s="124" t="inlineStr">
        <is>
          <t>برد ساید بای ساید</t>
        </is>
      </c>
      <c r="Q131" s="124">
        <f>IF(ISNUMBER(SEARCH("عهده شرکت",F131)),"شرکت",IF(ISNUMBER(SEARCH("عهده مشتري",F131)),"مشتری",IF(ISNUMBER(SEARCH("عهده مشتری",F131)),"مشتری","نامشخص")))</f>
        <v/>
      </c>
      <c r="R131" s="178">
        <f>IF(O131="تعویض کامل دستگاه (Replacement)",IF(SUMIF('قیمت‌ها و مفروضات'!$A$9:$A$13,C131,'قیمت‌ها و مفروضات'!$C$9:$C$13)&lt;&gt;0,SUMIF('قیمت‌ها و مفروضات'!$A$9:$A$13,C131,'قیمت‌ها و مفروضات'!$C$9:$C$13),SUMIF('قیمت‌ها و مفروضات'!$A$9:$A$13,C131,'قیمت‌ها و مفروضات'!$B$9:$B$13)),IF(SUMIF('قیمت‌ها و مفروضات'!$A$18:$A$63,O131,'قیمت‌ها و مفروضات'!$C$18:$C$63)&lt;&gt;0,SUMIF('قیمت‌ها و مفروضات'!$A$18:$A$63,O131,'قیمت‌ها و مفروضات'!$C$18:$C$63),SUMIF('قیمت‌ها و مفروضات'!$A$18:$A$63,O131,'قیمت‌ها و مفروضات'!$B$18:$B$63)))</f>
        <v/>
      </c>
      <c r="S131" s="178">
        <f>'قیمت‌ها و مفروضات'!$B$3+'قیمت‌ها و مفروضات'!$B$4</f>
        <v/>
      </c>
      <c r="T131" s="178">
        <f>R131+S131</f>
        <v/>
      </c>
      <c r="U131" s="178">
        <f>IF(COUNTIF($E$2:E131,E131)&gt;1,"بله (تکراری)","خیر")</f>
        <v/>
      </c>
      <c r="V131" s="178">
        <f>IF(U131="بله (تکراری)",S131,0)</f>
        <v/>
      </c>
      <c r="W131" s="208" t="inlineStr"/>
      <c r="X131" s="208" t="inlineStr"/>
    </row>
    <row r="132" ht="58.5" customHeight="1" s="151">
      <c r="A132" s="176" t="n">
        <v>130004819</v>
      </c>
      <c r="B132" s="124">
        <f>CHOOSE(_xlfn.NUMBERVALUE(MID(H132,6,2)),"فروردین","اردیبهشت","خرداد","تیر","مرداد","شهریور","مهر","آبان","آذر","دی","بهمن","اسفند")</f>
        <v/>
      </c>
      <c r="C132" s="176" t="inlineStr">
        <is>
          <t>ماشين ظرفشويي</t>
        </is>
      </c>
      <c r="D132" s="176" t="inlineStr">
        <is>
          <t>CDW-H16T</t>
        </is>
      </c>
      <c r="E132" s="176" t="inlineStr">
        <is>
          <t>52220004N03052</t>
        </is>
      </c>
      <c r="F132" s="173" t="inlineStr">
        <is>
          <t>خطاي F54اياب و ذهاب به عهده شرکت</t>
        </is>
      </c>
      <c r="G132" s="124" t="inlineStr">
        <is>
          <t>خرابي واترجت</t>
        </is>
      </c>
      <c r="H132" s="176" t="inlineStr">
        <is>
          <t>1405/01/18</t>
        </is>
      </c>
      <c r="I132" s="124" t="inlineStr">
        <is>
          <t>1404/05/27</t>
        </is>
      </c>
      <c r="J132" s="124" t="inlineStr">
        <is>
          <t>1404/06/15</t>
        </is>
      </c>
      <c r="K132" s="177">
        <f>IFERROR(VLOOKUP(LEFT(H132,7),'تبدیل تاریخ'!$A$2:$B$73,2,FALSE())+VALUE(RIGHT(H132,2))-1,"")</f>
        <v/>
      </c>
      <c r="L132" s="177">
        <f>IFERROR(VLOOKUP(LEFT(I132,7),'تبدیل تاریخ'!$A$2:$B$73,2,FALSE())+VALUE(RIGHT(I132,2))-1,"")</f>
        <v/>
      </c>
      <c r="M132" s="177">
        <f>IF(J132="","",IFERROR(VLOOKUP(LEFT(J132,7),'تبدیل تاریخ'!$A$2:$B$73,2,FALSE())+VALUE(RIGHT(J132,2))-1,""))</f>
        <v/>
      </c>
      <c r="N132" s="124">
        <f>IF(OR(K132="",M132=""),"",CEILING((K132-M132)/30,1))</f>
        <v/>
      </c>
      <c r="O132" s="124">
        <f>IF(OR(ISNUMBER(SEARCH("بدون مورد",G132)),ISNUMBER(SEARCH("غير گارانتي",G132)),ISNUMBER(SEARCH("غیر گارانتی",G132)),ISNUMBER(SEARCH("بدون اجرت",G132)),ISNUMBER(SEARCH("فيلتر",G132)),ISNUMBER(SEARCH("فیلتر",G132))),"غیرگارانتی/بدون قطعه",IF(OR(ISNUMBER(SEARCH("ريست",G132)),ISNUMBER(SEARCH("ریست",G132))),"ریست نرم‌افزاری (بدون قطعه)",IF(OR(ISNUMBER(SEARCH("تعویض محصول",G132)),ISNUMBER(SEARCH("تعویض دستگاه",G132))),"تعویض کامل دستگاه (Replacement)",IF(ISNUMBER(SEARCH("پمپ",G132)),IF(ISNUMBER(SEARCH("نشت",G132)),"نشتی - پمپ تخلیه (تعمیر/آب‌بندی)","خرابی - پمپ تخلیه (تعویض)"),IF(ISNUMBER(SEARCH("کمپرسور",G132)),"خرابی - کمپرسور (تعویض)",IF(ISNUMBER(SEARCH("کمک فنر",G132)),"خرابی - کمک فنر (تعویض)",IF(ISNUMBER(SEARCH("لولا",G132)),"مکانیزم درب - لولا (تعویض)",IF(OR(ISNUMBER(SEARCH("قلاب",G132)),ISNUMBER(SEARCH("ميکروسوئيچ",G132)),ISNUMBER(SEARCH("میکروسوئیچ",G132))),"مکانیزم درب - میکروسوئیچ/قلاب (تعویض/تنظیم)",IF(ISNUMBER(SEARCH("زبانه",G132)),"مکانیزم درب - زبانه (تعویض)",IF(OR(ISNUMBER(SEARCH("شيلنگ",G132)),ISNUMBER(SEARCH("شیلنگ",G132))),IF(OR(ISNUMBER(SEARCH("نشتی",G132)),ISNUMBER(SEARCH("نشتي",G132))),"نشتی - شیلنگ (تعمیر/آب‌بندی)",IF(OR(ISNUMBER(SEARCH("يخ",G132)),ISNUMBER(SEARCH("یخ",G132))),"شیلنگ یخساز - یخ‌زدگی (بازبینی)","شیلنگ - برخورد/لهیدگی (بازبینی)")),IF(OR(ISNUMBER(SEARCH("تنظيم ديسپل",G132)),ISNUMBER(SEARCH("تنظیم دیسپل",G132)),ISNUMBER(SEARCH("تنظيم صفحه نمايش",G132)),ISNUMBER(SEARCH("تنظیم صفحه نمایش",G132))),"تنظیم - تنظیمات دستگاه/دیسپلی (تعمیر)",IF(OR(ISNUMBER(SEARCH("برد",G132)),ISNUMBER(SEARCH("سوکت",G132)),ISNUMBER(SEARCH("ديسپل",G132)),ISNUMBER(SEARCH("دیسپل",G132))),"خرابی - برد الکترونیک (تعویض)",IF(OR(ISNUMBER(SEARCH("يخساز",G132)),ISNUMBER(SEARCH("یخساز",G132)),ISNUMBER(SEARCH("دمپر",G132))),IF(OR(ISNUMBER(SEARCH("خرابی",G132)),ISNUMBER(SEARCH("خراب",G132)),ISNUMBER(SEARCH("عدم کارکرد",G132)),ISNUMBER(SEARCH("عدم عملکرد",G132))),"یخساز - خرابی موتور/سنسور/برد (تعویض)","یخساز - تنظیم/عایق (تعمیر)"),IF(OR(ISNUMBER(SEARCH("لاستيک",G132)),ISNUMBER(SEARCH("لاستیک",G132))),"لاستیک درزگیر - دفرمگی/پارگی (تعویض)",IF(OR(ISNUMBER(SEARCH("گسکت",G132)),ISNUMBER(SEARCH("گسگت",G132))),"لاستیک درزگیر - دفرمگی/پارگی (تعویض)",IF(ISNUMBER(SEARCH("مخزن نمک",G132)),"نشتی - درب مخزن نمک (تعمیر/آب‌بندی)",IF(ISNUMBER(SEARCH("براکت",G132)),"نشتی - براکت ریل (تعمیر/آب‌بندی)",IF(ISNUMBER(SEARCH("جاپودر",G132)),"نشتی - جاپودری (تعمیر/آب‌بندی)",IF(ISNUMBER(SEARCH("مقسم",G132)),"نشتی - مقسم آب (تعمیر/آب‌بندی)",IF(OR(ISNUMBER(SEARCH("سنسور دما",G132)),ISNUMBER(SEARCH("ترموستات",G132))),"خرابی - ترموستات (تعویض)",IF(OR(ISNUMBER(SEARCH("هيدروستات",G132)),ISNUMBER(SEARCH("هیدروستات",G132))),"خرابی - هیدروستات (تعویض)",IF(OR(ISNUMBER(SEARCH("بلبرينگ",G132)),ISNUMBER(SEARCH("بلبرینگ",G132))),"خرابی - بلبرینگ (تعویض)",IF(OR(ISNUMBER(SEARCH("شيربرق",G132)),ISNUMBER(SEARCH("شیربرق",G132))),"خرابی - شیربرقی (تعویض)",IF(OR(ISNUMBER(SEARCH("واتر جت",G132)),ISNUMBER(SEARCH("واترجت",G132))),"خرابی - واترجت (تعویض)",IF(OR(ISNUMBER(SEARCH("سيم",G132)),ISNUMBER(SEARCH("سیم",G132)),ISNUMBER(SEARCH("اتصال",G132))),"سیم‌کشی/اتصالات (تعویض/بازبینی)",IF(OR(ISNUMBER(SEARCH("تصوير",G132)),ISNUMBER(SEARCH("تصویر",G132))),"برد نمایش تلویزیون (تعویض)",IF(OR(ISNUMBER(SEARCH("ريموت",G132)),ISNUMBER(SEARCH("ریموت",G132))),"ریموت کنترل (تعویض/تعمیر)",IF(OR(ISNUMBER(SEARCH("ال اي دي",G132)),ISNUMBER(SEARCH("ال ای دی",G132)),ISNUMBER(SEARCH("LED",G132))),"خرابی - لامپ/LED داخلی (تعویض)",IF(ISNUMBER(SEARCH("زنگ زدگ",G132)),"زنگ‌زدگی بدنه/قطعه (تعویض)",IF(OR(ISNUMBER(SEARCH("قطعات تزئين",G132)),ISNUMBER(SEARCH("قطعات تزئین",G132))),"قطعات تزئینی - شکستگی/کسری (تعویض)",IF(ISNUMBER(SEARCH("سبد",G132)),"سبد ظرفشویی - شکستگی (تعویض)",IF(ISNUMBER(SEARCH("تاب درام",G132)),"خرابی - تاب برداشتن درام (تعویض)",IF(ISNUMBER(SEARCH("درام",G132)),"خرابی - سایر ایراد درام (تعویض)",IF(ISNUMBER(SEARCH("موتور",G132)),"خرابی - موتور (تعویض)",IF(ISNUMBER(SEARCH("تسمه",G132)),"خرابی - تسمه (تعویض)",IF(OR(ISNUMBER(SEARCH("پيچ ولوم",G132)),ISNUMBER(SEARCH("پیچ ولوم",G132))),"تنظیم - پیچ ولوم/دکمه (تعمیر)",IF(OR(ISNUMBER(SEARCH("کسري قطعات",G132)),ISNUMBER(SEARCH("کسری قطعات",G132))),"کسری قطعات تزئینی (تعویض)",IF(ISNUMBER(SEARCH("پرچ",G132)),"پرچ/بدنه کابین(تعمیر)",IF(OR(ISNUMBER(SEARCH("نشت",G132)),ISNUMBER(SEARCH("آبريزش",G132)),ISNUMBER(SEARCH("آبریزش",G132))),"نشتی آب - محل نامشخص (نیازمند بازدید)",IF(ISNUMBER(SEARCH("درب",G132)),"سایر اجزای درب (بازبینی)",IF(ISNUMBER(SEARCH("ضربه",G132)),"بدنه/کابین - ضربه (بازبینی/تعویض پنل)",IF(ISNUMBER(SEARCH("تراز",G132)),"تراز/لرزش - نصب (رگلاژ پایه)",IF(OR(ISNUMBER(SEARCH("تعویض",G132)),ISNUMBER(SEARCH("تعويض",G132))),"تعویض کامل دستگاه (Replacement)","سایر (نیازمند بررسی دستی)")))))))))))))))))))))))))))))))))))))))))))</f>
        <v/>
      </c>
      <c r="P132" s="124" t="inlineStr">
        <is>
          <t>واترجت ظرفشویی</t>
        </is>
      </c>
      <c r="Q132" s="124">
        <f>IF(ISNUMBER(SEARCH("عهده شرکت",F132)),"شرکت",IF(ISNUMBER(SEARCH("عهده مشتري",F132)),"مشتری",IF(ISNUMBER(SEARCH("عهده مشتری",F132)),"مشتری","نامشخص")))</f>
        <v/>
      </c>
      <c r="R132" s="178">
        <f>IF(O132="تعویض کامل دستگاه (Replacement)",IF(SUMIF('قیمت‌ها و مفروضات'!$A$9:$A$13,C132,'قیمت‌ها و مفروضات'!$C$9:$C$13)&lt;&gt;0,SUMIF('قیمت‌ها و مفروضات'!$A$9:$A$13,C132,'قیمت‌ها و مفروضات'!$C$9:$C$13),SUMIF('قیمت‌ها و مفروضات'!$A$9:$A$13,C132,'قیمت‌ها و مفروضات'!$B$9:$B$13)),IF(SUMIF('قیمت‌ها و مفروضات'!$A$18:$A$63,O132,'قیمت‌ها و مفروضات'!$C$18:$C$63)&lt;&gt;0,SUMIF('قیمت‌ها و مفروضات'!$A$18:$A$63,O132,'قیمت‌ها و مفروضات'!$C$18:$C$63),SUMIF('قیمت‌ها و مفروضات'!$A$18:$A$63,O132,'قیمت‌ها و مفروضات'!$B$18:$B$63)))</f>
        <v/>
      </c>
      <c r="S132" s="178">
        <f>'قیمت‌ها و مفروضات'!$B$3+'قیمت‌ها و مفروضات'!$B$4</f>
        <v/>
      </c>
      <c r="T132" s="178">
        <f>R132+S132</f>
        <v/>
      </c>
      <c r="U132" s="178">
        <f>IF(COUNTIF($E$2:E132,E132)&gt;1,"بله (تکراری)","خیر")</f>
        <v/>
      </c>
      <c r="V132" s="178">
        <f>IF(U132="بله (تکراری)",S132,0)</f>
        <v/>
      </c>
      <c r="W132" s="208" t="inlineStr"/>
      <c r="X132" s="208" t="inlineStr"/>
    </row>
    <row r="133" ht="58.5" customHeight="1" s="151">
      <c r="A133" s="176" t="n">
        <v>810003135</v>
      </c>
      <c r="B133" s="124">
        <f>CHOOSE(_xlfn.NUMBERVALUE(MID(H133,6,2)),"فروردین","اردیبهشت","خرداد","تیر","مرداد","شهریور","مهر","آبان","آذر","دی","بهمن","اسفند")</f>
        <v/>
      </c>
      <c r="C133" s="176" t="inlineStr">
        <is>
          <t>ماشين ظرفشويي</t>
        </is>
      </c>
      <c r="D133" s="176" t="inlineStr">
        <is>
          <t>CDW-H13V</t>
        </is>
      </c>
      <c r="E133" s="176" t="inlineStr">
        <is>
          <t>210140001N00211</t>
        </is>
      </c>
      <c r="F133" s="173" t="inlineStr">
        <is>
          <t>جمع شدن آب زير محصول**اياب و ذهاب به عهده شرکت</t>
        </is>
      </c>
      <c r="G133" s="124" t="inlineStr">
        <is>
          <t>نشتي اورینگ پمپ تخليه</t>
        </is>
      </c>
      <c r="H133" s="176" t="inlineStr">
        <is>
          <t>1405/01/29</t>
        </is>
      </c>
      <c r="I133" s="124" t="inlineStr">
        <is>
          <t>1402/11/05</t>
        </is>
      </c>
      <c r="J133" s="124" t="inlineStr">
        <is>
          <t>1404/02/03</t>
        </is>
      </c>
      <c r="K133" s="177">
        <f>IFERROR(VLOOKUP(LEFT(H133,7),'تبدیل تاریخ'!$A$2:$B$73,2,FALSE())+VALUE(RIGHT(H133,2))-1,"")</f>
        <v/>
      </c>
      <c r="L133" s="177">
        <f>IFERROR(VLOOKUP(LEFT(I133,7),'تبدیل تاریخ'!$A$2:$B$73,2,FALSE())+VALUE(RIGHT(I133,2))-1,"")</f>
        <v/>
      </c>
      <c r="M133" s="177">
        <f>IF(J133="","",IFERROR(VLOOKUP(LEFT(J133,7),'تبدیل تاریخ'!$A$2:$B$73,2,FALSE())+VALUE(RIGHT(J133,2))-1,""))</f>
        <v/>
      </c>
      <c r="N133" s="124">
        <f>IF(OR(K133="",M133=""),"",CEILING((K133-M133)/30,1))</f>
        <v/>
      </c>
      <c r="O133" s="124">
        <f>IF(OR(ISNUMBER(SEARCH("بدون مورد",G133)),ISNUMBER(SEARCH("غير گارانتي",G133)),ISNUMBER(SEARCH("غیر گارانتی",G133)),ISNUMBER(SEARCH("بدون اجرت",G133)),ISNUMBER(SEARCH("فيلتر",G133)),ISNUMBER(SEARCH("فیلتر",G133))),"غیرگارانتی/بدون قطعه",IF(OR(ISNUMBER(SEARCH("ريست",G133)),ISNUMBER(SEARCH("ریست",G133))),"ریست نرم‌افزاری (بدون قطعه)",IF(OR(ISNUMBER(SEARCH("تعویض محصول",G133)),ISNUMBER(SEARCH("تعویض دستگاه",G133))),"تعویض کامل دستگاه (Replacement)",IF(ISNUMBER(SEARCH("پمپ",G133)),IF(ISNUMBER(SEARCH("نشت",G133)),"نشتی - پمپ تخلیه (تعمیر/آب‌بندی)","خرابی - پمپ تخلیه (تعویض)"),IF(ISNUMBER(SEARCH("کمپرسور",G133)),"خرابی - کمپرسور (تعویض)",IF(ISNUMBER(SEARCH("کمک فنر",G133)),"خرابی - کمک فنر (تعویض)",IF(ISNUMBER(SEARCH("لولا",G133)),"مکانیزم درب - لولا (تعویض)",IF(OR(ISNUMBER(SEARCH("قلاب",G133)),ISNUMBER(SEARCH("ميکروسوئيچ",G133)),ISNUMBER(SEARCH("میکروسوئیچ",G133))),"مکانیزم درب - میکروسوئیچ/قلاب (تعویض/تنظیم)",IF(ISNUMBER(SEARCH("زبانه",G133)),"مکانیزم درب - زبانه (تعویض)",IF(OR(ISNUMBER(SEARCH("شيلنگ",G133)),ISNUMBER(SEARCH("شیلنگ",G133))),IF(OR(ISNUMBER(SEARCH("نشتی",G133)),ISNUMBER(SEARCH("نشتي",G133))),"نشتی - شیلنگ (تعمیر/آب‌بندی)",IF(OR(ISNUMBER(SEARCH("يخ",G133)),ISNUMBER(SEARCH("یخ",G133))),"شیلنگ یخساز - یخ‌زدگی (بازبینی)","شیلنگ - برخورد/لهیدگی (بازبینی)")),IF(OR(ISNUMBER(SEARCH("تنظيم ديسپل",G133)),ISNUMBER(SEARCH("تنظیم دیسپل",G133)),ISNUMBER(SEARCH("تنظيم صفحه نمايش",G133)),ISNUMBER(SEARCH("تنظیم صفحه نمایش",G133))),"تنظیم - تنظیمات دستگاه/دیسپلی (تعمیر)",IF(OR(ISNUMBER(SEARCH("برد",G133)),ISNUMBER(SEARCH("سوکت",G133)),ISNUMBER(SEARCH("ديسپل",G133)),ISNUMBER(SEARCH("دیسپل",G133))),"خرابی - برد الکترونیک (تعویض)",IF(OR(ISNUMBER(SEARCH("يخساز",G133)),ISNUMBER(SEARCH("یخساز",G133)),ISNUMBER(SEARCH("دمپر",G133))),IF(OR(ISNUMBER(SEARCH("خرابی",G133)),ISNUMBER(SEARCH("خراب",G133)),ISNUMBER(SEARCH("عدم کارکرد",G133)),ISNUMBER(SEARCH("عدم عملکرد",G133))),"یخساز - خرابی موتور/سنسور/برد (تعویض)","یخساز - تنظیم/عایق (تعمیر)"),IF(OR(ISNUMBER(SEARCH("لاستيک",G133)),ISNUMBER(SEARCH("لاستیک",G133))),"لاستیک درزگیر - دفرمگی/پارگی (تعویض)",IF(OR(ISNUMBER(SEARCH("گسکت",G133)),ISNUMBER(SEARCH("گسگت",G133))),"لاستیک درزگیر - دفرمگی/پارگی (تعویض)",IF(ISNUMBER(SEARCH("مخزن نمک",G133)),"نشتی - درب مخزن نمک (تعمیر/آب‌بندی)",IF(ISNUMBER(SEARCH("براکت",G133)),"نشتی - براکت ریل (تعمیر/آب‌بندی)",IF(ISNUMBER(SEARCH("جاپودر",G133)),"نشتی - جاپودری (تعمیر/آب‌بندی)",IF(ISNUMBER(SEARCH("مقسم",G133)),"نشتی - مقسم آب (تعمیر/آب‌بندی)",IF(OR(ISNUMBER(SEARCH("سنسور دما",G133)),ISNUMBER(SEARCH("ترموستات",G133))),"خرابی - ترموستات (تعویض)",IF(OR(ISNUMBER(SEARCH("هيدروستات",G133)),ISNUMBER(SEARCH("هیدروستات",G133))),"خرابی - هیدروستات (تعویض)",IF(OR(ISNUMBER(SEARCH("بلبرينگ",G133)),ISNUMBER(SEARCH("بلبرینگ",G133))),"خرابی - بلبرینگ (تعویض)",IF(OR(ISNUMBER(SEARCH("شيربرق",G133)),ISNUMBER(SEARCH("شیربرق",G133))),"خرابی - شیربرقی (تعویض)",IF(OR(ISNUMBER(SEARCH("واتر جت",G133)),ISNUMBER(SEARCH("واترجت",G133))),"خرابی - واترجت (تعویض)",IF(OR(ISNUMBER(SEARCH("سيم",G133)),ISNUMBER(SEARCH("سیم",G133)),ISNUMBER(SEARCH("اتصال",G133))),"سیم‌کشی/اتصالات (تعویض/بازبینی)",IF(OR(ISNUMBER(SEARCH("تصوير",G133)),ISNUMBER(SEARCH("تصویر",G133))),"برد نمایش تلویزیون (تعویض)",IF(OR(ISNUMBER(SEARCH("ريموت",G133)),ISNUMBER(SEARCH("ریموت",G133))),"ریموت کنترل (تعویض/تعمیر)",IF(OR(ISNUMBER(SEARCH("ال اي دي",G133)),ISNUMBER(SEARCH("ال ای دی",G133)),ISNUMBER(SEARCH("LED",G133))),"خرابی - لامپ/LED داخلی (تعویض)",IF(ISNUMBER(SEARCH("زنگ زدگ",G133)),"زنگ‌زدگی بدنه/قطعه (تعویض)",IF(OR(ISNUMBER(SEARCH("قطعات تزئين",G133)),ISNUMBER(SEARCH("قطعات تزئین",G133))),"قطعات تزئینی - شکستگی/کسری (تعویض)",IF(ISNUMBER(SEARCH("سبد",G133)),"سبد ظرفشویی - شکستگی (تعویض)",IF(ISNUMBER(SEARCH("تاب درام",G133)),"خرابی - تاب برداشتن درام (تعویض)",IF(ISNUMBER(SEARCH("درام",G133)),"خرابی - سایر ایراد درام (تعویض)",IF(ISNUMBER(SEARCH("موتور",G133)),"خرابی - موتور (تعویض)",IF(ISNUMBER(SEARCH("تسمه",G133)),"خرابی - تسمه (تعویض)",IF(OR(ISNUMBER(SEARCH("پيچ ولوم",G133)),ISNUMBER(SEARCH("پیچ ولوم",G133))),"تنظیم - پیچ ولوم/دکمه (تعمیر)",IF(OR(ISNUMBER(SEARCH("کسري قطعات",G133)),ISNUMBER(SEARCH("کسری قطعات",G133))),"کسری قطعات تزئینی (تعویض)",IF(ISNUMBER(SEARCH("پرچ",G133)),"پرچ/بدنه کابین(تعمیر)",IF(OR(ISNUMBER(SEARCH("نشت",G133)),ISNUMBER(SEARCH("آبريزش",G133)),ISNUMBER(SEARCH("آبریزش",G133))),"نشتی آب - محل نامشخص (نیازمند بازدید)",IF(ISNUMBER(SEARCH("درب",G133)),"سایر اجزای درب (بازبینی)",IF(ISNUMBER(SEARCH("ضربه",G133)),"بدنه/کابین - ضربه (بازبینی/تعویض پنل)",IF(ISNUMBER(SEARCH("تراز",G133)),"تراز/لرزش - نصب (رگلاژ پایه)",IF(OR(ISNUMBER(SEARCH("تعویض",G133)),ISNUMBER(SEARCH("تعويض",G133))),"تعویض کامل دستگاه (Replacement)","سایر (نیازمند بررسی دستی)")))))))))))))))))))))))))))))))))))))))))))</f>
        <v/>
      </c>
      <c r="P133" s="124" t="inlineStr">
        <is>
          <t>*</t>
        </is>
      </c>
      <c r="Q133" s="124">
        <f>IF(ISNUMBER(SEARCH("عهده شرکت",F133)),"شرکت",IF(ISNUMBER(SEARCH("عهده مشتري",F133)),"مشتری",IF(ISNUMBER(SEARCH("عهده مشتری",F133)),"مشتری","نامشخص")))</f>
        <v/>
      </c>
      <c r="R133" s="178">
        <f>IF(O133="تعویض کامل دستگاه (Replacement)",IF(SUMIF('قیمت‌ها و مفروضات'!$A$9:$A$13,C133,'قیمت‌ها و مفروضات'!$C$9:$C$13)&lt;&gt;0,SUMIF('قیمت‌ها و مفروضات'!$A$9:$A$13,C133,'قیمت‌ها و مفروضات'!$C$9:$C$13),SUMIF('قیمت‌ها و مفروضات'!$A$9:$A$13,C133,'قیمت‌ها و مفروضات'!$B$9:$B$13)),IF(SUMIF('قیمت‌ها و مفروضات'!$A$18:$A$63,O133,'قیمت‌ها و مفروضات'!$C$18:$C$63)&lt;&gt;0,SUMIF('قیمت‌ها و مفروضات'!$A$18:$A$63,O133,'قیمت‌ها و مفروضات'!$C$18:$C$63),SUMIF('قیمت‌ها و مفروضات'!$A$18:$A$63,O133,'قیمت‌ها و مفروضات'!$B$18:$B$63)))</f>
        <v/>
      </c>
      <c r="S133" s="178">
        <f>'قیمت‌ها و مفروضات'!$B$3+'قیمت‌ها و مفروضات'!$B$4</f>
        <v/>
      </c>
      <c r="T133" s="178">
        <f>R133+S133</f>
        <v/>
      </c>
      <c r="U133" s="178">
        <f>IF(COUNTIF($E$2:E133,E133)&gt;1,"بله (تکراری)","خیر")</f>
        <v/>
      </c>
      <c r="V133" s="178">
        <f>IF(U133="بله (تکراری)",S133,0)</f>
        <v/>
      </c>
      <c r="W133" s="208" t="inlineStr"/>
      <c r="X133" s="208" t="inlineStr"/>
    </row>
    <row r="134" ht="58.5" customHeight="1" s="151">
      <c r="A134" s="176" t="n">
        <v>753605</v>
      </c>
      <c r="B134" s="124">
        <f>CHOOSE(_xlfn.NUMBERVALUE(MID(H134,6,2)),"فروردین","اردیبهشت","خرداد","تیر","مرداد","شهریور","مهر","آبان","آذر","دی","بهمن","اسفند")</f>
        <v/>
      </c>
      <c r="C134" s="176" t="inlineStr">
        <is>
          <t>تلویزیون</t>
        </is>
      </c>
      <c r="D134" s="176" t="inlineStr">
        <is>
          <t>CTV-55UHJS2</t>
        </is>
      </c>
      <c r="E134" s="176" t="inlineStr">
        <is>
          <t>52230003N00020</t>
        </is>
      </c>
      <c r="F134" s="173" t="inlineStr">
        <is>
          <t>پرش تصوير ** اياب و ذهاب به عهده شرکت</t>
        </is>
      </c>
      <c r="G134" s="124" t="inlineStr">
        <is>
          <t>پرش تصوير</t>
        </is>
      </c>
      <c r="H134" s="176" t="inlineStr">
        <is>
          <t>1405/01/16</t>
        </is>
      </c>
      <c r="I134" s="124" t="inlineStr">
        <is>
          <t>1403/06/15</t>
        </is>
      </c>
      <c r="J134" s="124" t="inlineStr">
        <is>
          <t>1404/02/20</t>
        </is>
      </c>
      <c r="K134" s="177">
        <f>IFERROR(VLOOKUP(LEFT(H134,7),'تبدیل تاریخ'!$A$2:$B$73,2,FALSE())+VALUE(RIGHT(H134,2))-1,"")</f>
        <v/>
      </c>
      <c r="L134" s="177">
        <f>IFERROR(VLOOKUP(LEFT(I134,7),'تبدیل تاریخ'!$A$2:$B$73,2,FALSE())+VALUE(RIGHT(I134,2))-1,"")</f>
        <v/>
      </c>
      <c r="M134" s="177">
        <f>IF(J134="","",IFERROR(VLOOKUP(LEFT(J134,7),'تبدیل تاریخ'!$A$2:$B$73,2,FALSE())+VALUE(RIGHT(J134,2))-1,""))</f>
        <v/>
      </c>
      <c r="N134" s="124">
        <f>IF(OR(K134="",M134=""),"",CEILING((K134-M134)/30,1))</f>
        <v/>
      </c>
      <c r="O134" s="124">
        <f>IF(OR(ISNUMBER(SEARCH("بدون مورد",G134)),ISNUMBER(SEARCH("غير گارانتي",G134)),ISNUMBER(SEARCH("غیر گارانتی",G134)),ISNUMBER(SEARCH("بدون اجرت",G134)),ISNUMBER(SEARCH("فيلتر",G134)),ISNUMBER(SEARCH("فیلتر",G134))),"غیرگارانتی/بدون قطعه",IF(OR(ISNUMBER(SEARCH("ريست",G134)),ISNUMBER(SEARCH("ریست",G134))),"ریست نرم‌افزاری (بدون قطعه)",IF(OR(ISNUMBER(SEARCH("تعویض محصول",G134)),ISNUMBER(SEARCH("تعویض دستگاه",G134))),"تعویض کامل دستگاه (Replacement)",IF(ISNUMBER(SEARCH("پمپ",G134)),IF(ISNUMBER(SEARCH("نشت",G134)),"نشتی - پمپ تخلیه (تعمیر/آب‌بندی)","خرابی - پمپ تخلیه (تعویض)"),IF(ISNUMBER(SEARCH("کمپرسور",G134)),"خرابی - کمپرسور (تعویض)",IF(ISNUMBER(SEARCH("کمک فنر",G134)),"خرابی - کمک فنر (تعویض)",IF(ISNUMBER(SEARCH("لولا",G134)),"مکانیزم درب - لولا (تعویض)",IF(OR(ISNUMBER(SEARCH("قلاب",G134)),ISNUMBER(SEARCH("ميکروسوئيچ",G134)),ISNUMBER(SEARCH("میکروسوئیچ",G134))),"مکانیزم درب - میکروسوئیچ/قلاب (تعویض/تنظیم)",IF(ISNUMBER(SEARCH("زبانه",G134)),"مکانیزم درب - زبانه (تعویض)",IF(OR(ISNUMBER(SEARCH("شيلنگ",G134)),ISNUMBER(SEARCH("شیلنگ",G134))),IF(OR(ISNUMBER(SEARCH("نشتی",G134)),ISNUMBER(SEARCH("نشتي",G134))),"نشتی - شیلنگ (تعمیر/آب‌بندی)",IF(OR(ISNUMBER(SEARCH("يخ",G134)),ISNUMBER(SEARCH("یخ",G134))),"شیلنگ یخساز - یخ‌زدگی (بازبینی)","شیلنگ - برخورد/لهیدگی (بازبینی)")),IF(OR(ISNUMBER(SEARCH("تنظيم ديسپل",G134)),ISNUMBER(SEARCH("تنظیم دیسپل",G134)),ISNUMBER(SEARCH("تنظيم صفحه نمايش",G134)),ISNUMBER(SEARCH("تنظیم صفحه نمایش",G134))),"تنظیم - تنظیمات دستگاه/دیسپلی (تعمیر)",IF(OR(ISNUMBER(SEARCH("برد",G134)),ISNUMBER(SEARCH("سوکت",G134)),ISNUMBER(SEARCH("ديسپل",G134)),ISNUMBER(SEARCH("دیسپل",G134))),"خرابی - برد الکترونیک (تعویض)",IF(OR(ISNUMBER(SEARCH("يخساز",G134)),ISNUMBER(SEARCH("یخساز",G134)),ISNUMBER(SEARCH("دمپر",G134))),IF(OR(ISNUMBER(SEARCH("خرابی",G134)),ISNUMBER(SEARCH("خراب",G134)),ISNUMBER(SEARCH("عدم کارکرد",G134)),ISNUMBER(SEARCH("عدم عملکرد",G134))),"یخساز - خرابی موتور/سنسور/برد (تعویض)","یخساز - تنظیم/عایق (تعمیر)"),IF(OR(ISNUMBER(SEARCH("لاستيک",G134)),ISNUMBER(SEARCH("لاستیک",G134))),"لاستیک درزگیر - دفرمگی/پارگی (تعویض)",IF(OR(ISNUMBER(SEARCH("گسکت",G134)),ISNUMBER(SEARCH("گسگت",G134))),"لاستیک درزگیر - دفرمگی/پارگی (تعویض)",IF(ISNUMBER(SEARCH("مخزن نمک",G134)),"نشتی - درب مخزن نمک (تعمیر/آب‌بندی)",IF(ISNUMBER(SEARCH("براکت",G134)),"نشتی - براکت ریل (تعمیر/آب‌بندی)",IF(ISNUMBER(SEARCH("جاپودر",G134)),"نشتی - جاپودری (تعمیر/آب‌بندی)",IF(ISNUMBER(SEARCH("مقسم",G134)),"نشتی - مقسم آب (تعمیر/آب‌بندی)",IF(OR(ISNUMBER(SEARCH("سنسور دما",G134)),ISNUMBER(SEARCH("ترموستات",G134))),"خرابی - ترموستات (تعویض)",IF(OR(ISNUMBER(SEARCH("هيدروستات",G134)),ISNUMBER(SEARCH("هیدروستات",G134))),"خرابی - هیدروستات (تعویض)",IF(OR(ISNUMBER(SEARCH("بلبرينگ",G134)),ISNUMBER(SEARCH("بلبرینگ",G134))),"خرابی - بلبرینگ (تعویض)",IF(OR(ISNUMBER(SEARCH("شيربرق",G134)),ISNUMBER(SEARCH("شیربرق",G134))),"خرابی - شیربرقی (تعویض)",IF(OR(ISNUMBER(SEARCH("واتر جت",G134)),ISNUMBER(SEARCH("واترجت",G134))),"خرابی - واترجت (تعویض)",IF(OR(ISNUMBER(SEARCH("سيم",G134)),ISNUMBER(SEARCH("سیم",G134)),ISNUMBER(SEARCH("اتصال",G134))),"سیم‌کشی/اتصالات (تعویض/بازبینی)",IF(OR(ISNUMBER(SEARCH("تصوير",G134)),ISNUMBER(SEARCH("تصویر",G134))),"برد نمایش تلویزیون (تعویض)",IF(OR(ISNUMBER(SEARCH("ريموت",G134)),ISNUMBER(SEARCH("ریموت",G134))),"ریموت کنترل (تعویض/تعمیر)",IF(OR(ISNUMBER(SEARCH("ال اي دي",G134)),ISNUMBER(SEARCH("ال ای دی",G134)),ISNUMBER(SEARCH("LED",G134))),"خرابی - لامپ/LED داخلی (تعویض)",IF(ISNUMBER(SEARCH("زنگ زدگ",G134)),"زنگ‌زدگی بدنه/قطعه (تعویض)",IF(OR(ISNUMBER(SEARCH("قطعات تزئين",G134)),ISNUMBER(SEARCH("قطعات تزئین",G134))),"قطعات تزئینی - شکستگی/کسری (تعویض)",IF(ISNUMBER(SEARCH("سبد",G134)),"سبد ظرفشویی - شکستگی (تعویض)",IF(ISNUMBER(SEARCH("تاب درام",G134)),"خرابی - تاب برداشتن درام (تعویض)",IF(ISNUMBER(SEARCH("درام",G134)),"خرابی - سایر ایراد درام (تعویض)",IF(ISNUMBER(SEARCH("موتور",G134)),"خرابی - موتور (تعویض)",IF(ISNUMBER(SEARCH("تسمه",G134)),"خرابی - تسمه (تعویض)",IF(OR(ISNUMBER(SEARCH("پيچ ولوم",G134)),ISNUMBER(SEARCH("پیچ ولوم",G134))),"تنظیم - پیچ ولوم/دکمه (تعمیر)",IF(OR(ISNUMBER(SEARCH("کسري قطعات",G134)),ISNUMBER(SEARCH("کسری قطعات",G134))),"کسری قطعات تزئینی (تعویض)",IF(ISNUMBER(SEARCH("پرچ",G134)),"پرچ/بدنه کابین(تعمیر)",IF(OR(ISNUMBER(SEARCH("نشت",G134)),ISNUMBER(SEARCH("آبريزش",G134)),ISNUMBER(SEARCH("آبریزش",G134))),"نشتی آب - محل نامشخص (نیازمند بازدید)",IF(ISNUMBER(SEARCH("درب",G134)),"سایر اجزای درب (بازبینی)",IF(ISNUMBER(SEARCH("ضربه",G134)),"بدنه/کابین - ضربه (بازبینی/تعویض پنل)",IF(ISNUMBER(SEARCH("تراز",G134)),"تراز/لرزش - نصب (رگلاژ پایه)",IF(OR(ISNUMBER(SEARCH("تعویض",G134)),ISNUMBER(SEARCH("تعويض",G134))),"تعویض کامل دستگاه (Replacement)","سایر (نیازمند بررسی دستی)")))))))))))))))))))))))))))))))))))))))))))</f>
        <v/>
      </c>
      <c r="P134" s="124" t="inlineStr">
        <is>
          <t>برد تلویزیون</t>
        </is>
      </c>
      <c r="Q134" s="124">
        <f>IF(ISNUMBER(SEARCH("عهده شرکت",F134)),"شرکت",IF(ISNUMBER(SEARCH("عهده مشتري",F134)),"مشتری",IF(ISNUMBER(SEARCH("عهده مشتری",F134)),"مشتری","نامشخص")))</f>
        <v/>
      </c>
      <c r="R134" s="178">
        <f>IF(O134="تعویض کامل دستگاه (Replacement)",IF(SUMIF('قیمت‌ها و مفروضات'!$A$9:$A$13,C134,'قیمت‌ها و مفروضات'!$C$9:$C$13)&lt;&gt;0,SUMIF('قیمت‌ها و مفروضات'!$A$9:$A$13,C134,'قیمت‌ها و مفروضات'!$C$9:$C$13),SUMIF('قیمت‌ها و مفروضات'!$A$9:$A$13,C134,'قیمت‌ها و مفروضات'!$B$9:$B$13)),IF(SUMIF('قیمت‌ها و مفروضات'!$A$18:$A$63,O134,'قیمت‌ها و مفروضات'!$C$18:$C$63)&lt;&gt;0,SUMIF('قیمت‌ها و مفروضات'!$A$18:$A$63,O134,'قیمت‌ها و مفروضات'!$C$18:$C$63),SUMIF('قیمت‌ها و مفروضات'!$A$18:$A$63,O134,'قیمت‌ها و مفروضات'!$B$18:$B$63)))</f>
        <v/>
      </c>
      <c r="S134" s="178">
        <f>'قیمت‌ها و مفروضات'!$B$3+'قیمت‌ها و مفروضات'!$B$4</f>
        <v/>
      </c>
      <c r="T134" s="178">
        <f>R134+S134</f>
        <v/>
      </c>
      <c r="U134" s="178">
        <f>IF(COUNTIF($E$2:E134,E134)&gt;1,"بله (تکراری)","خیر")</f>
        <v/>
      </c>
      <c r="V134" s="178">
        <f>IF(U134="بله (تکراری)",S134,0)</f>
        <v/>
      </c>
      <c r="W134" s="208" t="inlineStr"/>
      <c r="X134" s="208" t="inlineStr"/>
    </row>
    <row r="135" ht="58.5" customHeight="1" s="151">
      <c r="A135" s="176" t="n">
        <v>754522</v>
      </c>
      <c r="B135" s="124">
        <f>CHOOSE(_xlfn.NUMBERVALUE(MID(H135,6,2)),"فروردین","اردیبهشت","خرداد","تیر","مرداد","شهریور","مهر","آبان","آذر","دی","بهمن","اسفند")</f>
        <v/>
      </c>
      <c r="C135" s="176" t="inlineStr">
        <is>
          <t>ماشين ظرفشويي</t>
        </is>
      </c>
      <c r="D135" s="176" t="inlineStr">
        <is>
          <t>CDW-H13V</t>
        </is>
      </c>
      <c r="E135" s="176" t="inlineStr">
        <is>
          <t>210140001N00091</t>
        </is>
      </c>
      <c r="F135" s="173" t="inlineStr">
        <is>
          <t>خطاي F54 اياب و ذهاب به عهده مشتري</t>
        </is>
      </c>
      <c r="G135" s="124" t="inlineStr">
        <is>
          <t>نشتي از مقسم آب</t>
        </is>
      </c>
      <c r="H135" s="176" t="inlineStr">
        <is>
          <t>1405/01/16</t>
        </is>
      </c>
      <c r="I135" s="124" t="inlineStr">
        <is>
          <t>1402/10/21</t>
        </is>
      </c>
      <c r="J135" s="124" t="inlineStr">
        <is>
          <t>1402/12/01</t>
        </is>
      </c>
      <c r="K135" s="177">
        <f>IFERROR(VLOOKUP(LEFT(H135,7),'تبدیل تاریخ'!$A$2:$B$73,2,FALSE())+VALUE(RIGHT(H135,2))-1,"")</f>
        <v/>
      </c>
      <c r="L135" s="177">
        <f>IFERROR(VLOOKUP(LEFT(I135,7),'تبدیل تاریخ'!$A$2:$B$73,2,FALSE())+VALUE(RIGHT(I135,2))-1,"")</f>
        <v/>
      </c>
      <c r="M135" s="177">
        <f>IF(J135="","",IFERROR(VLOOKUP(LEFT(J135,7),'تبدیل تاریخ'!$A$2:$B$73,2,FALSE())+VALUE(RIGHT(J135,2))-1,""))</f>
        <v/>
      </c>
      <c r="N135" s="124">
        <f>IF(OR(K135="",M135=""),"",CEILING((K135-M135)/30,1))</f>
        <v/>
      </c>
      <c r="O135" s="124">
        <f>IF(OR(ISNUMBER(SEARCH("بدون مورد",G135)),ISNUMBER(SEARCH("غير گارانتي",G135)),ISNUMBER(SEARCH("غیر گارانتی",G135)),ISNUMBER(SEARCH("بدون اجرت",G135)),ISNUMBER(SEARCH("فيلتر",G135)),ISNUMBER(SEARCH("فیلتر",G135))),"غیرگارانتی/بدون قطعه",IF(OR(ISNUMBER(SEARCH("ريست",G135)),ISNUMBER(SEARCH("ریست",G135))),"ریست نرم‌افزاری (بدون قطعه)",IF(OR(ISNUMBER(SEARCH("تعویض محصول",G135)),ISNUMBER(SEARCH("تعویض دستگاه",G135))),"تعویض کامل دستگاه (Replacement)",IF(ISNUMBER(SEARCH("پمپ",G135)),IF(ISNUMBER(SEARCH("نشت",G135)),"نشتی - پمپ تخلیه (تعمیر/آب‌بندی)","خرابی - پمپ تخلیه (تعویض)"),IF(ISNUMBER(SEARCH("کمپرسور",G135)),"خرابی - کمپرسور (تعویض)",IF(ISNUMBER(SEARCH("کمک فنر",G135)),"خرابی - کمک فنر (تعویض)",IF(ISNUMBER(SEARCH("لولا",G135)),"مکانیزم درب - لولا (تعویض)",IF(OR(ISNUMBER(SEARCH("قلاب",G135)),ISNUMBER(SEARCH("ميکروسوئيچ",G135)),ISNUMBER(SEARCH("میکروسوئیچ",G135))),"مکانیزم درب - میکروسوئیچ/قلاب (تعویض/تنظیم)",IF(ISNUMBER(SEARCH("زبانه",G135)),"مکانیزم درب - زبانه (تعویض)",IF(OR(ISNUMBER(SEARCH("شيلنگ",G135)),ISNUMBER(SEARCH("شیلنگ",G135))),IF(OR(ISNUMBER(SEARCH("نشتی",G135)),ISNUMBER(SEARCH("نشتي",G135))),"نشتی - شیلنگ (تعمیر/آب‌بندی)",IF(OR(ISNUMBER(SEARCH("يخ",G135)),ISNUMBER(SEARCH("یخ",G135))),"شیلنگ یخساز - یخ‌زدگی (بازبینی)","شیلنگ - برخورد/لهیدگی (بازبینی)")),IF(OR(ISNUMBER(SEARCH("تنظيم ديسپل",G135)),ISNUMBER(SEARCH("تنظیم دیسپل",G135)),ISNUMBER(SEARCH("تنظيم صفحه نمايش",G135)),ISNUMBER(SEARCH("تنظیم صفحه نمایش",G135))),"تنظیم - تنظیمات دستگاه/دیسپلی (تعمیر)",IF(OR(ISNUMBER(SEARCH("برد",G135)),ISNUMBER(SEARCH("سوکت",G135)),ISNUMBER(SEARCH("ديسپل",G135)),ISNUMBER(SEARCH("دیسپل",G135))),"خرابی - برد الکترونیک (تعویض)",IF(OR(ISNUMBER(SEARCH("يخساز",G135)),ISNUMBER(SEARCH("یخساز",G135)),ISNUMBER(SEARCH("دمپر",G135))),IF(OR(ISNUMBER(SEARCH("خرابی",G135)),ISNUMBER(SEARCH("خراب",G135)),ISNUMBER(SEARCH("عدم کارکرد",G135)),ISNUMBER(SEARCH("عدم عملکرد",G135))),"یخساز - خرابی موتور/سنسور/برد (تعویض)","یخساز - تنظیم/عایق (تعمیر)"),IF(OR(ISNUMBER(SEARCH("لاستيک",G135)),ISNUMBER(SEARCH("لاستیک",G135))),"لاستیک درزگیر - دفرمگی/پارگی (تعویض)",IF(OR(ISNUMBER(SEARCH("گسکت",G135)),ISNUMBER(SEARCH("گسگت",G135))),"لاستیک درزگیر - دفرمگی/پارگی (تعویض)",IF(ISNUMBER(SEARCH("مخزن نمک",G135)),"نشتی - درب مخزن نمک (تعمیر/آب‌بندی)",IF(ISNUMBER(SEARCH("براکت",G135)),"نشتی - براکت ریل (تعمیر/آب‌بندی)",IF(ISNUMBER(SEARCH("جاپودر",G135)),"نشتی - جاپودری (تعمیر/آب‌بندی)",IF(ISNUMBER(SEARCH("مقسم",G135)),"نشتی - مقسم آب (تعمیر/آب‌بندی)",IF(OR(ISNUMBER(SEARCH("سنسور دما",G135)),ISNUMBER(SEARCH("ترموستات",G135))),"خرابی - ترموستات (تعویض)",IF(OR(ISNUMBER(SEARCH("هيدروستات",G135)),ISNUMBER(SEARCH("هیدروستات",G135))),"خرابی - هیدروستات (تعویض)",IF(OR(ISNUMBER(SEARCH("بلبرينگ",G135)),ISNUMBER(SEARCH("بلبرینگ",G135))),"خرابی - بلبرینگ (تعویض)",IF(OR(ISNUMBER(SEARCH("شيربرق",G135)),ISNUMBER(SEARCH("شیربرق",G135))),"خرابی - شیربرقی (تعویض)",IF(OR(ISNUMBER(SEARCH("واتر جت",G135)),ISNUMBER(SEARCH("واترجت",G135))),"خرابی - واترجت (تعویض)",IF(OR(ISNUMBER(SEARCH("سيم",G135)),ISNUMBER(SEARCH("سیم",G135)),ISNUMBER(SEARCH("اتصال",G135))),"سیم‌کشی/اتصالات (تعویض/بازبینی)",IF(OR(ISNUMBER(SEARCH("تصوير",G135)),ISNUMBER(SEARCH("تصویر",G135))),"برد نمایش تلویزیون (تعویض)",IF(OR(ISNUMBER(SEARCH("ريموت",G135)),ISNUMBER(SEARCH("ریموت",G135))),"ریموت کنترل (تعویض/تعمیر)",IF(OR(ISNUMBER(SEARCH("ال اي دي",G135)),ISNUMBER(SEARCH("ال ای دی",G135)),ISNUMBER(SEARCH("LED",G135))),"خرابی - لامپ/LED داخلی (تعویض)",IF(ISNUMBER(SEARCH("زنگ زدگ",G135)),"زنگ‌زدگی بدنه/قطعه (تعویض)",IF(OR(ISNUMBER(SEARCH("قطعات تزئين",G135)),ISNUMBER(SEARCH("قطعات تزئین",G135))),"قطعات تزئینی - شکستگی/کسری (تعویض)",IF(ISNUMBER(SEARCH("سبد",G135)),"سبد ظرفشویی - شکستگی (تعویض)",IF(ISNUMBER(SEARCH("تاب درام",G135)),"خرابی - تاب برداشتن درام (تعویض)",IF(ISNUMBER(SEARCH("درام",G135)),"خرابی - سایر ایراد درام (تعویض)",IF(ISNUMBER(SEARCH("موتور",G135)),"خرابی - موتور (تعویض)",IF(ISNUMBER(SEARCH("تسمه",G135)),"خرابی - تسمه (تعویض)",IF(OR(ISNUMBER(SEARCH("پيچ ولوم",G135)),ISNUMBER(SEARCH("پیچ ولوم",G135))),"تنظیم - پیچ ولوم/دکمه (تعمیر)",IF(OR(ISNUMBER(SEARCH("کسري قطعات",G135)),ISNUMBER(SEARCH("کسری قطعات",G135))),"کسری قطعات تزئینی (تعویض)",IF(ISNUMBER(SEARCH("پرچ",G135)),"پرچ/بدنه کابین(تعمیر)",IF(OR(ISNUMBER(SEARCH("نشت",G135)),ISNUMBER(SEARCH("آبريزش",G135)),ISNUMBER(SEARCH("آبریزش",G135))),"نشتی آب - محل نامشخص (نیازمند بازدید)",IF(ISNUMBER(SEARCH("درب",G135)),"سایر اجزای درب (بازبینی)",IF(ISNUMBER(SEARCH("ضربه",G135)),"بدنه/کابین - ضربه (بازبینی/تعویض پنل)",IF(ISNUMBER(SEARCH("تراز",G135)),"تراز/لرزش - نصب (رگلاژ پایه)",IF(OR(ISNUMBER(SEARCH("تعویض",G135)),ISNUMBER(SEARCH("تعويض",G135))),"تعویض کامل دستگاه (Replacement)","سایر (نیازمند بررسی دستی)")))))))))))))))))))))))))))))))))))))))))))</f>
        <v/>
      </c>
      <c r="P135" s="124" t="inlineStr">
        <is>
          <t>*</t>
        </is>
      </c>
      <c r="Q135" s="124">
        <f>IF(ISNUMBER(SEARCH("عهده شرکت",F135)),"شرکت",IF(ISNUMBER(SEARCH("عهده مشتري",F135)),"مشتری",IF(ISNUMBER(SEARCH("عهده مشتری",F135)),"مشتری","نامشخص")))</f>
        <v/>
      </c>
      <c r="R135" s="178">
        <f>IF(O135="تعویض کامل دستگاه (Replacement)",IF(SUMIF('قیمت‌ها و مفروضات'!$A$9:$A$13,C135,'قیمت‌ها و مفروضات'!$C$9:$C$13)&lt;&gt;0,SUMIF('قیمت‌ها و مفروضات'!$A$9:$A$13,C135,'قیمت‌ها و مفروضات'!$C$9:$C$13),SUMIF('قیمت‌ها و مفروضات'!$A$9:$A$13,C135,'قیمت‌ها و مفروضات'!$B$9:$B$13)),IF(SUMIF('قیمت‌ها و مفروضات'!$A$18:$A$63,O135,'قیمت‌ها و مفروضات'!$C$18:$C$63)&lt;&gt;0,SUMIF('قیمت‌ها و مفروضات'!$A$18:$A$63,O135,'قیمت‌ها و مفروضات'!$C$18:$C$63),SUMIF('قیمت‌ها و مفروضات'!$A$18:$A$63,O135,'قیمت‌ها و مفروضات'!$B$18:$B$63)))</f>
        <v/>
      </c>
      <c r="S135" s="178">
        <f>'قیمت‌ها و مفروضات'!$B$3+'قیمت‌ها و مفروضات'!$B$4</f>
        <v/>
      </c>
      <c r="T135" s="178">
        <f>R135+S135</f>
        <v/>
      </c>
      <c r="U135" s="178">
        <f>IF(COUNTIF($E$2:E135,E135)&gt;1,"بله (تکراری)","خیر")</f>
        <v/>
      </c>
      <c r="V135" s="178">
        <f>IF(U135="بله (تکراری)",S135,0)</f>
        <v/>
      </c>
      <c r="W135" s="208" t="inlineStr"/>
      <c r="X135" s="208" t="inlineStr"/>
    </row>
    <row r="136" ht="58.5" customHeight="1" s="151">
      <c r="A136" s="176" t="n">
        <v>759882</v>
      </c>
      <c r="B136" s="124">
        <f>CHOOSE(_xlfn.NUMBERVALUE(MID(H136,6,2)),"فروردین","اردیبهشت","خرداد","تیر","مرداد","شهریور","مهر","آبان","آذر","دی","بهمن","اسفند")</f>
        <v/>
      </c>
      <c r="C136" s="176" t="inlineStr">
        <is>
          <t>ماشين ظرفشويي</t>
        </is>
      </c>
      <c r="D136" s="176" t="inlineStr">
        <is>
          <t>CDW-H16T</t>
        </is>
      </c>
      <c r="E136" s="176" t="inlineStr">
        <is>
          <t>52220005N04785</t>
        </is>
      </c>
      <c r="F136" s="173" t="inlineStr">
        <is>
          <t>خطاي F11**اياب و ذهاب به عهده شرکت</t>
        </is>
      </c>
      <c r="G136" s="173" t="inlineStr">
        <is>
          <t>خرابی پمپ تخلیه</t>
        </is>
      </c>
      <c r="H136" s="176" t="inlineStr">
        <is>
          <t>1405/01/16</t>
        </is>
      </c>
      <c r="I136" s="124" t="inlineStr">
        <is>
          <t>1404/08/22</t>
        </is>
      </c>
      <c r="J136" s="124" t="inlineStr">
        <is>
          <t>1404/09/02</t>
        </is>
      </c>
      <c r="K136" s="177">
        <f>IFERROR(VLOOKUP(LEFT(H136,7),'تبدیل تاریخ'!$A$2:$B$73,2,FALSE())+VALUE(RIGHT(H136,2))-1,"")</f>
        <v/>
      </c>
      <c r="L136" s="177">
        <f>IFERROR(VLOOKUP(LEFT(I136,7),'تبدیل تاریخ'!$A$2:$B$73,2,FALSE())+VALUE(RIGHT(I136,2))-1,"")</f>
        <v/>
      </c>
      <c r="M136" s="177">
        <f>IF(J136="","",IFERROR(VLOOKUP(LEFT(J136,7),'تبدیل تاریخ'!$A$2:$B$73,2,FALSE())+VALUE(RIGHT(J136,2))-1,""))</f>
        <v/>
      </c>
      <c r="N136" s="124">
        <f>IF(OR(K136="",M136=""),"",CEILING((K136-M136)/30,1))</f>
        <v/>
      </c>
      <c r="O136" s="124">
        <f>IF(OR(ISNUMBER(SEARCH("بدون مورد",G136)),ISNUMBER(SEARCH("غير گارانتي",G136)),ISNUMBER(SEARCH("غیر گارانتی",G136)),ISNUMBER(SEARCH("بدون اجرت",G136)),ISNUMBER(SEARCH("فيلتر",G136)),ISNUMBER(SEARCH("فیلتر",G136))),"غیرگارانتی/بدون قطعه",IF(OR(ISNUMBER(SEARCH("ريست",G136)),ISNUMBER(SEARCH("ریست",G136))),"ریست نرم‌افزاری (بدون قطعه)",IF(OR(ISNUMBER(SEARCH("تعویض محصول",G136)),ISNUMBER(SEARCH("تعویض دستگاه",G136))),"تعویض کامل دستگاه (Replacement)",IF(ISNUMBER(SEARCH("پمپ",G136)),IF(ISNUMBER(SEARCH("نشت",G136)),"نشتی - پمپ تخلیه (تعمیر/آب‌بندی)","خرابی - پمپ تخلیه (تعویض)"),IF(ISNUMBER(SEARCH("کمپرسور",G136)),"خرابی - کمپرسور (تعویض)",IF(ISNUMBER(SEARCH("کمک فنر",G136)),"خرابی - کمک فنر (تعویض)",IF(ISNUMBER(SEARCH("لولا",G136)),"مکانیزم درب - لولا (تعویض)",IF(OR(ISNUMBER(SEARCH("قلاب",G136)),ISNUMBER(SEARCH("ميکروسوئيچ",G136)),ISNUMBER(SEARCH("میکروسوئیچ",G136))),"مکانیزم درب - میکروسوئیچ/قلاب (تعویض/تنظیم)",IF(ISNUMBER(SEARCH("زبانه",G136)),"مکانیزم درب - زبانه (تعویض)",IF(OR(ISNUMBER(SEARCH("شيلنگ",G136)),ISNUMBER(SEARCH("شیلنگ",G136))),IF(OR(ISNUMBER(SEARCH("نشتی",G136)),ISNUMBER(SEARCH("نشتي",G136))),"نشتی - شیلنگ (تعمیر/آب‌بندی)",IF(OR(ISNUMBER(SEARCH("يخ",G136)),ISNUMBER(SEARCH("یخ",G136))),"شیلنگ یخساز - یخ‌زدگی (بازبینی)","شیلنگ - برخورد/لهیدگی (بازبینی)")),IF(OR(ISNUMBER(SEARCH("تنظيم ديسپل",G136)),ISNUMBER(SEARCH("تنظیم دیسپل",G136)),ISNUMBER(SEARCH("تنظيم صفحه نمايش",G136)),ISNUMBER(SEARCH("تنظیم صفحه نمایش",G136))),"تنظیم - تنظیمات دستگاه/دیسپلی (تعمیر)",IF(OR(ISNUMBER(SEARCH("برد",G136)),ISNUMBER(SEARCH("سوکت",G136)),ISNUMBER(SEARCH("ديسپل",G136)),ISNUMBER(SEARCH("دیسپل",G136))),"خرابی - برد الکترونیک (تعویض)",IF(OR(ISNUMBER(SEARCH("يخساز",G136)),ISNUMBER(SEARCH("یخساز",G136)),ISNUMBER(SEARCH("دمپر",G136))),IF(OR(ISNUMBER(SEARCH("خرابی",G136)),ISNUMBER(SEARCH("خراب",G136)),ISNUMBER(SEARCH("عدم کارکرد",G136)),ISNUMBER(SEARCH("عدم عملکرد",G136))),"یخساز - خرابی موتور/سنسور/برد (تعویض)","یخساز - تنظیم/عایق (تعمیر)"),IF(OR(ISNUMBER(SEARCH("لاستيک",G136)),ISNUMBER(SEARCH("لاستیک",G136))),"لاستیک درزگیر - دفرمگی/پارگی (تعویض)",IF(OR(ISNUMBER(SEARCH("گسکت",G136)),ISNUMBER(SEARCH("گسگت",G136))),"لاستیک درزگیر - دفرمگی/پارگی (تعویض)",IF(ISNUMBER(SEARCH("مخزن نمک",G136)),"نشتی - درب مخزن نمک (تعمیر/آب‌بندی)",IF(ISNUMBER(SEARCH("براکت",G136)),"نشتی - براکت ریل (تعمیر/آب‌بندی)",IF(ISNUMBER(SEARCH("جاپودر",G136)),"نشتی - جاپودری (تعمیر/آب‌بندی)",IF(ISNUMBER(SEARCH("مقسم",G136)),"نشتی - مقسم آب (تعمیر/آب‌بندی)",IF(OR(ISNUMBER(SEARCH("سنسور دما",G136)),ISNUMBER(SEARCH("ترموستات",G136))),"خرابی - ترموستات (تعویض)",IF(OR(ISNUMBER(SEARCH("هيدروستات",G136)),ISNUMBER(SEARCH("هیدروستات",G136))),"خرابی - هیدروستات (تعویض)",IF(OR(ISNUMBER(SEARCH("بلبرينگ",G136)),ISNUMBER(SEARCH("بلبرینگ",G136))),"خرابی - بلبرینگ (تعویض)",IF(OR(ISNUMBER(SEARCH("شيربرق",G136)),ISNUMBER(SEARCH("شیربرق",G136))),"خرابی - شیربرقی (تعویض)",IF(OR(ISNUMBER(SEARCH("واتر جت",G136)),ISNUMBER(SEARCH("واترجت",G136))),"خرابی - واترجت (تعویض)",IF(OR(ISNUMBER(SEARCH("سيم",G136)),ISNUMBER(SEARCH("سیم",G136)),ISNUMBER(SEARCH("اتصال",G136))),"سیم‌کشی/اتصالات (تعویض/بازبینی)",IF(OR(ISNUMBER(SEARCH("تصوير",G136)),ISNUMBER(SEARCH("تصویر",G136))),"برد نمایش تلویزیون (تعویض)",IF(OR(ISNUMBER(SEARCH("ريموت",G136)),ISNUMBER(SEARCH("ریموت",G136))),"ریموت کنترل (تعویض/تعمیر)",IF(OR(ISNUMBER(SEARCH("ال اي دي",G136)),ISNUMBER(SEARCH("ال ای دی",G136)),ISNUMBER(SEARCH("LED",G136))),"خرابی - لامپ/LED داخلی (تعویض)",IF(ISNUMBER(SEARCH("زنگ زدگ",G136)),"زنگ‌زدگی بدنه/قطعه (تعویض)",IF(OR(ISNUMBER(SEARCH("قطعات تزئين",G136)),ISNUMBER(SEARCH("قطعات تزئین",G136))),"قطعات تزئینی - شکستگی/کسری (تعویض)",IF(ISNUMBER(SEARCH("سبد",G136)),"سبد ظرفشویی - شکستگی (تعویض)",IF(ISNUMBER(SEARCH("تاب درام",G136)),"خرابی - تاب برداشتن درام (تعویض)",IF(ISNUMBER(SEARCH("درام",G136)),"خرابی - سایر ایراد درام (تعویض)",IF(ISNUMBER(SEARCH("موتور",G136)),"خرابی - موتور (تعویض)",IF(ISNUMBER(SEARCH("تسمه",G136)),"خرابی - تسمه (تعویض)",IF(OR(ISNUMBER(SEARCH("پيچ ولوم",G136)),ISNUMBER(SEARCH("پیچ ولوم",G136))),"تنظیم - پیچ ولوم/دکمه (تعمیر)",IF(OR(ISNUMBER(SEARCH("کسري قطعات",G136)),ISNUMBER(SEARCH("کسری قطعات",G136))),"کسری قطعات تزئینی (تعویض)",IF(ISNUMBER(SEARCH("پرچ",G136)),"پرچ/بدنه کابین(تعمیر)",IF(OR(ISNUMBER(SEARCH("نشت",G136)),ISNUMBER(SEARCH("آبريزش",G136)),ISNUMBER(SEARCH("آبریزش",G136))),"نشتی آب - محل نامشخص (نیازمند بازدید)",IF(ISNUMBER(SEARCH("درب",G136)),"سایر اجزای درب (بازبینی)",IF(ISNUMBER(SEARCH("ضربه",G136)),"بدنه/کابین - ضربه (بازبینی/تعویض پنل)",IF(ISNUMBER(SEARCH("تراز",G136)),"تراز/لرزش - نصب (رگلاژ پایه)",IF(OR(ISNUMBER(SEARCH("تعویض",G136)),ISNUMBER(SEARCH("تعويض",G136))),"تعویض کامل دستگاه (Replacement)","سایر (نیازمند بررسی دستی)")))))))))))))))))))))))))))))))))))))))))))</f>
        <v/>
      </c>
      <c r="P136" s="124" t="inlineStr">
        <is>
          <t>پمپ تخلیه ظرفشویی</t>
        </is>
      </c>
      <c r="Q136" s="124">
        <f>IF(ISNUMBER(SEARCH("عهده شرکت",F136)),"شرکت",IF(ISNUMBER(SEARCH("عهده مشتري",F136)),"مشتری",IF(ISNUMBER(SEARCH("عهده مشتری",F136)),"مشتری","نامشخص")))</f>
        <v/>
      </c>
      <c r="R136" s="178">
        <f>IF(O136="تعویض کامل دستگاه (Replacement)",IF(SUMIF('قیمت‌ها و مفروضات'!$A$9:$A$13,C136,'قیمت‌ها و مفروضات'!$C$9:$C$13)&lt;&gt;0,SUMIF('قیمت‌ها و مفروضات'!$A$9:$A$13,C136,'قیمت‌ها و مفروضات'!$C$9:$C$13),SUMIF('قیمت‌ها و مفروضات'!$A$9:$A$13,C136,'قیمت‌ها و مفروضات'!$B$9:$B$13)),IF(SUMIF('قیمت‌ها و مفروضات'!$A$18:$A$63,O136,'قیمت‌ها و مفروضات'!$C$18:$C$63)&lt;&gt;0,SUMIF('قیمت‌ها و مفروضات'!$A$18:$A$63,O136,'قیمت‌ها و مفروضات'!$C$18:$C$63),SUMIF('قیمت‌ها و مفروضات'!$A$18:$A$63,O136,'قیمت‌ها و مفروضات'!$B$18:$B$63)))</f>
        <v/>
      </c>
      <c r="S136" s="178">
        <f>'قیمت‌ها و مفروضات'!$B$3+'قیمت‌ها و مفروضات'!$B$4</f>
        <v/>
      </c>
      <c r="T136" s="178">
        <f>R136+S136</f>
        <v/>
      </c>
      <c r="U136" s="178">
        <f>IF(COUNTIF($E$2:E136,E136)&gt;1,"بله (تکراری)","خیر")</f>
        <v/>
      </c>
      <c r="V136" s="178">
        <f>IF(U136="بله (تکراری)",S136,0)</f>
        <v/>
      </c>
      <c r="W136" s="208" t="inlineStr"/>
      <c r="X136" s="208" t="inlineStr"/>
    </row>
    <row r="137" ht="58.5" customHeight="1" s="151">
      <c r="A137" s="176" t="n">
        <v>510015832</v>
      </c>
      <c r="B137" s="124">
        <f>CHOOSE(_xlfn.NUMBERVALUE(MID(H137,6,2)),"فروردین","اردیبهشت","خرداد","تیر","مرداد","شهریور","مهر","آبان","آذر","دی","بهمن","اسفند")</f>
        <v/>
      </c>
      <c r="C137" s="176" t="inlineStr">
        <is>
          <t>ماشين لباسشويي</t>
        </is>
      </c>
      <c r="D137" s="176" t="inlineStr">
        <is>
          <t>CWM-BMW8T2</t>
        </is>
      </c>
      <c r="E137" s="176" t="inlineStr">
        <is>
          <t>52210009N01186</t>
        </is>
      </c>
      <c r="F137" s="173" t="inlineStr">
        <is>
          <t>صداي غيرعادي هنگام خشک کن**اياب و ذهاب به عهده شرکت**مجدد</t>
        </is>
      </c>
      <c r="G137" s="124" t="inlineStr">
        <is>
          <t>تراز پايه تنظيم</t>
        </is>
      </c>
      <c r="H137" s="176" t="inlineStr">
        <is>
          <t>1405/01/16</t>
        </is>
      </c>
      <c r="I137" s="124" t="inlineStr">
        <is>
          <t>1404/04/19</t>
        </is>
      </c>
      <c r="J137" s="124" t="inlineStr">
        <is>
          <t>1404/04/31</t>
        </is>
      </c>
      <c r="K137" s="177">
        <f>IFERROR(VLOOKUP(LEFT(H137,7),'تبدیل تاریخ'!$A$2:$B$73,2,FALSE())+VALUE(RIGHT(H137,2))-1,"")</f>
        <v/>
      </c>
      <c r="L137" s="177">
        <f>IFERROR(VLOOKUP(LEFT(I137,7),'تبدیل تاریخ'!$A$2:$B$73,2,FALSE())+VALUE(RIGHT(I137,2))-1,"")</f>
        <v/>
      </c>
      <c r="M137" s="177">
        <f>IF(J137="","",IFERROR(VLOOKUP(LEFT(J137,7),'تبدیل تاریخ'!$A$2:$B$73,2,FALSE())+VALUE(RIGHT(J137,2))-1,""))</f>
        <v/>
      </c>
      <c r="N137" s="124">
        <f>IF(OR(K137="",M137=""),"",CEILING((K137-M137)/30,1))</f>
        <v/>
      </c>
      <c r="O137" s="124">
        <f>IF(OR(ISNUMBER(SEARCH("بدون مورد",G137)),ISNUMBER(SEARCH("غير گارانتي",G137)),ISNUMBER(SEARCH("غیر گارانتی",G137)),ISNUMBER(SEARCH("بدون اجرت",G137)),ISNUMBER(SEARCH("فيلتر",G137)),ISNUMBER(SEARCH("فیلتر",G137))),"غیرگارانتی/بدون قطعه",IF(OR(ISNUMBER(SEARCH("ريست",G137)),ISNUMBER(SEARCH("ریست",G137))),"ریست نرم‌افزاری (بدون قطعه)",IF(OR(ISNUMBER(SEARCH("تعویض محصول",G137)),ISNUMBER(SEARCH("تعویض دستگاه",G137))),"تعویض کامل دستگاه (Replacement)",IF(ISNUMBER(SEARCH("پمپ",G137)),IF(ISNUMBER(SEARCH("نشت",G137)),"نشتی - پمپ تخلیه (تعمیر/آب‌بندی)","خرابی - پمپ تخلیه (تعویض)"),IF(ISNUMBER(SEARCH("کمپرسور",G137)),"خرابی - کمپرسور (تعویض)",IF(ISNUMBER(SEARCH("کمک فنر",G137)),"خرابی - کمک فنر (تعویض)",IF(ISNUMBER(SEARCH("لولا",G137)),"مکانیزم درب - لولا (تعویض)",IF(OR(ISNUMBER(SEARCH("قلاب",G137)),ISNUMBER(SEARCH("ميکروسوئيچ",G137)),ISNUMBER(SEARCH("میکروسوئیچ",G137))),"مکانیزم درب - میکروسوئیچ/قلاب (تعویض/تنظیم)",IF(ISNUMBER(SEARCH("زبانه",G137)),"مکانیزم درب - زبانه (تعویض)",IF(OR(ISNUMBER(SEARCH("شيلنگ",G137)),ISNUMBER(SEARCH("شیلنگ",G137))),IF(OR(ISNUMBER(SEARCH("نشتی",G137)),ISNUMBER(SEARCH("نشتي",G137))),"نشتی - شیلنگ (تعمیر/آب‌بندی)",IF(OR(ISNUMBER(SEARCH("يخ",G137)),ISNUMBER(SEARCH("یخ",G137))),"شیلنگ یخساز - یخ‌زدگی (بازبینی)","شیلنگ - برخورد/لهیدگی (بازبینی)")),IF(OR(ISNUMBER(SEARCH("تنظيم ديسپل",G137)),ISNUMBER(SEARCH("تنظیم دیسپل",G137)),ISNUMBER(SEARCH("تنظيم صفحه نمايش",G137)),ISNUMBER(SEARCH("تنظیم صفحه نمایش",G137))),"تنظیم - تنظیمات دستگاه/دیسپلی (تعمیر)",IF(OR(ISNUMBER(SEARCH("برد",G137)),ISNUMBER(SEARCH("سوکت",G137)),ISNUMBER(SEARCH("ديسپل",G137)),ISNUMBER(SEARCH("دیسپل",G137))),"خرابی - برد الکترونیک (تعویض)",IF(OR(ISNUMBER(SEARCH("يخساز",G137)),ISNUMBER(SEARCH("یخساز",G137)),ISNUMBER(SEARCH("دمپر",G137))),IF(OR(ISNUMBER(SEARCH("خرابی",G137)),ISNUMBER(SEARCH("خراب",G137)),ISNUMBER(SEARCH("عدم کارکرد",G137)),ISNUMBER(SEARCH("عدم عملکرد",G137))),"یخساز - خرابی موتور/سنسور/برد (تعویض)","یخساز - تنظیم/عایق (تعمیر)"),IF(OR(ISNUMBER(SEARCH("لاستيک",G137)),ISNUMBER(SEARCH("لاستیک",G137))),"لاستیک درزگیر - دفرمگی/پارگی (تعویض)",IF(OR(ISNUMBER(SEARCH("گسکت",G137)),ISNUMBER(SEARCH("گسگت",G137))),"لاستیک درزگیر - دفرمگی/پارگی (تعویض)",IF(ISNUMBER(SEARCH("مخزن نمک",G137)),"نشتی - درب مخزن نمک (تعمیر/آب‌بندی)",IF(ISNUMBER(SEARCH("براکت",G137)),"نشتی - براکت ریل (تعمیر/آب‌بندی)",IF(ISNUMBER(SEARCH("جاپودر",G137)),"نشتی - جاپودری (تعمیر/آب‌بندی)",IF(ISNUMBER(SEARCH("مقسم",G137)),"نشتی - مقسم آب (تعمیر/آب‌بندی)",IF(OR(ISNUMBER(SEARCH("سنسور دما",G137)),ISNUMBER(SEARCH("ترموستات",G137))),"خرابی - ترموستات (تعویض)",IF(OR(ISNUMBER(SEARCH("هيدروستات",G137)),ISNUMBER(SEARCH("هیدروستات",G137))),"خرابی - هیدروستات (تعویض)",IF(OR(ISNUMBER(SEARCH("بلبرينگ",G137)),ISNUMBER(SEARCH("بلبرینگ",G137))),"خرابی - بلبرینگ (تعویض)",IF(OR(ISNUMBER(SEARCH("شيربرق",G137)),ISNUMBER(SEARCH("شیربرق",G137))),"خرابی - شیربرقی (تعویض)",IF(OR(ISNUMBER(SEARCH("واتر جت",G137)),ISNUMBER(SEARCH("واترجت",G137))),"خرابی - واترجت (تعویض)",IF(OR(ISNUMBER(SEARCH("سيم",G137)),ISNUMBER(SEARCH("سیم",G137)),ISNUMBER(SEARCH("اتصال",G137))),"سیم‌کشی/اتصالات (تعویض/بازبینی)",IF(OR(ISNUMBER(SEARCH("تصوير",G137)),ISNUMBER(SEARCH("تصویر",G137))),"برد نمایش تلویزیون (تعویض)",IF(OR(ISNUMBER(SEARCH("ريموت",G137)),ISNUMBER(SEARCH("ریموت",G137))),"ریموت کنترل (تعویض/تعمیر)",IF(OR(ISNUMBER(SEARCH("ال اي دي",G137)),ISNUMBER(SEARCH("ال ای دی",G137)),ISNUMBER(SEARCH("LED",G137))),"خرابی - لامپ/LED داخلی (تعویض)",IF(ISNUMBER(SEARCH("زنگ زدگ",G137)),"زنگ‌زدگی بدنه/قطعه (تعویض)",IF(OR(ISNUMBER(SEARCH("قطعات تزئين",G137)),ISNUMBER(SEARCH("قطعات تزئین",G137))),"قطعات تزئینی - شکستگی/کسری (تعویض)",IF(ISNUMBER(SEARCH("سبد",G137)),"سبد ظرفشویی - شکستگی (تعویض)",IF(ISNUMBER(SEARCH("تاب درام",G137)),"خرابی - تاب برداشتن درام (تعویض)",IF(ISNUMBER(SEARCH("درام",G137)),"خرابی - سایر ایراد درام (تعویض)",IF(ISNUMBER(SEARCH("موتور",G137)),"خرابی - موتور (تعویض)",IF(ISNUMBER(SEARCH("تسمه",G137)),"خرابی - تسمه (تعویض)",IF(OR(ISNUMBER(SEARCH("پيچ ولوم",G137)),ISNUMBER(SEARCH("پیچ ولوم",G137))),"تنظیم - پیچ ولوم/دکمه (تعمیر)",IF(OR(ISNUMBER(SEARCH("کسري قطعات",G137)),ISNUMBER(SEARCH("کسری قطعات",G137))),"کسری قطعات تزئینی (تعویض)",IF(ISNUMBER(SEARCH("پرچ",G137)),"پرچ/بدنه کابین(تعمیر)",IF(OR(ISNUMBER(SEARCH("نشت",G137)),ISNUMBER(SEARCH("آبريزش",G137)),ISNUMBER(SEARCH("آبریزش",G137))),"نشتی آب - محل نامشخص (نیازمند بازدید)",IF(ISNUMBER(SEARCH("درب",G137)),"سایر اجزای درب (بازبینی)",IF(ISNUMBER(SEARCH("ضربه",G137)),"بدنه/کابین - ضربه (بازبینی/تعویض پنل)",IF(ISNUMBER(SEARCH("تراز",G137)),"تراز/لرزش - نصب (رگلاژ پایه)",IF(OR(ISNUMBER(SEARCH("تعویض",G137)),ISNUMBER(SEARCH("تعويض",G137))),"تعویض کامل دستگاه (Replacement)","سایر (نیازمند بررسی دستی)")))))))))))))))))))))))))))))))))))))))))))</f>
        <v/>
      </c>
      <c r="P137" s="124" t="inlineStr">
        <is>
          <t>رگلاژ پایه تنظیم لباسشویی</t>
        </is>
      </c>
      <c r="Q137" s="124">
        <f>IF(ISNUMBER(SEARCH("عهده شرکت",F137)),"شرکت",IF(ISNUMBER(SEARCH("عهده مشتري",F137)),"مشتری",IF(ISNUMBER(SEARCH("عهده مشتری",F137)),"مشتری","نامشخص")))</f>
        <v/>
      </c>
      <c r="R137" s="178">
        <f>IF(O137="تعویض کامل دستگاه (Replacement)",IF(SUMIF('قیمت‌ها و مفروضات'!$A$9:$A$13,C137,'قیمت‌ها و مفروضات'!$C$9:$C$13)&lt;&gt;0,SUMIF('قیمت‌ها و مفروضات'!$A$9:$A$13,C137,'قیمت‌ها و مفروضات'!$C$9:$C$13),SUMIF('قیمت‌ها و مفروضات'!$A$9:$A$13,C137,'قیمت‌ها و مفروضات'!$B$9:$B$13)),IF(SUMIF('قیمت‌ها و مفروضات'!$A$18:$A$63,O137,'قیمت‌ها و مفروضات'!$C$18:$C$63)&lt;&gt;0,SUMIF('قیمت‌ها و مفروضات'!$A$18:$A$63,O137,'قیمت‌ها و مفروضات'!$C$18:$C$63),SUMIF('قیمت‌ها و مفروضات'!$A$18:$A$63,O137,'قیمت‌ها و مفروضات'!$B$18:$B$63)))</f>
        <v/>
      </c>
      <c r="S137" s="178">
        <f>'قیمت‌ها و مفروضات'!$B$3+'قیمت‌ها و مفروضات'!$B$4</f>
        <v/>
      </c>
      <c r="T137" s="178">
        <f>R137+S137</f>
        <v/>
      </c>
      <c r="U137" s="178">
        <f>IF(COUNTIF($E$2:E137,E137)&gt;1,"بله (تکراری)","خیر")</f>
        <v/>
      </c>
      <c r="V137" s="178">
        <f>IF(U137="بله (تکراری)",S137,0)</f>
        <v/>
      </c>
      <c r="W137" s="208" t="inlineStr"/>
      <c r="X137" s="208" t="inlineStr"/>
    </row>
    <row r="138" ht="58.5" customHeight="1" s="151">
      <c r="A138" s="176" t="n">
        <v>761918</v>
      </c>
      <c r="B138" s="124">
        <f>CHOOSE(_xlfn.NUMBERVALUE(MID(H138,6,2)),"فروردین","اردیبهشت","خرداد","تیر","مرداد","شهریور","مهر","آبان","آذر","دی","بهمن","اسفند")</f>
        <v/>
      </c>
      <c r="C138" s="176" t="inlineStr">
        <is>
          <t>ماشين ظرفشويي</t>
        </is>
      </c>
      <c r="D138" s="176" t="inlineStr">
        <is>
          <t>CDW-H16T</t>
        </is>
      </c>
      <c r="E138" s="176" t="inlineStr">
        <is>
          <t>52220005N00355</t>
        </is>
      </c>
      <c r="F138" s="173" t="inlineStr">
        <is>
          <t>خطاي F11**اياب و ذهاب به عهده مشتري</t>
        </is>
      </c>
      <c r="G138" s="124" t="inlineStr">
        <is>
          <t>نشتي پمپ تخليه</t>
        </is>
      </c>
      <c r="H138" s="176" t="inlineStr">
        <is>
          <t>1405/01/16</t>
        </is>
      </c>
      <c r="I138" s="124" t="inlineStr">
        <is>
          <t>1403/07/27</t>
        </is>
      </c>
      <c r="J138" s="124" t="inlineStr">
        <is>
          <t>1403/12/18</t>
        </is>
      </c>
      <c r="K138" s="177">
        <f>IFERROR(VLOOKUP(LEFT(H138,7),'تبدیل تاریخ'!$A$2:$B$73,2,FALSE())+VALUE(RIGHT(H138,2))-1,"")</f>
        <v/>
      </c>
      <c r="L138" s="177">
        <f>IFERROR(VLOOKUP(LEFT(I138,7),'تبدیل تاریخ'!$A$2:$B$73,2,FALSE())+VALUE(RIGHT(I138,2))-1,"")</f>
        <v/>
      </c>
      <c r="M138" s="177">
        <f>IF(J138="","",IFERROR(VLOOKUP(LEFT(J138,7),'تبدیل تاریخ'!$A$2:$B$73,2,FALSE())+VALUE(RIGHT(J138,2))-1,""))</f>
        <v/>
      </c>
      <c r="N138" s="124">
        <f>IF(OR(K138="",M138=""),"",CEILING((K138-M138)/30,1))</f>
        <v/>
      </c>
      <c r="O138" s="124">
        <f>IF(OR(ISNUMBER(SEARCH("بدون مورد",G138)),ISNUMBER(SEARCH("غير گارانتي",G138)),ISNUMBER(SEARCH("غیر گارانتی",G138)),ISNUMBER(SEARCH("بدون اجرت",G138)),ISNUMBER(SEARCH("فيلتر",G138)),ISNUMBER(SEARCH("فیلتر",G138))),"غیرگارانتی/بدون قطعه",IF(OR(ISNUMBER(SEARCH("ريست",G138)),ISNUMBER(SEARCH("ریست",G138))),"ریست نرم‌افزاری (بدون قطعه)",IF(OR(ISNUMBER(SEARCH("تعویض محصول",G138)),ISNUMBER(SEARCH("تعویض دستگاه",G138))),"تعویض کامل دستگاه (Replacement)",IF(ISNUMBER(SEARCH("پمپ",G138)),IF(ISNUMBER(SEARCH("نشت",G138)),"نشتی - پمپ تخلیه (تعمیر/آب‌بندی)","خرابی - پمپ تخلیه (تعویض)"),IF(ISNUMBER(SEARCH("کمپرسور",G138)),"خرابی - کمپرسور (تعویض)",IF(ISNUMBER(SEARCH("کمک فنر",G138)),"خرابی - کمک فنر (تعویض)",IF(ISNUMBER(SEARCH("لولا",G138)),"مکانیزم درب - لولا (تعویض)",IF(OR(ISNUMBER(SEARCH("قلاب",G138)),ISNUMBER(SEARCH("ميکروسوئيچ",G138)),ISNUMBER(SEARCH("میکروسوئیچ",G138))),"مکانیزم درب - میکروسوئیچ/قلاب (تعویض/تنظیم)",IF(ISNUMBER(SEARCH("زبانه",G138)),"مکانیزم درب - زبانه (تعویض)",IF(OR(ISNUMBER(SEARCH("شيلنگ",G138)),ISNUMBER(SEARCH("شیلنگ",G138))),IF(OR(ISNUMBER(SEARCH("نشتی",G138)),ISNUMBER(SEARCH("نشتي",G138))),"نشتی - شیلنگ (تعمیر/آب‌بندی)",IF(OR(ISNUMBER(SEARCH("يخ",G138)),ISNUMBER(SEARCH("یخ",G138))),"شیلنگ یخساز - یخ‌زدگی (بازبینی)","شیلنگ - برخورد/لهیدگی (بازبینی)")),IF(OR(ISNUMBER(SEARCH("تنظيم ديسپل",G138)),ISNUMBER(SEARCH("تنظیم دیسپل",G138)),ISNUMBER(SEARCH("تنظيم صفحه نمايش",G138)),ISNUMBER(SEARCH("تنظیم صفحه نمایش",G138))),"تنظیم - تنظیمات دستگاه/دیسپلی (تعمیر)",IF(OR(ISNUMBER(SEARCH("برد",G138)),ISNUMBER(SEARCH("سوکت",G138)),ISNUMBER(SEARCH("ديسپل",G138)),ISNUMBER(SEARCH("دیسپل",G138))),"خرابی - برد الکترونیک (تعویض)",IF(OR(ISNUMBER(SEARCH("يخساز",G138)),ISNUMBER(SEARCH("یخساز",G138)),ISNUMBER(SEARCH("دمپر",G138))),IF(OR(ISNUMBER(SEARCH("خرابی",G138)),ISNUMBER(SEARCH("خراب",G138)),ISNUMBER(SEARCH("عدم کارکرد",G138)),ISNUMBER(SEARCH("عدم عملکرد",G138))),"یخساز - خرابی موتور/سنسور/برد (تعویض)","یخساز - تنظیم/عایق (تعمیر)"),IF(OR(ISNUMBER(SEARCH("لاستيک",G138)),ISNUMBER(SEARCH("لاستیک",G138))),"لاستیک درزگیر - دفرمگی/پارگی (تعویض)",IF(OR(ISNUMBER(SEARCH("گسکت",G138)),ISNUMBER(SEARCH("گسگت",G138))),"لاستیک درزگیر - دفرمگی/پارگی (تعویض)",IF(ISNUMBER(SEARCH("مخزن نمک",G138)),"نشتی - درب مخزن نمک (تعمیر/آب‌بندی)",IF(ISNUMBER(SEARCH("براکت",G138)),"نشتی - براکت ریل (تعمیر/آب‌بندی)",IF(ISNUMBER(SEARCH("جاپودر",G138)),"نشتی - جاپودری (تعمیر/آب‌بندی)",IF(ISNUMBER(SEARCH("مقسم",G138)),"نشتی - مقسم آب (تعمیر/آب‌بندی)",IF(OR(ISNUMBER(SEARCH("سنسور دما",G138)),ISNUMBER(SEARCH("ترموستات",G138))),"خرابی - ترموستات (تعویض)",IF(OR(ISNUMBER(SEARCH("هيدروستات",G138)),ISNUMBER(SEARCH("هیدروستات",G138))),"خرابی - هیدروستات (تعویض)",IF(OR(ISNUMBER(SEARCH("بلبرينگ",G138)),ISNUMBER(SEARCH("بلبرینگ",G138))),"خرابی - بلبرینگ (تعویض)",IF(OR(ISNUMBER(SEARCH("شيربرق",G138)),ISNUMBER(SEARCH("شیربرق",G138))),"خرابی - شیربرقی (تعویض)",IF(OR(ISNUMBER(SEARCH("واتر جت",G138)),ISNUMBER(SEARCH("واترجت",G138))),"خرابی - واترجت (تعویض)",IF(OR(ISNUMBER(SEARCH("سيم",G138)),ISNUMBER(SEARCH("سیم",G138)),ISNUMBER(SEARCH("اتصال",G138))),"سیم‌کشی/اتصالات (تعویض/بازبینی)",IF(OR(ISNUMBER(SEARCH("تصوير",G138)),ISNUMBER(SEARCH("تصویر",G138))),"برد نمایش تلویزیون (تعویض)",IF(OR(ISNUMBER(SEARCH("ريموت",G138)),ISNUMBER(SEARCH("ریموت",G138))),"ریموت کنترل (تعویض/تعمیر)",IF(OR(ISNUMBER(SEARCH("ال اي دي",G138)),ISNUMBER(SEARCH("ال ای دی",G138)),ISNUMBER(SEARCH("LED",G138))),"خرابی - لامپ/LED داخلی (تعویض)",IF(ISNUMBER(SEARCH("زنگ زدگ",G138)),"زنگ‌زدگی بدنه/قطعه (تعویض)",IF(OR(ISNUMBER(SEARCH("قطعات تزئين",G138)),ISNUMBER(SEARCH("قطعات تزئین",G138))),"قطعات تزئینی - شکستگی/کسری (تعویض)",IF(ISNUMBER(SEARCH("سبد",G138)),"سبد ظرفشویی - شکستگی (تعویض)",IF(ISNUMBER(SEARCH("تاب درام",G138)),"خرابی - تاب برداشتن درام (تعویض)",IF(ISNUMBER(SEARCH("درام",G138)),"خرابی - سایر ایراد درام (تعویض)",IF(ISNUMBER(SEARCH("موتور",G138)),"خرابی - موتور (تعویض)",IF(ISNUMBER(SEARCH("تسمه",G138)),"خرابی - تسمه (تعویض)",IF(OR(ISNUMBER(SEARCH("پيچ ولوم",G138)),ISNUMBER(SEARCH("پیچ ولوم",G138))),"تنظیم - پیچ ولوم/دکمه (تعمیر)",IF(OR(ISNUMBER(SEARCH("کسري قطعات",G138)),ISNUMBER(SEARCH("کسری قطعات",G138))),"کسری قطعات تزئینی (تعویض)",IF(ISNUMBER(SEARCH("پرچ",G138)),"پرچ/بدنه کابین(تعمیر)",IF(OR(ISNUMBER(SEARCH("نشت",G138)),ISNUMBER(SEARCH("آبريزش",G138)),ISNUMBER(SEARCH("آبریزش",G138))),"نشتی آب - محل نامشخص (نیازمند بازدید)",IF(ISNUMBER(SEARCH("درب",G138)),"سایر اجزای درب (بازبینی)",IF(ISNUMBER(SEARCH("ضربه",G138)),"بدنه/کابین - ضربه (بازبینی/تعویض پنل)",IF(ISNUMBER(SEARCH("تراز",G138)),"تراز/لرزش - نصب (رگلاژ پایه)",IF(OR(ISNUMBER(SEARCH("تعویض",G138)),ISNUMBER(SEARCH("تعويض",G138))),"تعویض کامل دستگاه (Replacement)","سایر (نیازمند بررسی دستی)")))))))))))))))))))))))))))))))))))))))))))</f>
        <v/>
      </c>
      <c r="P138" s="124" t="inlineStr">
        <is>
          <t>نشتی پمپ ظرفشویی</t>
        </is>
      </c>
      <c r="Q138" s="124">
        <f>IF(ISNUMBER(SEARCH("عهده شرکت",F138)),"شرکت",IF(ISNUMBER(SEARCH("عهده مشتري",F138)),"مشتری",IF(ISNUMBER(SEARCH("عهده مشتری",F138)),"مشتری","نامشخص")))</f>
        <v/>
      </c>
      <c r="R138" s="178">
        <f>IF(O138="تعویض کامل دستگاه (Replacement)",IF(SUMIF('قیمت‌ها و مفروضات'!$A$9:$A$13,C138,'قیمت‌ها و مفروضات'!$C$9:$C$13)&lt;&gt;0,SUMIF('قیمت‌ها و مفروضات'!$A$9:$A$13,C138,'قیمت‌ها و مفروضات'!$C$9:$C$13),SUMIF('قیمت‌ها و مفروضات'!$A$9:$A$13,C138,'قیمت‌ها و مفروضات'!$B$9:$B$13)),IF(SUMIF('قیمت‌ها و مفروضات'!$A$18:$A$63,O138,'قیمت‌ها و مفروضات'!$C$18:$C$63)&lt;&gt;0,SUMIF('قیمت‌ها و مفروضات'!$A$18:$A$63,O138,'قیمت‌ها و مفروضات'!$C$18:$C$63),SUMIF('قیمت‌ها و مفروضات'!$A$18:$A$63,O138,'قیمت‌ها و مفروضات'!$B$18:$B$63)))</f>
        <v/>
      </c>
      <c r="S138" s="178">
        <f>'قیمت‌ها و مفروضات'!$B$3+'قیمت‌ها و مفروضات'!$B$4</f>
        <v/>
      </c>
      <c r="T138" s="178">
        <f>R138+S138</f>
        <v/>
      </c>
      <c r="U138" s="178">
        <f>IF(COUNTIF($E$2:E138,E138)&gt;1,"بله (تکراری)","خیر")</f>
        <v/>
      </c>
      <c r="V138" s="178">
        <f>IF(U138="بله (تکراری)",S138,0)</f>
        <v/>
      </c>
      <c r="W138" s="208" t="inlineStr"/>
      <c r="X138" s="208" t="inlineStr"/>
    </row>
    <row r="139" ht="58.5" customHeight="1" s="151">
      <c r="A139" s="176" t="n">
        <v>762205</v>
      </c>
      <c r="B139" s="124">
        <f>CHOOSE(_xlfn.NUMBERVALUE(MID(H139,6,2)),"فروردین","اردیبهشت","خرداد","تیر","مرداد","شهریور","مهر","آبان","آذر","دی","بهمن","اسفند")</f>
        <v/>
      </c>
      <c r="C139" s="176" t="inlineStr">
        <is>
          <t>ماشين لباسشويي</t>
        </is>
      </c>
      <c r="D139" s="176" t="inlineStr">
        <is>
          <t>CWM-BMW8T1</t>
        </is>
      </c>
      <c r="E139" s="176" t="inlineStr">
        <is>
          <t>52210006N00699</t>
        </is>
      </c>
      <c r="F139" s="173" t="inlineStr">
        <is>
          <t>بسته نشدن درب**اياب و ذهاب به عهده مشتري</t>
        </is>
      </c>
      <c r="G139" s="124" t="inlineStr">
        <is>
          <t>خرابي زبانه</t>
        </is>
      </c>
      <c r="H139" s="176" t="inlineStr">
        <is>
          <t>1405/01/16</t>
        </is>
      </c>
      <c r="I139" s="124" t="inlineStr">
        <is>
          <t>1403/02/05</t>
        </is>
      </c>
      <c r="J139" s="124" t="inlineStr">
        <is>
          <t>1403/03/19</t>
        </is>
      </c>
      <c r="K139" s="177">
        <f>IFERROR(VLOOKUP(LEFT(H139,7),'تبدیل تاریخ'!$A$2:$B$73,2,FALSE())+VALUE(RIGHT(H139,2))-1,"")</f>
        <v/>
      </c>
      <c r="L139" s="177">
        <f>IFERROR(VLOOKUP(LEFT(I139,7),'تبدیل تاریخ'!$A$2:$B$73,2,FALSE())+VALUE(RIGHT(I139,2))-1,"")</f>
        <v/>
      </c>
      <c r="M139" s="177">
        <f>IF(J139="","",IFERROR(VLOOKUP(LEFT(J139,7),'تبدیل تاریخ'!$A$2:$B$73,2,FALSE())+VALUE(RIGHT(J139,2))-1,""))</f>
        <v/>
      </c>
      <c r="N139" s="124">
        <f>IF(OR(K139="",M139=""),"",CEILING((K139-M139)/30,1))</f>
        <v/>
      </c>
      <c r="O139" s="124">
        <f>IF(OR(ISNUMBER(SEARCH("بدون مورد",G139)),ISNUMBER(SEARCH("غير گارانتي",G139)),ISNUMBER(SEARCH("غیر گارانتی",G139)),ISNUMBER(SEARCH("بدون اجرت",G139)),ISNUMBER(SEARCH("فيلتر",G139)),ISNUMBER(SEARCH("فیلتر",G139))),"غیرگارانتی/بدون قطعه",IF(OR(ISNUMBER(SEARCH("ريست",G139)),ISNUMBER(SEARCH("ریست",G139))),"ریست نرم‌افزاری (بدون قطعه)",IF(OR(ISNUMBER(SEARCH("تعویض محصول",G139)),ISNUMBER(SEARCH("تعویض دستگاه",G139))),"تعویض کامل دستگاه (Replacement)",IF(ISNUMBER(SEARCH("پمپ",G139)),IF(ISNUMBER(SEARCH("نشت",G139)),"نشتی - پمپ تخلیه (تعمیر/آب‌بندی)","خرابی - پمپ تخلیه (تعویض)"),IF(ISNUMBER(SEARCH("کمپرسور",G139)),"خرابی - کمپرسور (تعویض)",IF(ISNUMBER(SEARCH("کمک فنر",G139)),"خرابی - کمک فنر (تعویض)",IF(ISNUMBER(SEARCH("لولا",G139)),"مکانیزم درب - لولا (تعویض)",IF(OR(ISNUMBER(SEARCH("قلاب",G139)),ISNUMBER(SEARCH("ميکروسوئيچ",G139)),ISNUMBER(SEARCH("میکروسوئیچ",G139))),"مکانیزم درب - میکروسوئیچ/قلاب (تعویض/تنظیم)",IF(ISNUMBER(SEARCH("زبانه",G139)),"مکانیزم درب - زبانه (تعویض)",IF(OR(ISNUMBER(SEARCH("شيلنگ",G139)),ISNUMBER(SEARCH("شیلنگ",G139))),IF(OR(ISNUMBER(SEARCH("نشتی",G139)),ISNUMBER(SEARCH("نشتي",G139))),"نشتی - شیلنگ (تعمیر/آب‌بندی)",IF(OR(ISNUMBER(SEARCH("يخ",G139)),ISNUMBER(SEARCH("یخ",G139))),"شیلنگ یخساز - یخ‌زدگی (بازبینی)","شیلنگ - برخورد/لهیدگی (بازبینی)")),IF(OR(ISNUMBER(SEARCH("تنظيم ديسپل",G139)),ISNUMBER(SEARCH("تنظیم دیسپل",G139)),ISNUMBER(SEARCH("تنظيم صفحه نمايش",G139)),ISNUMBER(SEARCH("تنظیم صفحه نمایش",G139))),"تنظیم - تنظیمات دستگاه/دیسپلی (تعمیر)",IF(OR(ISNUMBER(SEARCH("برد",G139)),ISNUMBER(SEARCH("سوکت",G139)),ISNUMBER(SEARCH("ديسپل",G139)),ISNUMBER(SEARCH("دیسپل",G139))),"خرابی - برد الکترونیک (تعویض)",IF(OR(ISNUMBER(SEARCH("يخساز",G139)),ISNUMBER(SEARCH("یخساز",G139)),ISNUMBER(SEARCH("دمپر",G139))),IF(OR(ISNUMBER(SEARCH("خرابی",G139)),ISNUMBER(SEARCH("خراب",G139)),ISNUMBER(SEARCH("عدم کارکرد",G139)),ISNUMBER(SEARCH("عدم عملکرد",G139))),"یخساز - خرابی موتور/سنسور/برد (تعویض)","یخساز - تنظیم/عایق (تعمیر)"),IF(OR(ISNUMBER(SEARCH("لاستيک",G139)),ISNUMBER(SEARCH("لاستیک",G139))),"لاستیک درزگیر - دفرمگی/پارگی (تعویض)",IF(OR(ISNUMBER(SEARCH("گسکت",G139)),ISNUMBER(SEARCH("گسگت",G139))),"لاستیک درزگیر - دفرمگی/پارگی (تعویض)",IF(ISNUMBER(SEARCH("مخزن نمک",G139)),"نشتی - درب مخزن نمک (تعمیر/آب‌بندی)",IF(ISNUMBER(SEARCH("براکت",G139)),"نشتی - براکت ریل (تعمیر/آب‌بندی)",IF(ISNUMBER(SEARCH("جاپودر",G139)),"نشتی - جاپودری (تعمیر/آب‌بندی)",IF(ISNUMBER(SEARCH("مقسم",G139)),"نشتی - مقسم آب (تعمیر/آب‌بندی)",IF(OR(ISNUMBER(SEARCH("سنسور دما",G139)),ISNUMBER(SEARCH("ترموستات",G139))),"خرابی - ترموستات (تعویض)",IF(OR(ISNUMBER(SEARCH("هيدروستات",G139)),ISNUMBER(SEARCH("هیدروستات",G139))),"خرابی - هیدروستات (تعویض)",IF(OR(ISNUMBER(SEARCH("بلبرينگ",G139)),ISNUMBER(SEARCH("بلبرینگ",G139))),"خرابی - بلبرینگ (تعویض)",IF(OR(ISNUMBER(SEARCH("شيربرق",G139)),ISNUMBER(SEARCH("شیربرق",G139))),"خرابی - شیربرقی (تعویض)",IF(OR(ISNUMBER(SEARCH("واتر جت",G139)),ISNUMBER(SEARCH("واترجت",G139))),"خرابی - واترجت (تعویض)",IF(OR(ISNUMBER(SEARCH("سيم",G139)),ISNUMBER(SEARCH("سیم",G139)),ISNUMBER(SEARCH("اتصال",G139))),"سیم‌کشی/اتصالات (تعویض/بازبینی)",IF(OR(ISNUMBER(SEARCH("تصوير",G139)),ISNUMBER(SEARCH("تصویر",G139))),"برد نمایش تلویزیون (تعویض)",IF(OR(ISNUMBER(SEARCH("ريموت",G139)),ISNUMBER(SEARCH("ریموت",G139))),"ریموت کنترل (تعویض/تعمیر)",IF(OR(ISNUMBER(SEARCH("ال اي دي",G139)),ISNUMBER(SEARCH("ال ای دی",G139)),ISNUMBER(SEARCH("LED",G139))),"خرابی - لامپ/LED داخلی (تعویض)",IF(ISNUMBER(SEARCH("زنگ زدگ",G139)),"زنگ‌زدگی بدنه/قطعه (تعویض)",IF(OR(ISNUMBER(SEARCH("قطعات تزئين",G139)),ISNUMBER(SEARCH("قطعات تزئین",G139))),"قطعات تزئینی - شکستگی/کسری (تعویض)",IF(ISNUMBER(SEARCH("سبد",G139)),"سبد ظرفشویی - شکستگی (تعویض)",IF(ISNUMBER(SEARCH("تاب درام",G139)),"خرابی - تاب برداشتن درام (تعویض)",IF(ISNUMBER(SEARCH("درام",G139)),"خرابی - سایر ایراد درام (تعویض)",IF(ISNUMBER(SEARCH("موتور",G139)),"خرابی - موتور (تعویض)",IF(ISNUMBER(SEARCH("تسمه",G139)),"خرابی - تسمه (تعویض)",IF(OR(ISNUMBER(SEARCH("پيچ ولوم",G139)),ISNUMBER(SEARCH("پیچ ولوم",G139))),"تنظیم - پیچ ولوم/دکمه (تعمیر)",IF(OR(ISNUMBER(SEARCH("کسري قطعات",G139)),ISNUMBER(SEARCH("کسری قطعات",G139))),"کسری قطعات تزئینی (تعویض)",IF(ISNUMBER(SEARCH("پرچ",G139)),"پرچ/بدنه کابین(تعمیر)",IF(OR(ISNUMBER(SEARCH("نشت",G139)),ISNUMBER(SEARCH("آبريزش",G139)),ISNUMBER(SEARCH("آبریزش",G139))),"نشتی آب - محل نامشخص (نیازمند بازدید)",IF(ISNUMBER(SEARCH("درب",G139)),"سایر اجزای درب (بازبینی)",IF(ISNUMBER(SEARCH("ضربه",G139)),"بدنه/کابین - ضربه (بازبینی/تعویض پنل)",IF(ISNUMBER(SEARCH("تراز",G139)),"تراز/لرزش - نصب (رگلاژ پایه)",IF(OR(ISNUMBER(SEARCH("تعویض",G139)),ISNUMBER(SEARCH("تعويض",G139))),"تعویض کامل دستگاه (Replacement)","سایر (نیازمند بررسی دستی)")))))))))))))))))))))))))))))))))))))))))))</f>
        <v/>
      </c>
      <c r="P139" s="124" t="inlineStr">
        <is>
          <t>زبانه درب لباسشویی</t>
        </is>
      </c>
      <c r="Q139" s="124">
        <f>IF(ISNUMBER(SEARCH("عهده شرکت",F139)),"شرکت",IF(ISNUMBER(SEARCH("عهده مشتري",F139)),"مشتری",IF(ISNUMBER(SEARCH("عهده مشتری",F139)),"مشتری","نامشخص")))</f>
        <v/>
      </c>
      <c r="R139" s="178">
        <f>IF(O139="تعویض کامل دستگاه (Replacement)",IF(SUMIF('قیمت‌ها و مفروضات'!$A$9:$A$13,C139,'قیمت‌ها و مفروضات'!$C$9:$C$13)&lt;&gt;0,SUMIF('قیمت‌ها و مفروضات'!$A$9:$A$13,C139,'قیمت‌ها و مفروضات'!$C$9:$C$13),SUMIF('قیمت‌ها و مفروضات'!$A$9:$A$13,C139,'قیمت‌ها و مفروضات'!$B$9:$B$13)),IF(SUMIF('قیمت‌ها و مفروضات'!$A$18:$A$63,O139,'قیمت‌ها و مفروضات'!$C$18:$C$63)&lt;&gt;0,SUMIF('قیمت‌ها و مفروضات'!$A$18:$A$63,O139,'قیمت‌ها و مفروضات'!$C$18:$C$63),SUMIF('قیمت‌ها و مفروضات'!$A$18:$A$63,O139,'قیمت‌ها و مفروضات'!$B$18:$B$63)))</f>
        <v/>
      </c>
      <c r="S139" s="178">
        <f>'قیمت‌ها و مفروضات'!$B$3+'قیمت‌ها و مفروضات'!$B$4</f>
        <v/>
      </c>
      <c r="T139" s="178">
        <f>R139+S139</f>
        <v/>
      </c>
      <c r="U139" s="178">
        <f>IF(COUNTIF($E$2:E139,E139)&gt;1,"بله (تکراری)","خیر")</f>
        <v/>
      </c>
      <c r="V139" s="178">
        <f>IF(U139="بله (تکراری)",S139,0)</f>
        <v/>
      </c>
      <c r="W139" s="208" t="inlineStr"/>
      <c r="X139" s="208" t="inlineStr"/>
    </row>
    <row r="140" ht="58.5" customHeight="1" s="151">
      <c r="A140" s="176" t="n">
        <v>763020</v>
      </c>
      <c r="B140" s="124">
        <f>CHOOSE(_xlfn.NUMBERVALUE(MID(H140,6,2)),"فروردین","اردیبهشت","خرداد","تیر","مرداد","شهریور","مهر","آبان","آذر","دی","بهمن","اسفند")</f>
        <v/>
      </c>
      <c r="C140" s="176" t="inlineStr">
        <is>
          <t>یخچال ساید‌بای‌ساید</t>
        </is>
      </c>
      <c r="D140" s="176" t="inlineStr">
        <is>
          <t>C2S-29HS1</t>
        </is>
      </c>
      <c r="E140" s="176" t="inlineStr">
        <is>
          <t>52240001N02112</t>
        </is>
      </c>
      <c r="F140" s="173" t="inlineStr">
        <is>
          <t>عدم کارکرد يخساز**اياب و ذهاب به عهده شرکت</t>
        </is>
      </c>
      <c r="G140" s="124" t="inlineStr">
        <is>
          <t>تنظيم تايم آبگيري يخساز - سايد باي سايد</t>
        </is>
      </c>
      <c r="H140" s="176" t="inlineStr">
        <is>
          <t>1405/01/17</t>
        </is>
      </c>
      <c r="I140" s="124" t="inlineStr">
        <is>
          <t>1403/09/20</t>
        </is>
      </c>
      <c r="J140" s="124" t="inlineStr">
        <is>
          <t>1404/12/23</t>
        </is>
      </c>
      <c r="K140" s="177">
        <f>IFERROR(VLOOKUP(LEFT(H140,7),'تبدیل تاریخ'!$A$2:$B$73,2,FALSE())+VALUE(RIGHT(H140,2))-1,"")</f>
        <v/>
      </c>
      <c r="L140" s="177">
        <f>IFERROR(VLOOKUP(LEFT(I140,7),'تبدیل تاریخ'!$A$2:$B$73,2,FALSE())+VALUE(RIGHT(I140,2))-1,"")</f>
        <v/>
      </c>
      <c r="M140" s="177">
        <f>IF(J140="","",IFERROR(VLOOKUP(LEFT(J140,7),'تبدیل تاریخ'!$A$2:$B$73,2,FALSE())+VALUE(RIGHT(J140,2))-1,""))</f>
        <v/>
      </c>
      <c r="N140" s="124">
        <f>IF(OR(K140="",M140=""),"",CEILING((K140-M140)/30,1))</f>
        <v/>
      </c>
      <c r="O140" s="124">
        <f>IF(OR(ISNUMBER(SEARCH("بدون مورد",G140)),ISNUMBER(SEARCH("غير گارانتي",G140)),ISNUMBER(SEARCH("غیر گارانتی",G140)),ISNUMBER(SEARCH("بدون اجرت",G140)),ISNUMBER(SEARCH("فيلتر",G140)),ISNUMBER(SEARCH("فیلتر",G140))),"غیرگارانتی/بدون قطعه",IF(OR(ISNUMBER(SEARCH("ريست",G140)),ISNUMBER(SEARCH("ریست",G140))),"ریست نرم‌افزاری (بدون قطعه)",IF(OR(ISNUMBER(SEARCH("تعویض محصول",G140)),ISNUMBER(SEARCH("تعویض دستگاه",G140))),"تعویض کامل دستگاه (Replacement)",IF(ISNUMBER(SEARCH("پمپ",G140)),IF(ISNUMBER(SEARCH("نشت",G140)),"نشتی - پمپ تخلیه (تعمیر/آب‌بندی)","خرابی - پمپ تخلیه (تعویض)"),IF(ISNUMBER(SEARCH("کمپرسور",G140)),"خرابی - کمپرسور (تعویض)",IF(ISNUMBER(SEARCH("کمک فنر",G140)),"خرابی - کمک فنر (تعویض)",IF(ISNUMBER(SEARCH("لولا",G140)),"مکانیزم درب - لولا (تعویض)",IF(OR(ISNUMBER(SEARCH("قلاب",G140)),ISNUMBER(SEARCH("ميکروسوئيچ",G140)),ISNUMBER(SEARCH("میکروسوئیچ",G140))),"مکانیزم درب - میکروسوئیچ/قلاب (تعویض/تنظیم)",IF(ISNUMBER(SEARCH("زبانه",G140)),"مکانیزم درب - زبانه (تعویض)",IF(OR(ISNUMBER(SEARCH("شيلنگ",G140)),ISNUMBER(SEARCH("شیلنگ",G140))),IF(OR(ISNUMBER(SEARCH("نشتی",G140)),ISNUMBER(SEARCH("نشتي",G140))),"نشتی - شیلنگ (تعمیر/آب‌بندی)",IF(OR(ISNUMBER(SEARCH("يخ",G140)),ISNUMBER(SEARCH("یخ",G140))),"شیلنگ یخساز - یخ‌زدگی (بازبینی)","شیلنگ - برخورد/لهیدگی (بازبینی)")),IF(OR(ISNUMBER(SEARCH("تنظيم ديسپل",G140)),ISNUMBER(SEARCH("تنظیم دیسپل",G140)),ISNUMBER(SEARCH("تنظيم صفحه نمايش",G140)),ISNUMBER(SEARCH("تنظیم صفحه نمایش",G140))),"تنظیم - تنظیمات دستگاه/دیسپلی (تعمیر)",IF(OR(ISNUMBER(SEARCH("برد",G140)),ISNUMBER(SEARCH("سوکت",G140)),ISNUMBER(SEARCH("ديسپل",G140)),ISNUMBER(SEARCH("دیسپل",G140))),"خرابی - برد الکترونیک (تعویض)",IF(OR(ISNUMBER(SEARCH("يخساز",G140)),ISNUMBER(SEARCH("یخساز",G140)),ISNUMBER(SEARCH("دمپر",G140))),IF(OR(ISNUMBER(SEARCH("خرابی",G140)),ISNUMBER(SEARCH("خراب",G140)),ISNUMBER(SEARCH("عدم کارکرد",G140)),ISNUMBER(SEARCH("عدم عملکرد",G140))),"یخساز - خرابی موتور/سنسور/برد (تعویض)","یخساز - تنظیم/عایق (تعمیر)"),IF(OR(ISNUMBER(SEARCH("لاستيک",G140)),ISNUMBER(SEARCH("لاستیک",G140))),"لاستیک درزگیر - دفرمگی/پارگی (تعویض)",IF(OR(ISNUMBER(SEARCH("گسکت",G140)),ISNUMBER(SEARCH("گسگت",G140))),"لاستیک درزگیر - دفرمگی/پارگی (تعویض)",IF(ISNUMBER(SEARCH("مخزن نمک",G140)),"نشتی - درب مخزن نمک (تعمیر/آب‌بندی)",IF(ISNUMBER(SEARCH("براکت",G140)),"نشتی - براکت ریل (تعمیر/آب‌بندی)",IF(ISNUMBER(SEARCH("جاپودر",G140)),"نشتی - جاپودری (تعمیر/آب‌بندی)",IF(ISNUMBER(SEARCH("مقسم",G140)),"نشتی - مقسم آب (تعمیر/آب‌بندی)",IF(OR(ISNUMBER(SEARCH("سنسور دما",G140)),ISNUMBER(SEARCH("ترموستات",G140))),"خرابی - ترموستات (تعویض)",IF(OR(ISNUMBER(SEARCH("هيدروستات",G140)),ISNUMBER(SEARCH("هیدروستات",G140))),"خرابی - هیدروستات (تعویض)",IF(OR(ISNUMBER(SEARCH("بلبرينگ",G140)),ISNUMBER(SEARCH("بلبرینگ",G140))),"خرابی - بلبرینگ (تعویض)",IF(OR(ISNUMBER(SEARCH("شيربرق",G140)),ISNUMBER(SEARCH("شیربرق",G140))),"خرابی - شیربرقی (تعویض)",IF(OR(ISNUMBER(SEARCH("واتر جت",G140)),ISNUMBER(SEARCH("واترجت",G140))),"خرابی - واترجت (تعویض)",IF(OR(ISNUMBER(SEARCH("سيم",G140)),ISNUMBER(SEARCH("سیم",G140)),ISNUMBER(SEARCH("اتصال",G140))),"سیم‌کشی/اتصالات (تعویض/بازبینی)",IF(OR(ISNUMBER(SEARCH("تصوير",G140)),ISNUMBER(SEARCH("تصویر",G140))),"برد نمایش تلویزیون (تعویض)",IF(OR(ISNUMBER(SEARCH("ريموت",G140)),ISNUMBER(SEARCH("ریموت",G140))),"ریموت کنترل (تعویض/تعمیر)",IF(OR(ISNUMBER(SEARCH("ال اي دي",G140)),ISNUMBER(SEARCH("ال ای دی",G140)),ISNUMBER(SEARCH("LED",G140))),"خرابی - لامپ/LED داخلی (تعویض)",IF(ISNUMBER(SEARCH("زنگ زدگ",G140)),"زنگ‌زدگی بدنه/قطعه (تعویض)",IF(OR(ISNUMBER(SEARCH("قطعات تزئين",G140)),ISNUMBER(SEARCH("قطعات تزئین",G140))),"قطعات تزئینی - شکستگی/کسری (تعویض)",IF(ISNUMBER(SEARCH("سبد",G140)),"سبد ظرفشویی - شکستگی (تعویض)",IF(ISNUMBER(SEARCH("تاب درام",G140)),"خرابی - تاب برداشتن درام (تعویض)",IF(ISNUMBER(SEARCH("درام",G140)),"خرابی - سایر ایراد درام (تعویض)",IF(ISNUMBER(SEARCH("موتور",G140)),"خرابی - موتور (تعویض)",IF(ISNUMBER(SEARCH("تسمه",G140)),"خرابی - تسمه (تعویض)",IF(OR(ISNUMBER(SEARCH("پيچ ولوم",G140)),ISNUMBER(SEARCH("پیچ ولوم",G140))),"تنظیم - پیچ ولوم/دکمه (تعمیر)",IF(OR(ISNUMBER(SEARCH("کسري قطعات",G140)),ISNUMBER(SEARCH("کسری قطعات",G140))),"کسری قطعات تزئینی (تعویض)",IF(ISNUMBER(SEARCH("پرچ",G140)),"پرچ/بدنه کابین(تعمیر)",IF(OR(ISNUMBER(SEARCH("نشت",G140)),ISNUMBER(SEARCH("آبريزش",G140)),ISNUMBER(SEARCH("آبریزش",G140))),"نشتی آب - محل نامشخص (نیازمند بازدید)",IF(ISNUMBER(SEARCH("درب",G140)),"سایر اجزای درب (بازبینی)",IF(ISNUMBER(SEARCH("ضربه",G140)),"بدنه/کابین - ضربه (بازبینی/تعویض پنل)",IF(ISNUMBER(SEARCH("تراز",G140)),"تراز/لرزش - نصب (رگلاژ پایه)",IF(OR(ISNUMBER(SEARCH("تعویض",G140)),ISNUMBER(SEARCH("تعويض",G140))),"تعویض کامل دستگاه (Replacement)","سایر (نیازمند بررسی دستی)")))))))))))))))))))))))))))))))))))))))))))</f>
        <v/>
      </c>
      <c r="P140" s="124" t="inlineStr">
        <is>
          <t>*</t>
        </is>
      </c>
      <c r="Q140" s="124">
        <f>IF(ISNUMBER(SEARCH("عهده شرکت",F140)),"شرکت",IF(ISNUMBER(SEARCH("عهده مشتري",F140)),"مشتری",IF(ISNUMBER(SEARCH("عهده مشتری",F140)),"مشتری","نامشخص")))</f>
        <v/>
      </c>
      <c r="R140" s="178">
        <f>IF(O140="تعویض کامل دستگاه (Replacement)",IF(SUMIF('قیمت‌ها و مفروضات'!$A$9:$A$13,C140,'قیمت‌ها و مفروضات'!$C$9:$C$13)&lt;&gt;0,SUMIF('قیمت‌ها و مفروضات'!$A$9:$A$13,C140,'قیمت‌ها و مفروضات'!$C$9:$C$13),SUMIF('قیمت‌ها و مفروضات'!$A$9:$A$13,C140,'قیمت‌ها و مفروضات'!$B$9:$B$13)),IF(SUMIF('قیمت‌ها و مفروضات'!$A$18:$A$63,O140,'قیمت‌ها و مفروضات'!$C$18:$C$63)&lt;&gt;0,SUMIF('قیمت‌ها و مفروضات'!$A$18:$A$63,O140,'قیمت‌ها و مفروضات'!$C$18:$C$63),SUMIF('قیمت‌ها و مفروضات'!$A$18:$A$63,O140,'قیمت‌ها و مفروضات'!$B$18:$B$63)))</f>
        <v/>
      </c>
      <c r="S140" s="178">
        <f>'قیمت‌ها و مفروضات'!$B$3+'قیمت‌ها و مفروضات'!$B$4</f>
        <v/>
      </c>
      <c r="T140" s="178">
        <f>R140+S140</f>
        <v/>
      </c>
      <c r="U140" s="178">
        <f>IF(COUNTIF($E$2:E140,E140)&gt;1,"بله (تکراری)","خیر")</f>
        <v/>
      </c>
      <c r="V140" s="178">
        <f>IF(U140="بله (تکراری)",S140,0)</f>
        <v/>
      </c>
      <c r="W140" s="208" t="inlineStr"/>
      <c r="X140" s="208" t="inlineStr"/>
    </row>
    <row r="141" ht="58.5" customHeight="1" s="151">
      <c r="A141" s="176" t="n">
        <v>764154</v>
      </c>
      <c r="B141" s="124">
        <f>CHOOSE(_xlfn.NUMBERVALUE(MID(H141,6,2)),"فروردین","اردیبهشت","خرداد","تیر","مرداد","شهریور","مهر","آبان","آذر","دی","بهمن","اسفند")</f>
        <v/>
      </c>
      <c r="C141" s="176" t="inlineStr">
        <is>
          <t>ماشين ظرفشويي</t>
        </is>
      </c>
      <c r="D141" s="176" t="inlineStr">
        <is>
          <t>CDW-H16T</t>
        </is>
      </c>
      <c r="E141" s="176" t="inlineStr">
        <is>
          <t>52220004N04742</t>
        </is>
      </c>
      <c r="F141" s="173" t="inlineStr">
        <is>
          <t>خطاي F54اياب و ذهاب به عهده شرکت</t>
        </is>
      </c>
      <c r="G141" s="124" t="inlineStr">
        <is>
          <t>نشتي درب مخزن نمک</t>
        </is>
      </c>
      <c r="H141" s="176" t="inlineStr">
        <is>
          <t>1405/01/21</t>
        </is>
      </c>
      <c r="I141" s="124" t="inlineStr">
        <is>
          <t>1404/08/22</t>
        </is>
      </c>
      <c r="J141" s="124" t="inlineStr">
        <is>
          <t>1404/10/11</t>
        </is>
      </c>
      <c r="K141" s="177">
        <f>IFERROR(VLOOKUP(LEFT(H141,7),'تبدیل تاریخ'!$A$2:$B$73,2,FALSE())+VALUE(RIGHT(H141,2))-1,"")</f>
        <v/>
      </c>
      <c r="L141" s="177">
        <f>IFERROR(VLOOKUP(LEFT(I141,7),'تبدیل تاریخ'!$A$2:$B$73,2,FALSE())+VALUE(RIGHT(I141,2))-1,"")</f>
        <v/>
      </c>
      <c r="M141" s="177">
        <f>IF(J141="","",IFERROR(VLOOKUP(LEFT(J141,7),'تبدیل تاریخ'!$A$2:$B$73,2,FALSE())+VALUE(RIGHT(J141,2))-1,""))</f>
        <v/>
      </c>
      <c r="N141" s="124">
        <f>IF(OR(K141="",M141=""),"",CEILING((K141-M141)/30,1))</f>
        <v/>
      </c>
      <c r="O141" s="124">
        <f>IF(OR(ISNUMBER(SEARCH("بدون مورد",G141)),ISNUMBER(SEARCH("غير گارانتي",G141)),ISNUMBER(SEARCH("غیر گارانتی",G141)),ISNUMBER(SEARCH("بدون اجرت",G141)),ISNUMBER(SEARCH("فيلتر",G141)),ISNUMBER(SEARCH("فیلتر",G141))),"غیرگارانتی/بدون قطعه",IF(OR(ISNUMBER(SEARCH("ريست",G141)),ISNUMBER(SEARCH("ریست",G141))),"ریست نرم‌افزاری (بدون قطعه)",IF(OR(ISNUMBER(SEARCH("تعویض محصول",G141)),ISNUMBER(SEARCH("تعویض دستگاه",G141))),"تعویض کامل دستگاه (Replacement)",IF(ISNUMBER(SEARCH("پمپ",G141)),IF(ISNUMBER(SEARCH("نشت",G141)),"نشتی - پمپ تخلیه (تعمیر/آب‌بندی)","خرابی - پمپ تخلیه (تعویض)"),IF(ISNUMBER(SEARCH("کمپرسور",G141)),"خرابی - کمپرسور (تعویض)",IF(ISNUMBER(SEARCH("کمک فنر",G141)),"خرابی - کمک فنر (تعویض)",IF(ISNUMBER(SEARCH("لولا",G141)),"مکانیزم درب - لولا (تعویض)",IF(OR(ISNUMBER(SEARCH("قلاب",G141)),ISNUMBER(SEARCH("ميکروسوئيچ",G141)),ISNUMBER(SEARCH("میکروسوئیچ",G141))),"مکانیزم درب - میکروسوئیچ/قلاب (تعویض/تنظیم)",IF(ISNUMBER(SEARCH("زبانه",G141)),"مکانیزم درب - زبانه (تعویض)",IF(OR(ISNUMBER(SEARCH("شيلنگ",G141)),ISNUMBER(SEARCH("شیلنگ",G141))),IF(OR(ISNUMBER(SEARCH("نشتی",G141)),ISNUMBER(SEARCH("نشتي",G141))),"نشتی - شیلنگ (تعمیر/آب‌بندی)",IF(OR(ISNUMBER(SEARCH("يخ",G141)),ISNUMBER(SEARCH("یخ",G141))),"شیلنگ یخساز - یخ‌زدگی (بازبینی)","شیلنگ - برخورد/لهیدگی (بازبینی)")),IF(OR(ISNUMBER(SEARCH("تنظيم ديسپل",G141)),ISNUMBER(SEARCH("تنظیم دیسپل",G141)),ISNUMBER(SEARCH("تنظيم صفحه نمايش",G141)),ISNUMBER(SEARCH("تنظیم صفحه نمایش",G141))),"تنظیم - تنظیمات دستگاه/دیسپلی (تعمیر)",IF(OR(ISNUMBER(SEARCH("برد",G141)),ISNUMBER(SEARCH("سوکت",G141)),ISNUMBER(SEARCH("ديسپل",G141)),ISNUMBER(SEARCH("دیسپل",G141))),"خرابی - برد الکترونیک (تعویض)",IF(OR(ISNUMBER(SEARCH("يخساز",G141)),ISNUMBER(SEARCH("یخساز",G141)),ISNUMBER(SEARCH("دمپر",G141))),IF(OR(ISNUMBER(SEARCH("خرابی",G141)),ISNUMBER(SEARCH("خراب",G141)),ISNUMBER(SEARCH("عدم کارکرد",G141)),ISNUMBER(SEARCH("عدم عملکرد",G141))),"یخساز - خرابی موتور/سنسور/برد (تعویض)","یخساز - تنظیم/عایق (تعمیر)"),IF(OR(ISNUMBER(SEARCH("لاستيک",G141)),ISNUMBER(SEARCH("لاستیک",G141))),"لاستیک درزگیر - دفرمگی/پارگی (تعویض)",IF(OR(ISNUMBER(SEARCH("گسکت",G141)),ISNUMBER(SEARCH("گسگت",G141))),"لاستیک درزگیر - دفرمگی/پارگی (تعویض)",IF(ISNUMBER(SEARCH("مخزن نمک",G141)),"نشتی - درب مخزن نمک (تعمیر/آب‌بندی)",IF(ISNUMBER(SEARCH("براکت",G141)),"نشتی - براکت ریل (تعمیر/آب‌بندی)",IF(ISNUMBER(SEARCH("جاپودر",G141)),"نشتی - جاپودری (تعمیر/آب‌بندی)",IF(ISNUMBER(SEARCH("مقسم",G141)),"نشتی - مقسم آب (تعمیر/آب‌بندی)",IF(OR(ISNUMBER(SEARCH("سنسور دما",G141)),ISNUMBER(SEARCH("ترموستات",G141))),"خرابی - ترموستات (تعویض)",IF(OR(ISNUMBER(SEARCH("هيدروستات",G141)),ISNUMBER(SEARCH("هیدروستات",G141))),"خرابی - هیدروستات (تعویض)",IF(OR(ISNUMBER(SEARCH("بلبرينگ",G141)),ISNUMBER(SEARCH("بلبرینگ",G141))),"خرابی - بلبرینگ (تعویض)",IF(OR(ISNUMBER(SEARCH("شيربرق",G141)),ISNUMBER(SEARCH("شیربرق",G141))),"خرابی - شیربرقی (تعویض)",IF(OR(ISNUMBER(SEARCH("واتر جت",G141)),ISNUMBER(SEARCH("واترجت",G141))),"خرابی - واترجت (تعویض)",IF(OR(ISNUMBER(SEARCH("سيم",G141)),ISNUMBER(SEARCH("سیم",G141)),ISNUMBER(SEARCH("اتصال",G141))),"سیم‌کشی/اتصالات (تعویض/بازبینی)",IF(OR(ISNUMBER(SEARCH("تصوير",G141)),ISNUMBER(SEARCH("تصویر",G141))),"برد نمایش تلویزیون (تعویض)",IF(OR(ISNUMBER(SEARCH("ريموت",G141)),ISNUMBER(SEARCH("ریموت",G141))),"ریموت کنترل (تعویض/تعمیر)",IF(OR(ISNUMBER(SEARCH("ال اي دي",G141)),ISNUMBER(SEARCH("ال ای دی",G141)),ISNUMBER(SEARCH("LED",G141))),"خرابی - لامپ/LED داخلی (تعویض)",IF(ISNUMBER(SEARCH("زنگ زدگ",G141)),"زنگ‌زدگی بدنه/قطعه (تعویض)",IF(OR(ISNUMBER(SEARCH("قطعات تزئين",G141)),ISNUMBER(SEARCH("قطعات تزئین",G141))),"قطعات تزئینی - شکستگی/کسری (تعویض)",IF(ISNUMBER(SEARCH("سبد",G141)),"سبد ظرفشویی - شکستگی (تعویض)",IF(ISNUMBER(SEARCH("تاب درام",G141)),"خرابی - تاب برداشتن درام (تعویض)",IF(ISNUMBER(SEARCH("درام",G141)),"خرابی - سایر ایراد درام (تعویض)",IF(ISNUMBER(SEARCH("موتور",G141)),"خرابی - موتور (تعویض)",IF(ISNUMBER(SEARCH("تسمه",G141)),"خرابی - تسمه (تعویض)",IF(OR(ISNUMBER(SEARCH("پيچ ولوم",G141)),ISNUMBER(SEARCH("پیچ ولوم",G141))),"تنظیم - پیچ ولوم/دکمه (تعمیر)",IF(OR(ISNUMBER(SEARCH("کسري قطعات",G141)),ISNUMBER(SEARCH("کسری قطعات",G141))),"کسری قطعات تزئینی (تعویض)",IF(ISNUMBER(SEARCH("پرچ",G141)),"پرچ/بدنه کابین(تعمیر)",IF(OR(ISNUMBER(SEARCH("نشت",G141)),ISNUMBER(SEARCH("آبريزش",G141)),ISNUMBER(SEARCH("آبریزش",G141))),"نشتی آب - محل نامشخص (نیازمند بازدید)",IF(ISNUMBER(SEARCH("درب",G141)),"سایر اجزای درب (بازبینی)",IF(ISNUMBER(SEARCH("ضربه",G141)),"بدنه/کابین - ضربه (بازبینی/تعویض پنل)",IF(ISNUMBER(SEARCH("تراز",G141)),"تراز/لرزش - نصب (رگلاژ پایه)",IF(OR(ISNUMBER(SEARCH("تعویض",G141)),ISNUMBER(SEARCH("تعويض",G141))),"تعویض کامل دستگاه (Replacement)","سایر (نیازمند بررسی دستی)")))))))))))))))))))))))))))))))))))))))))))</f>
        <v/>
      </c>
      <c r="P141" s="124" t="inlineStr">
        <is>
          <t>*</t>
        </is>
      </c>
      <c r="Q141" s="124">
        <f>IF(ISNUMBER(SEARCH("عهده شرکت",F141)),"شرکت",IF(ISNUMBER(SEARCH("عهده مشتري",F141)),"مشتری",IF(ISNUMBER(SEARCH("عهده مشتری",F141)),"مشتری","نامشخص")))</f>
        <v/>
      </c>
      <c r="R141" s="178">
        <f>IF(O141="تعویض کامل دستگاه (Replacement)",IF(SUMIF('قیمت‌ها و مفروضات'!$A$9:$A$13,C141,'قیمت‌ها و مفروضات'!$C$9:$C$13)&lt;&gt;0,SUMIF('قیمت‌ها و مفروضات'!$A$9:$A$13,C141,'قیمت‌ها و مفروضات'!$C$9:$C$13),SUMIF('قیمت‌ها و مفروضات'!$A$9:$A$13,C141,'قیمت‌ها و مفروضات'!$B$9:$B$13)),IF(SUMIF('قیمت‌ها و مفروضات'!$A$18:$A$63,O141,'قیمت‌ها و مفروضات'!$C$18:$C$63)&lt;&gt;0,SUMIF('قیمت‌ها و مفروضات'!$A$18:$A$63,O141,'قیمت‌ها و مفروضات'!$C$18:$C$63),SUMIF('قیمت‌ها و مفروضات'!$A$18:$A$63,O141,'قیمت‌ها و مفروضات'!$B$18:$B$63)))</f>
        <v/>
      </c>
      <c r="S141" s="178">
        <f>'قیمت‌ها و مفروضات'!$B$3+'قیمت‌ها و مفروضات'!$B$4</f>
        <v/>
      </c>
      <c r="T141" s="178">
        <f>R141+S141</f>
        <v/>
      </c>
      <c r="U141" s="178">
        <f>IF(COUNTIF($E$2:E141,E141)&gt;1,"بله (تکراری)","خیر")</f>
        <v/>
      </c>
      <c r="V141" s="178">
        <f>IF(U141="بله (تکراری)",S141,0)</f>
        <v/>
      </c>
      <c r="W141" s="208" t="inlineStr"/>
      <c r="X141" s="208" t="inlineStr"/>
    </row>
    <row r="142" ht="58.5" customHeight="1" s="151">
      <c r="A142" s="176" t="n">
        <v>764320</v>
      </c>
      <c r="B142" s="124">
        <f>CHOOSE(_xlfn.NUMBERVALUE(MID(H142,6,2)),"فروردین","اردیبهشت","خرداد","تیر","مرداد","شهریور","مهر","آبان","آذر","دی","بهمن","اسفند")</f>
        <v/>
      </c>
      <c r="C142" s="176" t="inlineStr">
        <is>
          <t>یخچال ساید‌بای‌ساید</t>
        </is>
      </c>
      <c r="D142" s="176" t="inlineStr">
        <is>
          <t>C2S-29HS1</t>
        </is>
      </c>
      <c r="E142" s="176" t="inlineStr">
        <is>
          <t>52240001N01950</t>
        </is>
      </c>
      <c r="F142" s="173" t="inlineStr">
        <is>
          <t>عدم کارکرد يخساز**اياب و ذهاب به عهده شرکت</t>
        </is>
      </c>
      <c r="G142" s="124" t="inlineStr">
        <is>
          <t>يخزدگي شيلنگ داخل درب - سايد باي سايد</t>
        </is>
      </c>
      <c r="H142" s="176" t="inlineStr">
        <is>
          <t>1405/01/22</t>
        </is>
      </c>
      <c r="I142" s="124" t="inlineStr">
        <is>
          <t>1403/09/07</t>
        </is>
      </c>
      <c r="J142" s="124" t="inlineStr">
        <is>
          <t>1404/05/05</t>
        </is>
      </c>
      <c r="K142" s="177">
        <f>IFERROR(VLOOKUP(LEFT(H142,7),'تبدیل تاریخ'!$A$2:$B$73,2,FALSE())+VALUE(RIGHT(H142,2))-1,"")</f>
        <v/>
      </c>
      <c r="L142" s="177">
        <f>IFERROR(VLOOKUP(LEFT(I142,7),'تبدیل تاریخ'!$A$2:$B$73,2,FALSE())+VALUE(RIGHT(I142,2))-1,"")</f>
        <v/>
      </c>
      <c r="M142" s="177">
        <f>IF(J142="","",IFERROR(VLOOKUP(LEFT(J142,7),'تبدیل تاریخ'!$A$2:$B$73,2,FALSE())+VALUE(RIGHT(J142,2))-1,""))</f>
        <v/>
      </c>
      <c r="N142" s="124">
        <f>IF(OR(K142="",M142=""),"",CEILING((K142-M142)/30,1))</f>
        <v/>
      </c>
      <c r="O142" s="124">
        <f>IF(OR(ISNUMBER(SEARCH("بدون مورد",G142)),ISNUMBER(SEARCH("غير گارانتي",G142)),ISNUMBER(SEARCH("غیر گارانتی",G142)),ISNUMBER(SEARCH("بدون اجرت",G142)),ISNUMBER(SEARCH("فيلتر",G142)),ISNUMBER(SEARCH("فیلتر",G142))),"غیرگارانتی/بدون قطعه",IF(OR(ISNUMBER(SEARCH("ريست",G142)),ISNUMBER(SEARCH("ریست",G142))),"ریست نرم‌افزاری (بدون قطعه)",IF(OR(ISNUMBER(SEARCH("تعویض محصول",G142)),ISNUMBER(SEARCH("تعویض دستگاه",G142))),"تعویض کامل دستگاه (Replacement)",IF(ISNUMBER(SEARCH("پمپ",G142)),IF(ISNUMBER(SEARCH("نشت",G142)),"نشتی - پمپ تخلیه (تعمیر/آب‌بندی)","خرابی - پمپ تخلیه (تعویض)"),IF(ISNUMBER(SEARCH("کمپرسور",G142)),"خرابی - کمپرسور (تعویض)",IF(ISNUMBER(SEARCH("کمک فنر",G142)),"خرابی - کمک فنر (تعویض)",IF(ISNUMBER(SEARCH("لولا",G142)),"مکانیزم درب - لولا (تعویض)",IF(OR(ISNUMBER(SEARCH("قلاب",G142)),ISNUMBER(SEARCH("ميکروسوئيچ",G142)),ISNUMBER(SEARCH("میکروسوئیچ",G142))),"مکانیزم درب - میکروسوئیچ/قلاب (تعویض/تنظیم)",IF(ISNUMBER(SEARCH("زبانه",G142)),"مکانیزم درب - زبانه (تعویض)",IF(OR(ISNUMBER(SEARCH("شيلنگ",G142)),ISNUMBER(SEARCH("شیلنگ",G142))),IF(OR(ISNUMBER(SEARCH("نشتی",G142)),ISNUMBER(SEARCH("نشتي",G142))),"نشتی - شیلنگ (تعمیر/آب‌بندی)",IF(OR(ISNUMBER(SEARCH("يخ",G142)),ISNUMBER(SEARCH("یخ",G142))),"شیلنگ یخساز - یخ‌زدگی (بازبینی)","شیلنگ - برخورد/لهیدگی (بازبینی)")),IF(OR(ISNUMBER(SEARCH("تنظيم ديسپل",G142)),ISNUMBER(SEARCH("تنظیم دیسپل",G142)),ISNUMBER(SEARCH("تنظيم صفحه نمايش",G142)),ISNUMBER(SEARCH("تنظیم صفحه نمایش",G142))),"تنظیم - تنظیمات دستگاه/دیسپلی (تعمیر)",IF(OR(ISNUMBER(SEARCH("برد",G142)),ISNUMBER(SEARCH("سوکت",G142)),ISNUMBER(SEARCH("ديسپل",G142)),ISNUMBER(SEARCH("دیسپل",G142))),"خرابی - برد الکترونیک (تعویض)",IF(OR(ISNUMBER(SEARCH("يخساز",G142)),ISNUMBER(SEARCH("یخساز",G142)),ISNUMBER(SEARCH("دمپر",G142))),IF(OR(ISNUMBER(SEARCH("خرابی",G142)),ISNUMBER(SEARCH("خراب",G142)),ISNUMBER(SEARCH("عدم کارکرد",G142)),ISNUMBER(SEARCH("عدم عملکرد",G142))),"یخساز - خرابی موتور/سنسور/برد (تعویض)","یخساز - تنظیم/عایق (تعمیر)"),IF(OR(ISNUMBER(SEARCH("لاستيک",G142)),ISNUMBER(SEARCH("لاستیک",G142))),"لاستیک درزگیر - دفرمگی/پارگی (تعویض)",IF(OR(ISNUMBER(SEARCH("گسکت",G142)),ISNUMBER(SEARCH("گسگت",G142))),"لاستیک درزگیر - دفرمگی/پارگی (تعویض)",IF(ISNUMBER(SEARCH("مخزن نمک",G142)),"نشتی - درب مخزن نمک (تعمیر/آب‌بندی)",IF(ISNUMBER(SEARCH("براکت",G142)),"نشتی - براکت ریل (تعمیر/آب‌بندی)",IF(ISNUMBER(SEARCH("جاپودر",G142)),"نشتی - جاپودری (تعمیر/آب‌بندی)",IF(ISNUMBER(SEARCH("مقسم",G142)),"نشتی - مقسم آب (تعمیر/آب‌بندی)",IF(OR(ISNUMBER(SEARCH("سنسور دما",G142)),ISNUMBER(SEARCH("ترموستات",G142))),"خرابی - ترموستات (تعویض)",IF(OR(ISNUMBER(SEARCH("هيدروستات",G142)),ISNUMBER(SEARCH("هیدروستات",G142))),"خرابی - هیدروستات (تعویض)",IF(OR(ISNUMBER(SEARCH("بلبرينگ",G142)),ISNUMBER(SEARCH("بلبرینگ",G142))),"خرابی - بلبرینگ (تعویض)",IF(OR(ISNUMBER(SEARCH("شيربرق",G142)),ISNUMBER(SEARCH("شیربرق",G142))),"خرابی - شیربرقی (تعویض)",IF(OR(ISNUMBER(SEARCH("واتر جت",G142)),ISNUMBER(SEARCH("واترجت",G142))),"خرابی - واترجت (تعویض)",IF(OR(ISNUMBER(SEARCH("سيم",G142)),ISNUMBER(SEARCH("سیم",G142)),ISNUMBER(SEARCH("اتصال",G142))),"سیم‌کشی/اتصالات (تعویض/بازبینی)",IF(OR(ISNUMBER(SEARCH("تصوير",G142)),ISNUMBER(SEARCH("تصویر",G142))),"برد نمایش تلویزیون (تعویض)",IF(OR(ISNUMBER(SEARCH("ريموت",G142)),ISNUMBER(SEARCH("ریموت",G142))),"ریموت کنترل (تعویض/تعمیر)",IF(OR(ISNUMBER(SEARCH("ال اي دي",G142)),ISNUMBER(SEARCH("ال ای دی",G142)),ISNUMBER(SEARCH("LED",G142))),"خرابی - لامپ/LED داخلی (تعویض)",IF(ISNUMBER(SEARCH("زنگ زدگ",G142)),"زنگ‌زدگی بدنه/قطعه (تعویض)",IF(OR(ISNUMBER(SEARCH("قطعات تزئين",G142)),ISNUMBER(SEARCH("قطعات تزئین",G142))),"قطعات تزئینی - شکستگی/کسری (تعویض)",IF(ISNUMBER(SEARCH("سبد",G142)),"سبد ظرفشویی - شکستگی (تعویض)",IF(ISNUMBER(SEARCH("تاب درام",G142)),"خرابی - تاب برداشتن درام (تعویض)",IF(ISNUMBER(SEARCH("درام",G142)),"خرابی - سایر ایراد درام (تعویض)",IF(ISNUMBER(SEARCH("موتور",G142)),"خرابی - موتور (تعویض)",IF(ISNUMBER(SEARCH("تسمه",G142)),"خرابی - تسمه (تعویض)",IF(OR(ISNUMBER(SEARCH("پيچ ولوم",G142)),ISNUMBER(SEARCH("پیچ ولوم",G142))),"تنظیم - پیچ ولوم/دکمه (تعمیر)",IF(OR(ISNUMBER(SEARCH("کسري قطعات",G142)),ISNUMBER(SEARCH("کسری قطعات",G142))),"کسری قطعات تزئینی (تعویض)",IF(ISNUMBER(SEARCH("پرچ",G142)),"پرچ/بدنه کابین(تعمیر)",IF(OR(ISNUMBER(SEARCH("نشت",G142)),ISNUMBER(SEARCH("آبريزش",G142)),ISNUMBER(SEARCH("آبریزش",G142))),"نشتی آب - محل نامشخص (نیازمند بازدید)",IF(ISNUMBER(SEARCH("درب",G142)),"سایر اجزای درب (بازبینی)",IF(ISNUMBER(SEARCH("ضربه",G142)),"بدنه/کابین - ضربه (بازبینی/تعویض پنل)",IF(ISNUMBER(SEARCH("تراز",G142)),"تراز/لرزش - نصب (رگلاژ پایه)",IF(OR(ISNUMBER(SEARCH("تعویض",G142)),ISNUMBER(SEARCH("تعويض",G142))),"تعویض کامل دستگاه (Replacement)","سایر (نیازمند بررسی دستی)")))))))))))))))))))))))))))))))))))))))))))</f>
        <v/>
      </c>
      <c r="P142" s="124" t="inlineStr">
        <is>
          <t>*</t>
        </is>
      </c>
      <c r="Q142" s="124">
        <f>IF(ISNUMBER(SEARCH("عهده شرکت",F142)),"شرکت",IF(ISNUMBER(SEARCH("عهده مشتري",F142)),"مشتری",IF(ISNUMBER(SEARCH("عهده مشتری",F142)),"مشتری","نامشخص")))</f>
        <v/>
      </c>
      <c r="R142" s="178">
        <f>IF(O142="تعویض کامل دستگاه (Replacement)",IF(SUMIF('قیمت‌ها و مفروضات'!$A$9:$A$13,C142,'قیمت‌ها و مفروضات'!$C$9:$C$13)&lt;&gt;0,SUMIF('قیمت‌ها و مفروضات'!$A$9:$A$13,C142,'قیمت‌ها و مفروضات'!$C$9:$C$13),SUMIF('قیمت‌ها و مفروضات'!$A$9:$A$13,C142,'قیمت‌ها و مفروضات'!$B$9:$B$13)),IF(SUMIF('قیمت‌ها و مفروضات'!$A$18:$A$63,O142,'قیمت‌ها و مفروضات'!$C$18:$C$63)&lt;&gt;0,SUMIF('قیمت‌ها و مفروضات'!$A$18:$A$63,O142,'قیمت‌ها و مفروضات'!$C$18:$C$63),SUMIF('قیمت‌ها و مفروضات'!$A$18:$A$63,O142,'قیمت‌ها و مفروضات'!$B$18:$B$63)))</f>
        <v/>
      </c>
      <c r="S142" s="178">
        <f>'قیمت‌ها و مفروضات'!$B$3+'قیمت‌ها و مفروضات'!$B$4</f>
        <v/>
      </c>
      <c r="T142" s="178">
        <f>R142+S142</f>
        <v/>
      </c>
      <c r="U142" s="178">
        <f>IF(COUNTIF($E$2:E142,E142)&gt;1,"بله (تکراری)","خیر")</f>
        <v/>
      </c>
      <c r="V142" s="178">
        <f>IF(U142="بله (تکراری)",S142,0)</f>
        <v/>
      </c>
      <c r="W142" s="208" t="inlineStr"/>
      <c r="X142" s="208" t="inlineStr"/>
    </row>
    <row r="143" ht="58.5" customHeight="1" s="151">
      <c r="A143" s="176" t="n">
        <v>764462</v>
      </c>
      <c r="B143" s="124">
        <f>CHOOSE(_xlfn.NUMBERVALUE(MID(H143,6,2)),"فروردین","اردیبهشت","خرداد","تیر","مرداد","شهریور","مهر","آبان","آذر","دی","بهمن","اسفند")</f>
        <v/>
      </c>
      <c r="C143" s="176" t="inlineStr">
        <is>
          <t>ماشين ظرفشويي</t>
        </is>
      </c>
      <c r="D143" s="176" t="inlineStr">
        <is>
          <t>CDW-H16T</t>
        </is>
      </c>
      <c r="E143" s="176" t="inlineStr">
        <is>
          <t>52220005N03807</t>
        </is>
      </c>
      <c r="F143" s="173" t="inlineStr">
        <is>
          <t>اياب و ذهاب به عهده شرکت ** بسته نشدن درب</t>
        </is>
      </c>
      <c r="G143" s="124" t="inlineStr">
        <is>
          <t>ريست دستگاه - ظرفشويي</t>
        </is>
      </c>
      <c r="H143" s="176" t="inlineStr">
        <is>
          <t>1405/01/22</t>
        </is>
      </c>
      <c r="I143" s="124" t="inlineStr">
        <is>
          <t>1404/07/07</t>
        </is>
      </c>
      <c r="J143" s="124" t="inlineStr">
        <is>
          <t>1404/08/13</t>
        </is>
      </c>
      <c r="K143" s="177">
        <f>IFERROR(VLOOKUP(LEFT(H143,7),'تبدیل تاریخ'!$A$2:$B$73,2,FALSE())+VALUE(RIGHT(H143,2))-1,"")</f>
        <v/>
      </c>
      <c r="L143" s="177">
        <f>IFERROR(VLOOKUP(LEFT(I143,7),'تبدیل تاریخ'!$A$2:$B$73,2,FALSE())+VALUE(RIGHT(I143,2))-1,"")</f>
        <v/>
      </c>
      <c r="M143" s="177">
        <f>IF(J143="","",IFERROR(VLOOKUP(LEFT(J143,7),'تبدیل تاریخ'!$A$2:$B$73,2,FALSE())+VALUE(RIGHT(J143,2))-1,""))</f>
        <v/>
      </c>
      <c r="N143" s="124">
        <f>IF(OR(K143="",M143=""),"",CEILING((K143-M143)/30,1))</f>
        <v/>
      </c>
      <c r="O143" s="124">
        <f>IF(OR(ISNUMBER(SEARCH("بدون مورد",G143)),ISNUMBER(SEARCH("غير گارانتي",G143)),ISNUMBER(SEARCH("غیر گارانتی",G143)),ISNUMBER(SEARCH("بدون اجرت",G143)),ISNUMBER(SEARCH("فيلتر",G143)),ISNUMBER(SEARCH("فیلتر",G143))),"غیرگارانتی/بدون قطعه",IF(OR(ISNUMBER(SEARCH("ريست",G143)),ISNUMBER(SEARCH("ریست",G143))),"ریست نرم‌افزاری (بدون قطعه)",IF(OR(ISNUMBER(SEARCH("تعویض محصول",G143)),ISNUMBER(SEARCH("تعویض دستگاه",G143))),"تعویض کامل دستگاه (Replacement)",IF(ISNUMBER(SEARCH("پمپ",G143)),IF(ISNUMBER(SEARCH("نشت",G143)),"نشتی - پمپ تخلیه (تعمیر/آب‌بندی)","خرابی - پمپ تخلیه (تعویض)"),IF(ISNUMBER(SEARCH("کمپرسور",G143)),"خرابی - کمپرسور (تعویض)",IF(ISNUMBER(SEARCH("کمک فنر",G143)),"خرابی - کمک فنر (تعویض)",IF(ISNUMBER(SEARCH("لولا",G143)),"مکانیزم درب - لولا (تعویض)",IF(OR(ISNUMBER(SEARCH("قلاب",G143)),ISNUMBER(SEARCH("ميکروسوئيچ",G143)),ISNUMBER(SEARCH("میکروسوئیچ",G143))),"مکانیزم درب - میکروسوئیچ/قلاب (تعویض/تنظیم)",IF(ISNUMBER(SEARCH("زبانه",G143)),"مکانیزم درب - زبانه (تعویض)",IF(OR(ISNUMBER(SEARCH("شيلنگ",G143)),ISNUMBER(SEARCH("شیلنگ",G143))),IF(OR(ISNUMBER(SEARCH("نشتی",G143)),ISNUMBER(SEARCH("نشتي",G143))),"نشتی - شیلنگ (تعمیر/آب‌بندی)",IF(OR(ISNUMBER(SEARCH("يخ",G143)),ISNUMBER(SEARCH("یخ",G143))),"شیلنگ یخساز - یخ‌زدگی (بازبینی)","شیلنگ - برخورد/لهیدگی (بازبینی)")),IF(OR(ISNUMBER(SEARCH("تنظيم ديسپل",G143)),ISNUMBER(SEARCH("تنظیم دیسپل",G143)),ISNUMBER(SEARCH("تنظيم صفحه نمايش",G143)),ISNUMBER(SEARCH("تنظیم صفحه نمایش",G143))),"تنظیم - تنظیمات دستگاه/دیسپلی (تعمیر)",IF(OR(ISNUMBER(SEARCH("برد",G143)),ISNUMBER(SEARCH("سوکت",G143)),ISNUMBER(SEARCH("ديسپل",G143)),ISNUMBER(SEARCH("دیسپل",G143))),"خرابی - برد الکترونیک (تعویض)",IF(OR(ISNUMBER(SEARCH("يخساز",G143)),ISNUMBER(SEARCH("یخساز",G143)),ISNUMBER(SEARCH("دمپر",G143))),IF(OR(ISNUMBER(SEARCH("خرابی",G143)),ISNUMBER(SEARCH("خراب",G143)),ISNUMBER(SEARCH("عدم کارکرد",G143)),ISNUMBER(SEARCH("عدم عملکرد",G143))),"یخساز - خرابی موتور/سنسور/برد (تعویض)","یخساز - تنظیم/عایق (تعمیر)"),IF(OR(ISNUMBER(SEARCH("لاستيک",G143)),ISNUMBER(SEARCH("لاستیک",G143))),"لاستیک درزگیر - دفرمگی/پارگی (تعویض)",IF(OR(ISNUMBER(SEARCH("گسکت",G143)),ISNUMBER(SEARCH("گسگت",G143))),"لاستیک درزگیر - دفرمگی/پارگی (تعویض)",IF(ISNUMBER(SEARCH("مخزن نمک",G143)),"نشتی - درب مخزن نمک (تعمیر/آب‌بندی)",IF(ISNUMBER(SEARCH("براکت",G143)),"نشتی - براکت ریل (تعمیر/آب‌بندی)",IF(ISNUMBER(SEARCH("جاپودر",G143)),"نشتی - جاپودری (تعمیر/آب‌بندی)",IF(ISNUMBER(SEARCH("مقسم",G143)),"نشتی - مقسم آب (تعمیر/آب‌بندی)",IF(OR(ISNUMBER(SEARCH("سنسور دما",G143)),ISNUMBER(SEARCH("ترموستات",G143))),"خرابی - ترموستات (تعویض)",IF(OR(ISNUMBER(SEARCH("هيدروستات",G143)),ISNUMBER(SEARCH("هیدروستات",G143))),"خرابی - هیدروستات (تعویض)",IF(OR(ISNUMBER(SEARCH("بلبرينگ",G143)),ISNUMBER(SEARCH("بلبرینگ",G143))),"خرابی - بلبرینگ (تعویض)",IF(OR(ISNUMBER(SEARCH("شيربرق",G143)),ISNUMBER(SEARCH("شیربرق",G143))),"خرابی - شیربرقی (تعویض)",IF(OR(ISNUMBER(SEARCH("واتر جت",G143)),ISNUMBER(SEARCH("واترجت",G143))),"خرابی - واترجت (تعویض)",IF(OR(ISNUMBER(SEARCH("سيم",G143)),ISNUMBER(SEARCH("سیم",G143)),ISNUMBER(SEARCH("اتصال",G143))),"سیم‌کشی/اتصالات (تعویض/بازبینی)",IF(OR(ISNUMBER(SEARCH("تصوير",G143)),ISNUMBER(SEARCH("تصویر",G143))),"برد نمایش تلویزیون (تعویض)",IF(OR(ISNUMBER(SEARCH("ريموت",G143)),ISNUMBER(SEARCH("ریموت",G143))),"ریموت کنترل (تعویض/تعمیر)",IF(OR(ISNUMBER(SEARCH("ال اي دي",G143)),ISNUMBER(SEARCH("ال ای دی",G143)),ISNUMBER(SEARCH("LED",G143))),"خرابی - لامپ/LED داخلی (تعویض)",IF(ISNUMBER(SEARCH("زنگ زدگ",G143)),"زنگ‌زدگی بدنه/قطعه (تعویض)",IF(OR(ISNUMBER(SEARCH("قطعات تزئين",G143)),ISNUMBER(SEARCH("قطعات تزئین",G143))),"قطعات تزئینی - شکستگی/کسری (تعویض)",IF(ISNUMBER(SEARCH("سبد",G143)),"سبد ظرفشویی - شکستگی (تعویض)",IF(ISNUMBER(SEARCH("تاب درام",G143)),"خرابی - تاب برداشتن درام (تعویض)",IF(ISNUMBER(SEARCH("درام",G143)),"خرابی - سایر ایراد درام (تعویض)",IF(ISNUMBER(SEARCH("موتور",G143)),"خرابی - موتور (تعویض)",IF(ISNUMBER(SEARCH("تسمه",G143)),"خرابی - تسمه (تعویض)",IF(OR(ISNUMBER(SEARCH("پيچ ولوم",G143)),ISNUMBER(SEARCH("پیچ ولوم",G143))),"تنظیم - پیچ ولوم/دکمه (تعمیر)",IF(OR(ISNUMBER(SEARCH("کسري قطعات",G143)),ISNUMBER(SEARCH("کسری قطعات",G143))),"کسری قطعات تزئینی (تعویض)",IF(ISNUMBER(SEARCH("پرچ",G143)),"پرچ/بدنه کابین(تعمیر)",IF(OR(ISNUMBER(SEARCH("نشت",G143)),ISNUMBER(SEARCH("آبريزش",G143)),ISNUMBER(SEARCH("آبریزش",G143))),"نشتی آب - محل نامشخص (نیازمند بازدید)",IF(ISNUMBER(SEARCH("درب",G143)),"سایر اجزای درب (بازبینی)",IF(ISNUMBER(SEARCH("ضربه",G143)),"بدنه/کابین - ضربه (بازبینی/تعویض پنل)",IF(ISNUMBER(SEARCH("تراز",G143)),"تراز/لرزش - نصب (رگلاژ پایه)",IF(OR(ISNUMBER(SEARCH("تعویض",G143)),ISNUMBER(SEARCH("تعويض",G143))),"تعویض کامل دستگاه (Replacement)","سایر (نیازمند بررسی دستی)")))))))))))))))))))))))))))))))))))))))))))</f>
        <v/>
      </c>
      <c r="P143" s="124" t="inlineStr">
        <is>
          <t>*</t>
        </is>
      </c>
      <c r="Q143" s="124">
        <f>IF(ISNUMBER(SEARCH("عهده شرکت",F143)),"شرکت",IF(ISNUMBER(SEARCH("عهده مشتري",F143)),"مشتری",IF(ISNUMBER(SEARCH("عهده مشتری",F143)),"مشتری","نامشخص")))</f>
        <v/>
      </c>
      <c r="R143" s="178">
        <f>IF(O143="تعویض کامل دستگاه (Replacement)",IF(SUMIF('قیمت‌ها و مفروضات'!$A$9:$A$13,C143,'قیمت‌ها و مفروضات'!$C$9:$C$13)&lt;&gt;0,SUMIF('قیمت‌ها و مفروضات'!$A$9:$A$13,C143,'قیمت‌ها و مفروضات'!$C$9:$C$13),SUMIF('قیمت‌ها و مفروضات'!$A$9:$A$13,C143,'قیمت‌ها و مفروضات'!$B$9:$B$13)),IF(SUMIF('قیمت‌ها و مفروضات'!$A$18:$A$63,O143,'قیمت‌ها و مفروضات'!$C$18:$C$63)&lt;&gt;0,SUMIF('قیمت‌ها و مفروضات'!$A$18:$A$63,O143,'قیمت‌ها و مفروضات'!$C$18:$C$63),SUMIF('قیمت‌ها و مفروضات'!$A$18:$A$63,O143,'قیمت‌ها و مفروضات'!$B$18:$B$63)))</f>
        <v/>
      </c>
      <c r="S143" s="178">
        <f>'قیمت‌ها و مفروضات'!$B$3+'قیمت‌ها و مفروضات'!$B$4</f>
        <v/>
      </c>
      <c r="T143" s="178">
        <f>R143+S143</f>
        <v/>
      </c>
      <c r="U143" s="178">
        <f>IF(COUNTIF($E$2:E143,E143)&gt;1,"بله (تکراری)","خیر")</f>
        <v/>
      </c>
      <c r="V143" s="178">
        <f>IF(U143="بله (تکراری)",S143,0)</f>
        <v/>
      </c>
      <c r="W143" s="208" t="inlineStr"/>
      <c r="X143" s="208" t="inlineStr"/>
    </row>
    <row r="144" ht="58.5" customHeight="1" s="151">
      <c r="A144" s="176" t="n">
        <v>764466</v>
      </c>
      <c r="B144" s="124">
        <f>CHOOSE(_xlfn.NUMBERVALUE(MID(H144,6,2)),"فروردین","اردیبهشت","خرداد","تیر","مرداد","شهریور","مهر","آبان","آذر","دی","بهمن","اسفند")</f>
        <v/>
      </c>
      <c r="C144" s="176" t="inlineStr">
        <is>
          <t>ماشين ظرفشويي</t>
        </is>
      </c>
      <c r="D144" s="176" t="inlineStr">
        <is>
          <t>CDW-H15V</t>
        </is>
      </c>
      <c r="E144" s="176" t="inlineStr">
        <is>
          <t>52220002N01514</t>
        </is>
      </c>
      <c r="F144" s="173" t="inlineStr">
        <is>
          <t>باز شدن درب حين شست و شو اياب و ذهاب به عهده شرکت</t>
        </is>
      </c>
      <c r="G144" s="124" t="inlineStr">
        <is>
          <t>ريست دستگاه - ظرفشويي</t>
        </is>
      </c>
      <c r="H144" s="176" t="inlineStr">
        <is>
          <t>1405/01/22</t>
        </is>
      </c>
      <c r="I144" s="124" t="inlineStr">
        <is>
          <t>1403/11/01</t>
        </is>
      </c>
      <c r="J144" s="124" t="inlineStr">
        <is>
          <t>1404/09/02</t>
        </is>
      </c>
      <c r="K144" s="177">
        <f>IFERROR(VLOOKUP(LEFT(H144,7),'تبدیل تاریخ'!$A$2:$B$73,2,FALSE())+VALUE(RIGHT(H144,2))-1,"")</f>
        <v/>
      </c>
      <c r="L144" s="177">
        <f>IFERROR(VLOOKUP(LEFT(I144,7),'تبدیل تاریخ'!$A$2:$B$73,2,FALSE())+VALUE(RIGHT(I144,2))-1,"")</f>
        <v/>
      </c>
      <c r="M144" s="177">
        <f>IF(J144="","",IFERROR(VLOOKUP(LEFT(J144,7),'تبدیل تاریخ'!$A$2:$B$73,2,FALSE())+VALUE(RIGHT(J144,2))-1,""))</f>
        <v/>
      </c>
      <c r="N144" s="124">
        <f>IF(OR(K144="",M144=""),"",CEILING((K144-M144)/30,1))</f>
        <v/>
      </c>
      <c r="O144" s="124">
        <f>IF(OR(ISNUMBER(SEARCH("بدون مورد",G144)),ISNUMBER(SEARCH("غير گارانتي",G144)),ISNUMBER(SEARCH("غیر گارانتی",G144)),ISNUMBER(SEARCH("بدون اجرت",G144)),ISNUMBER(SEARCH("فيلتر",G144)),ISNUMBER(SEARCH("فیلتر",G144))),"غیرگارانتی/بدون قطعه",IF(OR(ISNUMBER(SEARCH("ريست",G144)),ISNUMBER(SEARCH("ریست",G144))),"ریست نرم‌افزاری (بدون قطعه)",IF(OR(ISNUMBER(SEARCH("تعویض محصول",G144)),ISNUMBER(SEARCH("تعویض دستگاه",G144))),"تعویض کامل دستگاه (Replacement)",IF(ISNUMBER(SEARCH("پمپ",G144)),IF(ISNUMBER(SEARCH("نشت",G144)),"نشتی - پمپ تخلیه (تعمیر/آب‌بندی)","خرابی - پمپ تخلیه (تعویض)"),IF(ISNUMBER(SEARCH("کمپرسور",G144)),"خرابی - کمپرسور (تعویض)",IF(ISNUMBER(SEARCH("کمک فنر",G144)),"خرابی - کمک فنر (تعویض)",IF(ISNUMBER(SEARCH("لولا",G144)),"مکانیزم درب - لولا (تعویض)",IF(OR(ISNUMBER(SEARCH("قلاب",G144)),ISNUMBER(SEARCH("ميکروسوئيچ",G144)),ISNUMBER(SEARCH("میکروسوئیچ",G144))),"مکانیزم درب - میکروسوئیچ/قلاب (تعویض/تنظیم)",IF(ISNUMBER(SEARCH("زبانه",G144)),"مکانیزم درب - زبانه (تعویض)",IF(OR(ISNUMBER(SEARCH("شيلنگ",G144)),ISNUMBER(SEARCH("شیلنگ",G144))),IF(OR(ISNUMBER(SEARCH("نشتی",G144)),ISNUMBER(SEARCH("نشتي",G144))),"نشتی - شیلنگ (تعمیر/آب‌بندی)",IF(OR(ISNUMBER(SEARCH("يخ",G144)),ISNUMBER(SEARCH("یخ",G144))),"شیلنگ یخساز - یخ‌زدگی (بازبینی)","شیلنگ - برخورد/لهیدگی (بازبینی)")),IF(OR(ISNUMBER(SEARCH("تنظيم ديسپل",G144)),ISNUMBER(SEARCH("تنظیم دیسپل",G144)),ISNUMBER(SEARCH("تنظيم صفحه نمايش",G144)),ISNUMBER(SEARCH("تنظیم صفحه نمایش",G144))),"تنظیم - تنظیمات دستگاه/دیسپلی (تعمیر)",IF(OR(ISNUMBER(SEARCH("برد",G144)),ISNUMBER(SEARCH("سوکت",G144)),ISNUMBER(SEARCH("ديسپل",G144)),ISNUMBER(SEARCH("دیسپل",G144))),"خرابی - برد الکترونیک (تعویض)",IF(OR(ISNUMBER(SEARCH("يخساز",G144)),ISNUMBER(SEARCH("یخساز",G144)),ISNUMBER(SEARCH("دمپر",G144))),IF(OR(ISNUMBER(SEARCH("خرابی",G144)),ISNUMBER(SEARCH("خراب",G144)),ISNUMBER(SEARCH("عدم کارکرد",G144)),ISNUMBER(SEARCH("عدم عملکرد",G144))),"یخساز - خرابی موتور/سنسور/برد (تعویض)","یخساز - تنظیم/عایق (تعمیر)"),IF(OR(ISNUMBER(SEARCH("لاستيک",G144)),ISNUMBER(SEARCH("لاستیک",G144))),"لاستیک درزگیر - دفرمگی/پارگی (تعویض)",IF(OR(ISNUMBER(SEARCH("گسکت",G144)),ISNUMBER(SEARCH("گسگت",G144))),"لاستیک درزگیر - دفرمگی/پارگی (تعویض)",IF(ISNUMBER(SEARCH("مخزن نمک",G144)),"نشتی - درب مخزن نمک (تعمیر/آب‌بندی)",IF(ISNUMBER(SEARCH("براکت",G144)),"نشتی - براکت ریل (تعمیر/آب‌بندی)",IF(ISNUMBER(SEARCH("جاپودر",G144)),"نشتی - جاپودری (تعمیر/آب‌بندی)",IF(ISNUMBER(SEARCH("مقسم",G144)),"نشتی - مقسم آب (تعمیر/آب‌بندی)",IF(OR(ISNUMBER(SEARCH("سنسور دما",G144)),ISNUMBER(SEARCH("ترموستات",G144))),"خرابی - ترموستات (تعویض)",IF(OR(ISNUMBER(SEARCH("هيدروستات",G144)),ISNUMBER(SEARCH("هیدروستات",G144))),"خرابی - هیدروستات (تعویض)",IF(OR(ISNUMBER(SEARCH("بلبرينگ",G144)),ISNUMBER(SEARCH("بلبرینگ",G144))),"خرابی - بلبرینگ (تعویض)",IF(OR(ISNUMBER(SEARCH("شيربرق",G144)),ISNUMBER(SEARCH("شیربرق",G144))),"خرابی - شیربرقی (تعویض)",IF(OR(ISNUMBER(SEARCH("واتر جت",G144)),ISNUMBER(SEARCH("واترجت",G144))),"خرابی - واترجت (تعویض)",IF(OR(ISNUMBER(SEARCH("سيم",G144)),ISNUMBER(SEARCH("سیم",G144)),ISNUMBER(SEARCH("اتصال",G144))),"سیم‌کشی/اتصالات (تعویض/بازبینی)",IF(OR(ISNUMBER(SEARCH("تصوير",G144)),ISNUMBER(SEARCH("تصویر",G144))),"برد نمایش تلویزیون (تعویض)",IF(OR(ISNUMBER(SEARCH("ريموت",G144)),ISNUMBER(SEARCH("ریموت",G144))),"ریموت کنترل (تعویض/تعمیر)",IF(OR(ISNUMBER(SEARCH("ال اي دي",G144)),ISNUMBER(SEARCH("ال ای دی",G144)),ISNUMBER(SEARCH("LED",G144))),"خرابی - لامپ/LED داخلی (تعویض)",IF(ISNUMBER(SEARCH("زنگ زدگ",G144)),"زنگ‌زدگی بدنه/قطعه (تعویض)",IF(OR(ISNUMBER(SEARCH("قطعات تزئين",G144)),ISNUMBER(SEARCH("قطعات تزئین",G144))),"قطعات تزئینی - شکستگی/کسری (تعویض)",IF(ISNUMBER(SEARCH("سبد",G144)),"سبد ظرفشویی - شکستگی (تعویض)",IF(ISNUMBER(SEARCH("تاب درام",G144)),"خرابی - تاب برداشتن درام (تعویض)",IF(ISNUMBER(SEARCH("درام",G144)),"خرابی - سایر ایراد درام (تعویض)",IF(ISNUMBER(SEARCH("موتور",G144)),"خرابی - موتور (تعویض)",IF(ISNUMBER(SEARCH("تسمه",G144)),"خرابی - تسمه (تعویض)",IF(OR(ISNUMBER(SEARCH("پيچ ولوم",G144)),ISNUMBER(SEARCH("پیچ ولوم",G144))),"تنظیم - پیچ ولوم/دکمه (تعمیر)",IF(OR(ISNUMBER(SEARCH("کسري قطعات",G144)),ISNUMBER(SEARCH("کسری قطعات",G144))),"کسری قطعات تزئینی (تعویض)",IF(ISNUMBER(SEARCH("پرچ",G144)),"پرچ/بدنه کابین(تعمیر)",IF(OR(ISNUMBER(SEARCH("نشت",G144)),ISNUMBER(SEARCH("آبريزش",G144)),ISNUMBER(SEARCH("آبریزش",G144))),"نشتی آب - محل نامشخص (نیازمند بازدید)",IF(ISNUMBER(SEARCH("درب",G144)),"سایر اجزای درب (بازبینی)",IF(ISNUMBER(SEARCH("ضربه",G144)),"بدنه/کابین - ضربه (بازبینی/تعویض پنل)",IF(ISNUMBER(SEARCH("تراز",G144)),"تراز/لرزش - نصب (رگلاژ پایه)",IF(OR(ISNUMBER(SEARCH("تعویض",G144)),ISNUMBER(SEARCH("تعويض",G144))),"تعویض کامل دستگاه (Replacement)","سایر (نیازمند بررسی دستی)")))))))))))))))))))))))))))))))))))))))))))</f>
        <v/>
      </c>
      <c r="P144" s="124" t="inlineStr">
        <is>
          <t>*</t>
        </is>
      </c>
      <c r="Q144" s="124">
        <f>IF(ISNUMBER(SEARCH("عهده شرکت",F144)),"شرکت",IF(ISNUMBER(SEARCH("عهده مشتري",F144)),"مشتری",IF(ISNUMBER(SEARCH("عهده مشتری",F144)),"مشتری","نامشخص")))</f>
        <v/>
      </c>
      <c r="R144" s="178">
        <f>IF(O144="تعویض کامل دستگاه (Replacement)",IF(SUMIF('قیمت‌ها و مفروضات'!$A$9:$A$13,C144,'قیمت‌ها و مفروضات'!$C$9:$C$13)&lt;&gt;0,SUMIF('قیمت‌ها و مفروضات'!$A$9:$A$13,C144,'قیمت‌ها و مفروضات'!$C$9:$C$13),SUMIF('قیمت‌ها و مفروضات'!$A$9:$A$13,C144,'قیمت‌ها و مفروضات'!$B$9:$B$13)),IF(SUMIF('قیمت‌ها و مفروضات'!$A$18:$A$63,O144,'قیمت‌ها و مفروضات'!$C$18:$C$63)&lt;&gt;0,SUMIF('قیمت‌ها و مفروضات'!$A$18:$A$63,O144,'قیمت‌ها و مفروضات'!$C$18:$C$63),SUMIF('قیمت‌ها و مفروضات'!$A$18:$A$63,O144,'قیمت‌ها و مفروضات'!$B$18:$B$63)))</f>
        <v/>
      </c>
      <c r="S144" s="178">
        <f>'قیمت‌ها و مفروضات'!$B$3+'قیمت‌ها و مفروضات'!$B$4</f>
        <v/>
      </c>
      <c r="T144" s="178">
        <f>R144+S144</f>
        <v/>
      </c>
      <c r="U144" s="178">
        <f>IF(COUNTIF($E$2:E144,E144)&gt;1,"بله (تکراری)","خیر")</f>
        <v/>
      </c>
      <c r="V144" s="178">
        <f>IF(U144="بله (تکراری)",S144,0)</f>
        <v/>
      </c>
      <c r="W144" s="208" t="inlineStr"/>
      <c r="X144" s="208" t="inlineStr"/>
    </row>
    <row r="145" ht="58.5" customHeight="1" s="151">
      <c r="A145" s="176" t="n">
        <v>510016237</v>
      </c>
      <c r="B145" s="124">
        <f>CHOOSE(_xlfn.NUMBERVALUE(MID(H145,6,2)),"فروردین","اردیبهشت","خرداد","تیر","مرداد","شهریور","مهر","آبان","آذر","دی","بهمن","اسفند")</f>
        <v/>
      </c>
      <c r="C145" s="176" t="inlineStr">
        <is>
          <t>ماشين ظرفشويي</t>
        </is>
      </c>
      <c r="D145" s="176" t="inlineStr">
        <is>
          <t>CDW-H16T</t>
        </is>
      </c>
      <c r="E145" s="176" t="inlineStr">
        <is>
          <t>52220005N00902</t>
        </is>
      </c>
      <c r="F145" s="173" t="inlineStr">
        <is>
          <t>خطاي F11**اياب و ذهاب به عهده شرکت</t>
        </is>
      </c>
      <c r="G145" s="173" t="inlineStr">
        <is>
          <t>خرابی پمپ تخلیه</t>
        </is>
      </c>
      <c r="H145" s="176" t="inlineStr">
        <is>
          <t>1405/01/23</t>
        </is>
      </c>
      <c r="I145" s="124" t="inlineStr">
        <is>
          <t>1403/08/30</t>
        </is>
      </c>
      <c r="J145" s="124" t="inlineStr">
        <is>
          <t>1404/06/01</t>
        </is>
      </c>
      <c r="K145" s="177">
        <f>IFERROR(VLOOKUP(LEFT(H145,7),'تبدیل تاریخ'!$A$2:$B$73,2,FALSE())+VALUE(RIGHT(H145,2))-1,"")</f>
        <v/>
      </c>
      <c r="L145" s="177">
        <f>IFERROR(VLOOKUP(LEFT(I145,7),'تبدیل تاریخ'!$A$2:$B$73,2,FALSE())+VALUE(RIGHT(I145,2))-1,"")</f>
        <v/>
      </c>
      <c r="M145" s="177">
        <f>IF(J145="","",IFERROR(VLOOKUP(LEFT(J145,7),'تبدیل تاریخ'!$A$2:$B$73,2,FALSE())+VALUE(RIGHT(J145,2))-1,""))</f>
        <v/>
      </c>
      <c r="N145" s="124">
        <f>IF(OR(K145="",M145=""),"",CEILING((K145-M145)/30,1))</f>
        <v/>
      </c>
      <c r="O145" s="124">
        <f>IF(OR(ISNUMBER(SEARCH("بدون مورد",G145)),ISNUMBER(SEARCH("غير گارانتي",G145)),ISNUMBER(SEARCH("غیر گارانتی",G145)),ISNUMBER(SEARCH("بدون اجرت",G145)),ISNUMBER(SEARCH("فيلتر",G145)),ISNUMBER(SEARCH("فیلتر",G145))),"غیرگارانتی/بدون قطعه",IF(OR(ISNUMBER(SEARCH("ريست",G145)),ISNUMBER(SEARCH("ریست",G145))),"ریست نرم‌افزاری (بدون قطعه)",IF(OR(ISNUMBER(SEARCH("تعویض محصول",G145)),ISNUMBER(SEARCH("تعویض دستگاه",G145))),"تعویض کامل دستگاه (Replacement)",IF(ISNUMBER(SEARCH("پمپ",G145)),IF(ISNUMBER(SEARCH("نشت",G145)),"نشتی - پمپ تخلیه (تعمیر/آب‌بندی)","خرابی - پمپ تخلیه (تعویض)"),IF(ISNUMBER(SEARCH("کمپرسور",G145)),"خرابی - کمپرسور (تعویض)",IF(ISNUMBER(SEARCH("کمک فنر",G145)),"خرابی - کمک فنر (تعویض)",IF(ISNUMBER(SEARCH("لولا",G145)),"مکانیزم درب - لولا (تعویض)",IF(OR(ISNUMBER(SEARCH("قلاب",G145)),ISNUMBER(SEARCH("ميکروسوئيچ",G145)),ISNUMBER(SEARCH("میکروسوئیچ",G145))),"مکانیزم درب - میکروسوئیچ/قلاب (تعویض/تنظیم)",IF(ISNUMBER(SEARCH("زبانه",G145)),"مکانیزم درب - زبانه (تعویض)",IF(OR(ISNUMBER(SEARCH("شيلنگ",G145)),ISNUMBER(SEARCH("شیلنگ",G145))),IF(OR(ISNUMBER(SEARCH("نشتی",G145)),ISNUMBER(SEARCH("نشتي",G145))),"نشتی - شیلنگ (تعمیر/آب‌بندی)",IF(OR(ISNUMBER(SEARCH("يخ",G145)),ISNUMBER(SEARCH("یخ",G145))),"شیلنگ یخساز - یخ‌زدگی (بازبینی)","شیلنگ - برخورد/لهیدگی (بازبینی)")),IF(OR(ISNUMBER(SEARCH("تنظيم ديسپل",G145)),ISNUMBER(SEARCH("تنظیم دیسپل",G145)),ISNUMBER(SEARCH("تنظيم صفحه نمايش",G145)),ISNUMBER(SEARCH("تنظیم صفحه نمایش",G145))),"تنظیم - تنظیمات دستگاه/دیسپلی (تعمیر)",IF(OR(ISNUMBER(SEARCH("برد",G145)),ISNUMBER(SEARCH("سوکت",G145)),ISNUMBER(SEARCH("ديسپل",G145)),ISNUMBER(SEARCH("دیسپل",G145))),"خرابی - برد الکترونیک (تعویض)",IF(OR(ISNUMBER(SEARCH("يخساز",G145)),ISNUMBER(SEARCH("یخساز",G145)),ISNUMBER(SEARCH("دمپر",G145))),IF(OR(ISNUMBER(SEARCH("خرابی",G145)),ISNUMBER(SEARCH("خراب",G145)),ISNUMBER(SEARCH("عدم کارکرد",G145)),ISNUMBER(SEARCH("عدم عملکرد",G145))),"یخساز - خرابی موتور/سنسور/برد (تعویض)","یخساز - تنظیم/عایق (تعمیر)"),IF(OR(ISNUMBER(SEARCH("لاستيک",G145)),ISNUMBER(SEARCH("لاستیک",G145))),"لاستیک درزگیر - دفرمگی/پارگی (تعویض)",IF(OR(ISNUMBER(SEARCH("گسکت",G145)),ISNUMBER(SEARCH("گسگت",G145))),"لاستیک درزگیر - دفرمگی/پارگی (تعویض)",IF(ISNUMBER(SEARCH("مخزن نمک",G145)),"نشتی - درب مخزن نمک (تعمیر/آب‌بندی)",IF(ISNUMBER(SEARCH("براکت",G145)),"نشتی - براکت ریل (تعمیر/آب‌بندی)",IF(ISNUMBER(SEARCH("جاپودر",G145)),"نشتی - جاپودری (تعمیر/آب‌بندی)",IF(ISNUMBER(SEARCH("مقسم",G145)),"نشتی - مقسم آب (تعمیر/آب‌بندی)",IF(OR(ISNUMBER(SEARCH("سنسور دما",G145)),ISNUMBER(SEARCH("ترموستات",G145))),"خرابی - ترموستات (تعویض)",IF(OR(ISNUMBER(SEARCH("هيدروستات",G145)),ISNUMBER(SEARCH("هیدروستات",G145))),"خرابی - هیدروستات (تعویض)",IF(OR(ISNUMBER(SEARCH("بلبرينگ",G145)),ISNUMBER(SEARCH("بلبرینگ",G145))),"خرابی - بلبرینگ (تعویض)",IF(OR(ISNUMBER(SEARCH("شيربرق",G145)),ISNUMBER(SEARCH("شیربرق",G145))),"خرابی - شیربرقی (تعویض)",IF(OR(ISNUMBER(SEARCH("واتر جت",G145)),ISNUMBER(SEARCH("واترجت",G145))),"خرابی - واترجت (تعویض)",IF(OR(ISNUMBER(SEARCH("سيم",G145)),ISNUMBER(SEARCH("سیم",G145)),ISNUMBER(SEARCH("اتصال",G145))),"سیم‌کشی/اتصالات (تعویض/بازبینی)",IF(OR(ISNUMBER(SEARCH("تصوير",G145)),ISNUMBER(SEARCH("تصویر",G145))),"برد نمایش تلویزیون (تعویض)",IF(OR(ISNUMBER(SEARCH("ريموت",G145)),ISNUMBER(SEARCH("ریموت",G145))),"ریموت کنترل (تعویض/تعمیر)",IF(OR(ISNUMBER(SEARCH("ال اي دي",G145)),ISNUMBER(SEARCH("ال ای دی",G145)),ISNUMBER(SEARCH("LED",G145))),"خرابی - لامپ/LED داخلی (تعویض)",IF(ISNUMBER(SEARCH("زنگ زدگ",G145)),"زنگ‌زدگی بدنه/قطعه (تعویض)",IF(OR(ISNUMBER(SEARCH("قطعات تزئين",G145)),ISNUMBER(SEARCH("قطعات تزئین",G145))),"قطعات تزئینی - شکستگی/کسری (تعویض)",IF(ISNUMBER(SEARCH("سبد",G145)),"سبد ظرفشویی - شکستگی (تعویض)",IF(ISNUMBER(SEARCH("تاب درام",G145)),"خرابی - تاب برداشتن درام (تعویض)",IF(ISNUMBER(SEARCH("درام",G145)),"خرابی - سایر ایراد درام (تعویض)",IF(ISNUMBER(SEARCH("موتور",G145)),"خرابی - موتور (تعویض)",IF(ISNUMBER(SEARCH("تسمه",G145)),"خرابی - تسمه (تعویض)",IF(OR(ISNUMBER(SEARCH("پيچ ولوم",G145)),ISNUMBER(SEARCH("پیچ ولوم",G145))),"تنظیم - پیچ ولوم/دکمه (تعمیر)",IF(OR(ISNUMBER(SEARCH("کسري قطعات",G145)),ISNUMBER(SEARCH("کسری قطعات",G145))),"کسری قطعات تزئینی (تعویض)",IF(ISNUMBER(SEARCH("پرچ",G145)),"پرچ/بدنه کابین(تعمیر)",IF(OR(ISNUMBER(SEARCH("نشت",G145)),ISNUMBER(SEARCH("آبريزش",G145)),ISNUMBER(SEARCH("آبریزش",G145))),"نشتی آب - محل نامشخص (نیازمند بازدید)",IF(ISNUMBER(SEARCH("درب",G145)),"سایر اجزای درب (بازبینی)",IF(ISNUMBER(SEARCH("ضربه",G145)),"بدنه/کابین - ضربه (بازبینی/تعویض پنل)",IF(ISNUMBER(SEARCH("تراز",G145)),"تراز/لرزش - نصب (رگلاژ پایه)",IF(OR(ISNUMBER(SEARCH("تعویض",G145)),ISNUMBER(SEARCH("تعويض",G145))),"تعویض کامل دستگاه (Replacement)","سایر (نیازمند بررسی دستی)")))))))))))))))))))))))))))))))))))))))))))</f>
        <v/>
      </c>
      <c r="P145" s="124" t="inlineStr">
        <is>
          <t>پمپ تخلیه ظرفشویی</t>
        </is>
      </c>
      <c r="Q145" s="124">
        <f>IF(ISNUMBER(SEARCH("عهده شرکت",F145)),"شرکت",IF(ISNUMBER(SEARCH("عهده مشتري",F145)),"مشتری",IF(ISNUMBER(SEARCH("عهده مشتری",F145)),"مشتری","نامشخص")))</f>
        <v/>
      </c>
      <c r="R145" s="178">
        <f>IF(O145="تعویض کامل دستگاه (Replacement)",IF(SUMIF('قیمت‌ها و مفروضات'!$A$9:$A$13,C145,'قیمت‌ها و مفروضات'!$C$9:$C$13)&lt;&gt;0,SUMIF('قیمت‌ها و مفروضات'!$A$9:$A$13,C145,'قیمت‌ها و مفروضات'!$C$9:$C$13),SUMIF('قیمت‌ها و مفروضات'!$A$9:$A$13,C145,'قیمت‌ها و مفروضات'!$B$9:$B$13)),IF(SUMIF('قیمت‌ها و مفروضات'!$A$18:$A$63,O145,'قیمت‌ها و مفروضات'!$C$18:$C$63)&lt;&gt;0,SUMIF('قیمت‌ها و مفروضات'!$A$18:$A$63,O145,'قیمت‌ها و مفروضات'!$C$18:$C$63),SUMIF('قیمت‌ها و مفروضات'!$A$18:$A$63,O145,'قیمت‌ها و مفروضات'!$B$18:$B$63)))</f>
        <v/>
      </c>
      <c r="S145" s="178">
        <f>'قیمت‌ها و مفروضات'!$B$3+'قیمت‌ها و مفروضات'!$B$4</f>
        <v/>
      </c>
      <c r="T145" s="178">
        <f>R145+S145</f>
        <v/>
      </c>
      <c r="U145" s="178">
        <f>IF(COUNTIF($E$2:E145,E145)&gt;1,"بله (تکراری)","خیر")</f>
        <v/>
      </c>
      <c r="V145" s="178">
        <f>IF(U145="بله (تکراری)",S145,0)</f>
        <v/>
      </c>
      <c r="W145" s="208" t="inlineStr"/>
      <c r="X145" s="208" t="inlineStr"/>
    </row>
    <row r="146" ht="58.5" customHeight="1" s="151">
      <c r="A146" s="176" t="n">
        <v>765124</v>
      </c>
      <c r="B146" s="124">
        <f>CHOOSE(_xlfn.NUMBERVALUE(MID(H146,6,2)),"فروردین","اردیبهشت","خرداد","تیر","مرداد","شهریور","مهر","آبان","آذر","دی","بهمن","اسفند")</f>
        <v/>
      </c>
      <c r="C146" s="176" t="inlineStr">
        <is>
          <t>ماشين لباسشويي</t>
        </is>
      </c>
      <c r="D146" s="176" t="inlineStr">
        <is>
          <t>CWM-BMW9T1</t>
        </is>
      </c>
      <c r="E146" s="176" t="inlineStr">
        <is>
          <t>52210008N01023</t>
        </is>
      </c>
      <c r="F146" s="173" t="inlineStr">
        <is>
          <t>صداي غيرعادي هنگام خشک کن ** اياب و ذهاب به عهده شرکت</t>
        </is>
      </c>
      <c r="G146" s="124" t="inlineStr">
        <is>
          <t>برخورد شيلنگ رابط هوا به درام فلزي</t>
        </is>
      </c>
      <c r="H146" s="176" t="inlineStr">
        <is>
          <t>1405/01/24</t>
        </is>
      </c>
      <c r="I146" s="124" t="inlineStr">
        <is>
          <t>1404/04/12</t>
        </is>
      </c>
      <c r="J146" s="124" t="inlineStr">
        <is>
          <t>1404/08/20</t>
        </is>
      </c>
      <c r="K146" s="177">
        <f>IFERROR(VLOOKUP(LEFT(H146,7),'تبدیل تاریخ'!$A$2:$B$73,2,FALSE())+VALUE(RIGHT(H146,2))-1,"")</f>
        <v/>
      </c>
      <c r="L146" s="177">
        <f>IFERROR(VLOOKUP(LEFT(I146,7),'تبدیل تاریخ'!$A$2:$B$73,2,FALSE())+VALUE(RIGHT(I146,2))-1,"")</f>
        <v/>
      </c>
      <c r="M146" s="177">
        <f>IF(J146="","",IFERROR(VLOOKUP(LEFT(J146,7),'تبدیل تاریخ'!$A$2:$B$73,2,FALSE())+VALUE(RIGHT(J146,2))-1,""))</f>
        <v/>
      </c>
      <c r="N146" s="124">
        <f>IF(OR(K146="",M146=""),"",CEILING((K146-M146)/30,1))</f>
        <v/>
      </c>
      <c r="O146" s="124">
        <f>IF(OR(ISNUMBER(SEARCH("بدون مورد",G146)),ISNUMBER(SEARCH("غير گارانتي",G146)),ISNUMBER(SEARCH("غیر گارانتی",G146)),ISNUMBER(SEARCH("بدون اجرت",G146)),ISNUMBER(SEARCH("فيلتر",G146)),ISNUMBER(SEARCH("فیلتر",G146))),"غیرگارانتی/بدون قطعه",IF(OR(ISNUMBER(SEARCH("ريست",G146)),ISNUMBER(SEARCH("ریست",G146))),"ریست نرم‌افزاری (بدون قطعه)",IF(OR(ISNUMBER(SEARCH("تعویض محصول",G146)),ISNUMBER(SEARCH("تعویض دستگاه",G146))),"تعویض کامل دستگاه (Replacement)",IF(ISNUMBER(SEARCH("پمپ",G146)),IF(ISNUMBER(SEARCH("نشت",G146)),"نشتی - پمپ تخلیه (تعمیر/آب‌بندی)","خرابی - پمپ تخلیه (تعویض)"),IF(ISNUMBER(SEARCH("کمپرسور",G146)),"خرابی - کمپرسور (تعویض)",IF(ISNUMBER(SEARCH("کمک فنر",G146)),"خرابی - کمک فنر (تعویض)",IF(ISNUMBER(SEARCH("لولا",G146)),"مکانیزم درب - لولا (تعویض)",IF(OR(ISNUMBER(SEARCH("قلاب",G146)),ISNUMBER(SEARCH("ميکروسوئيچ",G146)),ISNUMBER(SEARCH("میکروسوئیچ",G146))),"مکانیزم درب - میکروسوئیچ/قلاب (تعویض/تنظیم)",IF(ISNUMBER(SEARCH("زبانه",G146)),"مکانیزم درب - زبانه (تعویض)",IF(OR(ISNUMBER(SEARCH("شيلنگ",G146)),ISNUMBER(SEARCH("شیلنگ",G146))),IF(OR(ISNUMBER(SEARCH("نشتی",G146)),ISNUMBER(SEARCH("نشتي",G146))),"نشتی - شیلنگ (تعمیر/آب‌بندی)",IF(OR(ISNUMBER(SEARCH("يخ",G146)),ISNUMBER(SEARCH("یخ",G146))),"شیلنگ یخساز - یخ‌زدگی (بازبینی)","شیلنگ - برخورد/لهیدگی (بازبینی)")),IF(OR(ISNUMBER(SEARCH("تنظيم ديسپل",G146)),ISNUMBER(SEARCH("تنظیم دیسپل",G146)),ISNUMBER(SEARCH("تنظيم صفحه نمايش",G146)),ISNUMBER(SEARCH("تنظیم صفحه نمایش",G146))),"تنظیم - تنظیمات دستگاه/دیسپلی (تعمیر)",IF(OR(ISNUMBER(SEARCH("برد",G146)),ISNUMBER(SEARCH("سوکت",G146)),ISNUMBER(SEARCH("ديسپل",G146)),ISNUMBER(SEARCH("دیسپل",G146))),"خرابی - برد الکترونیک (تعویض)",IF(OR(ISNUMBER(SEARCH("يخساز",G146)),ISNUMBER(SEARCH("یخساز",G146)),ISNUMBER(SEARCH("دمپر",G146))),IF(OR(ISNUMBER(SEARCH("خرابی",G146)),ISNUMBER(SEARCH("خراب",G146)),ISNUMBER(SEARCH("عدم کارکرد",G146)),ISNUMBER(SEARCH("عدم عملکرد",G146))),"یخساز - خرابی موتور/سنسور/برد (تعویض)","یخساز - تنظیم/عایق (تعمیر)"),IF(OR(ISNUMBER(SEARCH("لاستيک",G146)),ISNUMBER(SEARCH("لاستیک",G146))),"لاستیک درزگیر - دفرمگی/پارگی (تعویض)",IF(OR(ISNUMBER(SEARCH("گسکت",G146)),ISNUMBER(SEARCH("گسگت",G146))),"لاستیک درزگیر - دفرمگی/پارگی (تعویض)",IF(ISNUMBER(SEARCH("مخزن نمک",G146)),"نشتی - درب مخزن نمک (تعمیر/آب‌بندی)",IF(ISNUMBER(SEARCH("براکت",G146)),"نشتی - براکت ریل (تعمیر/آب‌بندی)",IF(ISNUMBER(SEARCH("جاپودر",G146)),"نشتی - جاپودری (تعمیر/آب‌بندی)",IF(ISNUMBER(SEARCH("مقسم",G146)),"نشتی - مقسم آب (تعمیر/آب‌بندی)",IF(OR(ISNUMBER(SEARCH("سنسور دما",G146)),ISNUMBER(SEARCH("ترموستات",G146))),"خرابی - ترموستات (تعویض)",IF(OR(ISNUMBER(SEARCH("هيدروستات",G146)),ISNUMBER(SEARCH("هیدروستات",G146))),"خرابی - هیدروستات (تعویض)",IF(OR(ISNUMBER(SEARCH("بلبرينگ",G146)),ISNUMBER(SEARCH("بلبرینگ",G146))),"خرابی - بلبرینگ (تعویض)",IF(OR(ISNUMBER(SEARCH("شيربرق",G146)),ISNUMBER(SEARCH("شیربرق",G146))),"خرابی - شیربرقی (تعویض)",IF(OR(ISNUMBER(SEARCH("واتر جت",G146)),ISNUMBER(SEARCH("واترجت",G146))),"خرابی - واترجت (تعویض)",IF(OR(ISNUMBER(SEARCH("سيم",G146)),ISNUMBER(SEARCH("سیم",G146)),ISNUMBER(SEARCH("اتصال",G146))),"سیم‌کشی/اتصالات (تعویض/بازبینی)",IF(OR(ISNUMBER(SEARCH("تصوير",G146)),ISNUMBER(SEARCH("تصویر",G146))),"برد نمایش تلویزیون (تعویض)",IF(OR(ISNUMBER(SEARCH("ريموت",G146)),ISNUMBER(SEARCH("ریموت",G146))),"ریموت کنترل (تعویض/تعمیر)",IF(OR(ISNUMBER(SEARCH("ال اي دي",G146)),ISNUMBER(SEARCH("ال ای دی",G146)),ISNUMBER(SEARCH("LED",G146))),"خرابی - لامپ/LED داخلی (تعویض)",IF(ISNUMBER(SEARCH("زنگ زدگ",G146)),"زنگ‌زدگی بدنه/قطعه (تعویض)",IF(OR(ISNUMBER(SEARCH("قطعات تزئين",G146)),ISNUMBER(SEARCH("قطعات تزئین",G146))),"قطعات تزئینی - شکستگی/کسری (تعویض)",IF(ISNUMBER(SEARCH("سبد",G146)),"سبد ظرفشویی - شکستگی (تعویض)",IF(ISNUMBER(SEARCH("تاب درام",G146)),"خرابی - تاب برداشتن درام (تعویض)",IF(ISNUMBER(SEARCH("درام",G146)),"خرابی - سایر ایراد درام (تعویض)",IF(ISNUMBER(SEARCH("موتور",G146)),"خرابی - موتور (تعویض)",IF(ISNUMBER(SEARCH("تسمه",G146)),"خرابی - تسمه (تعویض)",IF(OR(ISNUMBER(SEARCH("پيچ ولوم",G146)),ISNUMBER(SEARCH("پیچ ولوم",G146))),"تنظیم - پیچ ولوم/دکمه (تعمیر)",IF(OR(ISNUMBER(SEARCH("کسري قطعات",G146)),ISNUMBER(SEARCH("کسری قطعات",G146))),"کسری قطعات تزئینی (تعویض)",IF(ISNUMBER(SEARCH("پرچ",G146)),"پرچ/بدنه کابین(تعمیر)",IF(OR(ISNUMBER(SEARCH("نشت",G146)),ISNUMBER(SEARCH("آبريزش",G146)),ISNUMBER(SEARCH("آبریزش",G146))),"نشتی آب - محل نامشخص (نیازمند بازدید)",IF(ISNUMBER(SEARCH("درب",G146)),"سایر اجزای درب (بازبینی)",IF(ISNUMBER(SEARCH("ضربه",G146)),"بدنه/کابین - ضربه (بازبینی/تعویض پنل)",IF(ISNUMBER(SEARCH("تراز",G146)),"تراز/لرزش - نصب (رگلاژ پایه)",IF(OR(ISNUMBER(SEARCH("تعویض",G146)),ISNUMBER(SEARCH("تعويض",G146))),"تعویض کامل دستگاه (Replacement)","سایر (نیازمند بررسی دستی)")))))))))))))))))))))))))))))))))))))))))))</f>
        <v/>
      </c>
      <c r="P146" s="124" t="inlineStr">
        <is>
          <t>*</t>
        </is>
      </c>
      <c r="Q146" s="124">
        <f>IF(ISNUMBER(SEARCH("عهده شرکت",F146)),"شرکت",IF(ISNUMBER(SEARCH("عهده مشتري",F146)),"مشتری",IF(ISNUMBER(SEARCH("عهده مشتری",F146)),"مشتری","نامشخص")))</f>
        <v/>
      </c>
      <c r="R146" s="178">
        <f>IF(O146="تعویض کامل دستگاه (Replacement)",IF(SUMIF('قیمت‌ها و مفروضات'!$A$9:$A$13,C146,'قیمت‌ها و مفروضات'!$C$9:$C$13)&lt;&gt;0,SUMIF('قیمت‌ها و مفروضات'!$A$9:$A$13,C146,'قیمت‌ها و مفروضات'!$C$9:$C$13),SUMIF('قیمت‌ها و مفروضات'!$A$9:$A$13,C146,'قیمت‌ها و مفروضات'!$B$9:$B$13)),IF(SUMIF('قیمت‌ها و مفروضات'!$A$18:$A$63,O146,'قیمت‌ها و مفروضات'!$C$18:$C$63)&lt;&gt;0,SUMIF('قیمت‌ها و مفروضات'!$A$18:$A$63,O146,'قیمت‌ها و مفروضات'!$C$18:$C$63),SUMIF('قیمت‌ها و مفروضات'!$A$18:$A$63,O146,'قیمت‌ها و مفروضات'!$B$18:$B$63)))</f>
        <v/>
      </c>
      <c r="S146" s="178">
        <f>'قیمت‌ها و مفروضات'!$B$3+'قیمت‌ها و مفروضات'!$B$4</f>
        <v/>
      </c>
      <c r="T146" s="178">
        <f>R146+S146</f>
        <v/>
      </c>
      <c r="U146" s="178">
        <f>IF(COUNTIF($E$2:E146,E146)&gt;1,"بله (تکراری)","خیر")</f>
        <v/>
      </c>
      <c r="V146" s="178">
        <f>IF(U146="بله (تکراری)",S146,0)</f>
        <v/>
      </c>
      <c r="W146" s="208" t="inlineStr"/>
      <c r="X146" s="208" t="inlineStr"/>
    </row>
    <row r="147" ht="58.5" customHeight="1" s="151">
      <c r="A147" s="176" t="n">
        <v>765614</v>
      </c>
      <c r="B147" s="124">
        <f>CHOOSE(_xlfn.NUMBERVALUE(MID(H147,6,2)),"فروردین","اردیبهشت","خرداد","تیر","مرداد","شهریور","مهر","آبان","آذر","دی","بهمن","اسفند")</f>
        <v/>
      </c>
      <c r="C147" s="176" t="inlineStr">
        <is>
          <t>ماشين ظرفشويي</t>
        </is>
      </c>
      <c r="D147" s="176" t="inlineStr">
        <is>
          <t>CDW-H16T</t>
        </is>
      </c>
      <c r="E147" s="176" t="inlineStr">
        <is>
          <t>52220004N01531</t>
        </is>
      </c>
      <c r="F147" s="173" t="inlineStr">
        <is>
          <t>اياب و ذهاب به عهده شرکت ** بسته نشدن درب</t>
        </is>
      </c>
      <c r="G147" s="124" t="inlineStr">
        <is>
          <t>رگلاژ درب / لولا درب</t>
        </is>
      </c>
      <c r="H147" s="176" t="inlineStr">
        <is>
          <t>1405/01/26</t>
        </is>
      </c>
      <c r="I147" s="124" t="inlineStr">
        <is>
          <t>1403/11/07</t>
        </is>
      </c>
      <c r="J147" s="124" t="inlineStr">
        <is>
          <t>1404/02/13</t>
        </is>
      </c>
      <c r="K147" s="177">
        <f>IFERROR(VLOOKUP(LEFT(H147,7),'تبدیل تاریخ'!$A$2:$B$73,2,FALSE())+VALUE(RIGHT(H147,2))-1,"")</f>
        <v/>
      </c>
      <c r="L147" s="177">
        <f>IFERROR(VLOOKUP(LEFT(I147,7),'تبدیل تاریخ'!$A$2:$B$73,2,FALSE())+VALUE(RIGHT(I147,2))-1,"")</f>
        <v/>
      </c>
      <c r="M147" s="177">
        <f>IF(J147="","",IFERROR(VLOOKUP(LEFT(J147,7),'تبدیل تاریخ'!$A$2:$B$73,2,FALSE())+VALUE(RIGHT(J147,2))-1,""))</f>
        <v/>
      </c>
      <c r="N147" s="124">
        <f>IF(OR(K147="",M147=""),"",CEILING((K147-M147)/30,1))</f>
        <v/>
      </c>
      <c r="O147" s="124">
        <f>IF(OR(ISNUMBER(SEARCH("بدون مورد",G147)),ISNUMBER(SEARCH("غير گارانتي",G147)),ISNUMBER(SEARCH("غیر گارانتی",G147)),ISNUMBER(SEARCH("بدون اجرت",G147)),ISNUMBER(SEARCH("فيلتر",G147)),ISNUMBER(SEARCH("فیلتر",G147))),"غیرگارانتی/بدون قطعه",IF(OR(ISNUMBER(SEARCH("ريست",G147)),ISNUMBER(SEARCH("ریست",G147))),"ریست نرم‌افزاری (بدون قطعه)",IF(OR(ISNUMBER(SEARCH("تعویض محصول",G147)),ISNUMBER(SEARCH("تعویض دستگاه",G147))),"تعویض کامل دستگاه (Replacement)",IF(ISNUMBER(SEARCH("پمپ",G147)),IF(ISNUMBER(SEARCH("نشت",G147)),"نشتی - پمپ تخلیه (تعمیر/آب‌بندی)","خرابی - پمپ تخلیه (تعویض)"),IF(ISNUMBER(SEARCH("کمپرسور",G147)),"خرابی - کمپرسور (تعویض)",IF(ISNUMBER(SEARCH("کمک فنر",G147)),"خرابی - کمک فنر (تعویض)",IF(ISNUMBER(SEARCH("لولا",G147)),"مکانیزم درب - لولا (تعویض)",IF(OR(ISNUMBER(SEARCH("قلاب",G147)),ISNUMBER(SEARCH("ميکروسوئيچ",G147)),ISNUMBER(SEARCH("میکروسوئیچ",G147))),"مکانیزم درب - میکروسوئیچ/قلاب (تعویض/تنظیم)",IF(ISNUMBER(SEARCH("زبانه",G147)),"مکانیزم درب - زبانه (تعویض)",IF(OR(ISNUMBER(SEARCH("شيلنگ",G147)),ISNUMBER(SEARCH("شیلنگ",G147))),IF(OR(ISNUMBER(SEARCH("نشتی",G147)),ISNUMBER(SEARCH("نشتي",G147))),"نشتی - شیلنگ (تعمیر/آب‌بندی)",IF(OR(ISNUMBER(SEARCH("يخ",G147)),ISNUMBER(SEARCH("یخ",G147))),"شیلنگ یخساز - یخ‌زدگی (بازبینی)","شیلنگ - برخورد/لهیدگی (بازبینی)")),IF(OR(ISNUMBER(SEARCH("تنظيم ديسپل",G147)),ISNUMBER(SEARCH("تنظیم دیسپل",G147)),ISNUMBER(SEARCH("تنظيم صفحه نمايش",G147)),ISNUMBER(SEARCH("تنظیم صفحه نمایش",G147))),"تنظیم - تنظیمات دستگاه/دیسپلی (تعمیر)",IF(OR(ISNUMBER(SEARCH("برد",G147)),ISNUMBER(SEARCH("سوکت",G147)),ISNUMBER(SEARCH("ديسپل",G147)),ISNUMBER(SEARCH("دیسپل",G147))),"خرابی - برد الکترونیک (تعویض)",IF(OR(ISNUMBER(SEARCH("يخساز",G147)),ISNUMBER(SEARCH("یخساز",G147)),ISNUMBER(SEARCH("دمپر",G147))),IF(OR(ISNUMBER(SEARCH("خرابی",G147)),ISNUMBER(SEARCH("خراب",G147)),ISNUMBER(SEARCH("عدم کارکرد",G147)),ISNUMBER(SEARCH("عدم عملکرد",G147))),"یخساز - خرابی موتور/سنسور/برد (تعویض)","یخساز - تنظیم/عایق (تعمیر)"),IF(OR(ISNUMBER(SEARCH("لاستيک",G147)),ISNUMBER(SEARCH("لاستیک",G147))),"لاستیک درزگیر - دفرمگی/پارگی (تعویض)",IF(OR(ISNUMBER(SEARCH("گسکت",G147)),ISNUMBER(SEARCH("گسگت",G147))),"لاستیک درزگیر - دفرمگی/پارگی (تعویض)",IF(ISNUMBER(SEARCH("مخزن نمک",G147)),"نشتی - درب مخزن نمک (تعمیر/آب‌بندی)",IF(ISNUMBER(SEARCH("براکت",G147)),"نشتی - براکت ریل (تعمیر/آب‌بندی)",IF(ISNUMBER(SEARCH("جاپودر",G147)),"نشتی - جاپودری (تعمیر/آب‌بندی)",IF(ISNUMBER(SEARCH("مقسم",G147)),"نشتی - مقسم آب (تعمیر/آب‌بندی)",IF(OR(ISNUMBER(SEARCH("سنسور دما",G147)),ISNUMBER(SEARCH("ترموستات",G147))),"خرابی - ترموستات (تعویض)",IF(OR(ISNUMBER(SEARCH("هيدروستات",G147)),ISNUMBER(SEARCH("هیدروستات",G147))),"خرابی - هیدروستات (تعویض)",IF(OR(ISNUMBER(SEARCH("بلبرينگ",G147)),ISNUMBER(SEARCH("بلبرینگ",G147))),"خرابی - بلبرینگ (تعویض)",IF(OR(ISNUMBER(SEARCH("شيربرق",G147)),ISNUMBER(SEARCH("شیربرق",G147))),"خرابی - شیربرقی (تعویض)",IF(OR(ISNUMBER(SEARCH("واتر جت",G147)),ISNUMBER(SEARCH("واترجت",G147))),"خرابی - واترجت (تعویض)",IF(OR(ISNUMBER(SEARCH("سيم",G147)),ISNUMBER(SEARCH("سیم",G147)),ISNUMBER(SEARCH("اتصال",G147))),"سیم‌کشی/اتصالات (تعویض/بازبینی)",IF(OR(ISNUMBER(SEARCH("تصوير",G147)),ISNUMBER(SEARCH("تصویر",G147))),"برد نمایش تلویزیون (تعویض)",IF(OR(ISNUMBER(SEARCH("ريموت",G147)),ISNUMBER(SEARCH("ریموت",G147))),"ریموت کنترل (تعویض/تعمیر)",IF(OR(ISNUMBER(SEARCH("ال اي دي",G147)),ISNUMBER(SEARCH("ال ای دی",G147)),ISNUMBER(SEARCH("LED",G147))),"خرابی - لامپ/LED داخلی (تعویض)",IF(ISNUMBER(SEARCH("زنگ زدگ",G147)),"زنگ‌زدگی بدنه/قطعه (تعویض)",IF(OR(ISNUMBER(SEARCH("قطعات تزئين",G147)),ISNUMBER(SEARCH("قطعات تزئین",G147))),"قطعات تزئینی - شکستگی/کسری (تعویض)",IF(ISNUMBER(SEARCH("سبد",G147)),"سبد ظرفشویی - شکستگی (تعویض)",IF(ISNUMBER(SEARCH("تاب درام",G147)),"خرابی - تاب برداشتن درام (تعویض)",IF(ISNUMBER(SEARCH("درام",G147)),"خرابی - سایر ایراد درام (تعویض)",IF(ISNUMBER(SEARCH("موتور",G147)),"خرابی - موتور (تعویض)",IF(ISNUMBER(SEARCH("تسمه",G147)),"خرابی - تسمه (تعویض)",IF(OR(ISNUMBER(SEARCH("پيچ ولوم",G147)),ISNUMBER(SEARCH("پیچ ولوم",G147))),"تنظیم - پیچ ولوم/دکمه (تعمیر)",IF(OR(ISNUMBER(SEARCH("کسري قطعات",G147)),ISNUMBER(SEARCH("کسری قطعات",G147))),"کسری قطعات تزئینی (تعویض)",IF(ISNUMBER(SEARCH("پرچ",G147)),"پرچ/بدنه کابین(تعمیر)",IF(OR(ISNUMBER(SEARCH("نشت",G147)),ISNUMBER(SEARCH("آبريزش",G147)),ISNUMBER(SEARCH("آبریزش",G147))),"نشتی آب - محل نامشخص (نیازمند بازدید)",IF(ISNUMBER(SEARCH("درب",G147)),"سایر اجزای درب (بازبینی)",IF(ISNUMBER(SEARCH("ضربه",G147)),"بدنه/کابین - ضربه (بازبینی/تعویض پنل)",IF(ISNUMBER(SEARCH("تراز",G147)),"تراز/لرزش - نصب (رگلاژ پایه)",IF(OR(ISNUMBER(SEARCH("تعویض",G147)),ISNUMBER(SEARCH("تعويض",G147))),"تعویض کامل دستگاه (Replacement)","سایر (نیازمند بررسی دستی)")))))))))))))))))))))))))))))))))))))))))))</f>
        <v/>
      </c>
      <c r="P147" s="124" t="inlineStr">
        <is>
          <t>*</t>
        </is>
      </c>
      <c r="Q147" s="124">
        <f>IF(ISNUMBER(SEARCH("عهده شرکت",F147)),"شرکت",IF(ISNUMBER(SEARCH("عهده مشتري",F147)),"مشتری",IF(ISNUMBER(SEARCH("عهده مشتری",F147)),"مشتری","نامشخص")))</f>
        <v/>
      </c>
      <c r="R147" s="178">
        <f>IF(O147="تعویض کامل دستگاه (Replacement)",IF(SUMIF('قیمت‌ها و مفروضات'!$A$9:$A$13,C147,'قیمت‌ها و مفروضات'!$C$9:$C$13)&lt;&gt;0,SUMIF('قیمت‌ها و مفروضات'!$A$9:$A$13,C147,'قیمت‌ها و مفروضات'!$C$9:$C$13),SUMIF('قیمت‌ها و مفروضات'!$A$9:$A$13,C147,'قیمت‌ها و مفروضات'!$B$9:$B$13)),IF(SUMIF('قیمت‌ها و مفروضات'!$A$18:$A$63,O147,'قیمت‌ها و مفروضات'!$C$18:$C$63)&lt;&gt;0,SUMIF('قیمت‌ها و مفروضات'!$A$18:$A$63,O147,'قیمت‌ها و مفروضات'!$C$18:$C$63),SUMIF('قیمت‌ها و مفروضات'!$A$18:$A$63,O147,'قیمت‌ها و مفروضات'!$B$18:$B$63)))</f>
        <v/>
      </c>
      <c r="S147" s="178">
        <f>'قیمت‌ها و مفروضات'!$B$3+'قیمت‌ها و مفروضات'!$B$4</f>
        <v/>
      </c>
      <c r="T147" s="178">
        <f>R147+S147</f>
        <v/>
      </c>
      <c r="U147" s="178">
        <f>IF(COUNTIF($E$2:E147,E147)&gt;1,"بله (تکراری)","خیر")</f>
        <v/>
      </c>
      <c r="V147" s="178">
        <f>IF(U147="بله (تکراری)",S147,0)</f>
        <v/>
      </c>
      <c r="W147" s="208" t="inlineStr"/>
      <c r="X147" s="208" t="inlineStr"/>
    </row>
    <row r="148" ht="58.5" customHeight="1" s="151">
      <c r="A148" s="176" t="n">
        <v>766169</v>
      </c>
      <c r="B148" s="124">
        <f>CHOOSE(_xlfn.NUMBERVALUE(MID(H148,6,2)),"فروردین","اردیبهشت","خرداد","تیر","مرداد","شهریور","مهر","آبان","آذر","دی","بهمن","اسفند")</f>
        <v/>
      </c>
      <c r="C148" s="176" t="inlineStr">
        <is>
          <t>ماشين ظرفشويي</t>
        </is>
      </c>
      <c r="D148" s="176" t="inlineStr">
        <is>
          <t>CDW-H16T</t>
        </is>
      </c>
      <c r="E148" s="176" t="inlineStr">
        <is>
          <t>52220004N03782</t>
        </is>
      </c>
      <c r="F148" s="173" t="inlineStr">
        <is>
          <t>افتادگي درب/ تنظيم درب**اياب و ذهاب به عهده شرکت</t>
        </is>
      </c>
      <c r="G148" s="124" t="inlineStr">
        <is>
          <t>رگلاژ درب / لولا درب</t>
        </is>
      </c>
      <c r="H148" s="176" t="inlineStr">
        <is>
          <t>1405/01/27</t>
        </is>
      </c>
      <c r="I148" s="124" t="inlineStr">
        <is>
          <t>1404/07/28</t>
        </is>
      </c>
      <c r="J148" s="124" t="inlineStr">
        <is>
          <t>1404/10/23</t>
        </is>
      </c>
      <c r="K148" s="177">
        <f>IFERROR(VLOOKUP(LEFT(H148,7),'تبدیل تاریخ'!$A$2:$B$73,2,FALSE())+VALUE(RIGHT(H148,2))-1,"")</f>
        <v/>
      </c>
      <c r="L148" s="177">
        <f>IFERROR(VLOOKUP(LEFT(I148,7),'تبدیل تاریخ'!$A$2:$B$73,2,FALSE())+VALUE(RIGHT(I148,2))-1,"")</f>
        <v/>
      </c>
      <c r="M148" s="177">
        <f>IF(J148="","",IFERROR(VLOOKUP(LEFT(J148,7),'تبدیل تاریخ'!$A$2:$B$73,2,FALSE())+VALUE(RIGHT(J148,2))-1,""))</f>
        <v/>
      </c>
      <c r="N148" s="124">
        <f>IF(OR(K148="",M148=""),"",CEILING((K148-M148)/30,1))</f>
        <v/>
      </c>
      <c r="O148" s="124">
        <f>IF(OR(ISNUMBER(SEARCH("بدون مورد",G148)),ISNUMBER(SEARCH("غير گارانتي",G148)),ISNUMBER(SEARCH("غیر گارانتی",G148)),ISNUMBER(SEARCH("بدون اجرت",G148)),ISNUMBER(SEARCH("فيلتر",G148)),ISNUMBER(SEARCH("فیلتر",G148))),"غیرگارانتی/بدون قطعه",IF(OR(ISNUMBER(SEARCH("ريست",G148)),ISNUMBER(SEARCH("ریست",G148))),"ریست نرم‌افزاری (بدون قطعه)",IF(OR(ISNUMBER(SEARCH("تعویض محصول",G148)),ISNUMBER(SEARCH("تعویض دستگاه",G148))),"تعویض کامل دستگاه (Replacement)",IF(ISNUMBER(SEARCH("پمپ",G148)),IF(ISNUMBER(SEARCH("نشت",G148)),"نشتی - پمپ تخلیه (تعمیر/آب‌بندی)","خرابی - پمپ تخلیه (تعویض)"),IF(ISNUMBER(SEARCH("کمپرسور",G148)),"خرابی - کمپرسور (تعویض)",IF(ISNUMBER(SEARCH("کمک فنر",G148)),"خرابی - کمک فنر (تعویض)",IF(ISNUMBER(SEARCH("لولا",G148)),"مکانیزم درب - لولا (تعویض)",IF(OR(ISNUMBER(SEARCH("قلاب",G148)),ISNUMBER(SEARCH("ميکروسوئيچ",G148)),ISNUMBER(SEARCH("میکروسوئیچ",G148))),"مکانیزم درب - میکروسوئیچ/قلاب (تعویض/تنظیم)",IF(ISNUMBER(SEARCH("زبانه",G148)),"مکانیزم درب - زبانه (تعویض)",IF(OR(ISNUMBER(SEARCH("شيلنگ",G148)),ISNUMBER(SEARCH("شیلنگ",G148))),IF(OR(ISNUMBER(SEARCH("نشتی",G148)),ISNUMBER(SEARCH("نشتي",G148))),"نشتی - شیلنگ (تعمیر/آب‌بندی)",IF(OR(ISNUMBER(SEARCH("يخ",G148)),ISNUMBER(SEARCH("یخ",G148))),"شیلنگ یخساز - یخ‌زدگی (بازبینی)","شیلنگ - برخورد/لهیدگی (بازبینی)")),IF(OR(ISNUMBER(SEARCH("تنظيم ديسپل",G148)),ISNUMBER(SEARCH("تنظیم دیسپل",G148)),ISNUMBER(SEARCH("تنظيم صفحه نمايش",G148)),ISNUMBER(SEARCH("تنظیم صفحه نمایش",G148))),"تنظیم - تنظیمات دستگاه/دیسپلی (تعمیر)",IF(OR(ISNUMBER(SEARCH("برد",G148)),ISNUMBER(SEARCH("سوکت",G148)),ISNUMBER(SEARCH("ديسپل",G148)),ISNUMBER(SEARCH("دیسپل",G148))),"خرابی - برد الکترونیک (تعویض)",IF(OR(ISNUMBER(SEARCH("يخساز",G148)),ISNUMBER(SEARCH("یخساز",G148)),ISNUMBER(SEARCH("دمپر",G148))),IF(OR(ISNUMBER(SEARCH("خرابی",G148)),ISNUMBER(SEARCH("خراب",G148)),ISNUMBER(SEARCH("عدم کارکرد",G148)),ISNUMBER(SEARCH("عدم عملکرد",G148))),"یخساز - خرابی موتور/سنسور/برد (تعویض)","یخساز - تنظیم/عایق (تعمیر)"),IF(OR(ISNUMBER(SEARCH("لاستيک",G148)),ISNUMBER(SEARCH("لاستیک",G148))),"لاستیک درزگیر - دفرمگی/پارگی (تعویض)",IF(OR(ISNUMBER(SEARCH("گسکت",G148)),ISNUMBER(SEARCH("گسگت",G148))),"لاستیک درزگیر - دفرمگی/پارگی (تعویض)",IF(ISNUMBER(SEARCH("مخزن نمک",G148)),"نشتی - درب مخزن نمک (تعمیر/آب‌بندی)",IF(ISNUMBER(SEARCH("براکت",G148)),"نشتی - براکت ریل (تعمیر/آب‌بندی)",IF(ISNUMBER(SEARCH("جاپودر",G148)),"نشتی - جاپودری (تعمیر/آب‌بندی)",IF(ISNUMBER(SEARCH("مقسم",G148)),"نشتی - مقسم آب (تعمیر/آب‌بندی)",IF(OR(ISNUMBER(SEARCH("سنسور دما",G148)),ISNUMBER(SEARCH("ترموستات",G148))),"خرابی - ترموستات (تعویض)",IF(OR(ISNUMBER(SEARCH("هيدروستات",G148)),ISNUMBER(SEARCH("هیدروستات",G148))),"خرابی - هیدروستات (تعویض)",IF(OR(ISNUMBER(SEARCH("بلبرينگ",G148)),ISNUMBER(SEARCH("بلبرینگ",G148))),"خرابی - بلبرینگ (تعویض)",IF(OR(ISNUMBER(SEARCH("شيربرق",G148)),ISNUMBER(SEARCH("شیربرق",G148))),"خرابی - شیربرقی (تعویض)",IF(OR(ISNUMBER(SEARCH("واتر جت",G148)),ISNUMBER(SEARCH("واترجت",G148))),"خرابی - واترجت (تعویض)",IF(OR(ISNUMBER(SEARCH("سيم",G148)),ISNUMBER(SEARCH("سیم",G148)),ISNUMBER(SEARCH("اتصال",G148))),"سیم‌کشی/اتصالات (تعویض/بازبینی)",IF(OR(ISNUMBER(SEARCH("تصوير",G148)),ISNUMBER(SEARCH("تصویر",G148))),"برد نمایش تلویزیون (تعویض)",IF(OR(ISNUMBER(SEARCH("ريموت",G148)),ISNUMBER(SEARCH("ریموت",G148))),"ریموت کنترل (تعویض/تعمیر)",IF(OR(ISNUMBER(SEARCH("ال اي دي",G148)),ISNUMBER(SEARCH("ال ای دی",G148)),ISNUMBER(SEARCH("LED",G148))),"خرابی - لامپ/LED داخلی (تعویض)",IF(ISNUMBER(SEARCH("زنگ زدگ",G148)),"زنگ‌زدگی بدنه/قطعه (تعویض)",IF(OR(ISNUMBER(SEARCH("قطعات تزئين",G148)),ISNUMBER(SEARCH("قطعات تزئین",G148))),"قطعات تزئینی - شکستگی/کسری (تعویض)",IF(ISNUMBER(SEARCH("سبد",G148)),"سبد ظرفشویی - شکستگی (تعویض)",IF(ISNUMBER(SEARCH("تاب درام",G148)),"خرابی - تاب برداشتن درام (تعویض)",IF(ISNUMBER(SEARCH("درام",G148)),"خرابی - سایر ایراد درام (تعویض)",IF(ISNUMBER(SEARCH("موتور",G148)),"خرابی - موتور (تعویض)",IF(ISNUMBER(SEARCH("تسمه",G148)),"خرابی - تسمه (تعویض)",IF(OR(ISNUMBER(SEARCH("پيچ ولوم",G148)),ISNUMBER(SEARCH("پیچ ولوم",G148))),"تنظیم - پیچ ولوم/دکمه (تعمیر)",IF(OR(ISNUMBER(SEARCH("کسري قطعات",G148)),ISNUMBER(SEARCH("کسری قطعات",G148))),"کسری قطعات تزئینی (تعویض)",IF(ISNUMBER(SEARCH("پرچ",G148)),"پرچ/بدنه کابین(تعمیر)",IF(OR(ISNUMBER(SEARCH("نشت",G148)),ISNUMBER(SEARCH("آبريزش",G148)),ISNUMBER(SEARCH("آبریزش",G148))),"نشتی آب - محل نامشخص (نیازمند بازدید)",IF(ISNUMBER(SEARCH("درب",G148)),"سایر اجزای درب (بازبینی)",IF(ISNUMBER(SEARCH("ضربه",G148)),"بدنه/کابین - ضربه (بازبینی/تعویض پنل)",IF(ISNUMBER(SEARCH("تراز",G148)),"تراز/لرزش - نصب (رگلاژ پایه)",IF(OR(ISNUMBER(SEARCH("تعویض",G148)),ISNUMBER(SEARCH("تعويض",G148))),"تعویض کامل دستگاه (Replacement)","سایر (نیازمند بررسی دستی)")))))))))))))))))))))))))))))))))))))))))))</f>
        <v/>
      </c>
      <c r="P148" s="124" t="inlineStr">
        <is>
          <t>*</t>
        </is>
      </c>
      <c r="Q148" s="124">
        <f>IF(ISNUMBER(SEARCH("عهده شرکت",F148)),"شرکت",IF(ISNUMBER(SEARCH("عهده مشتري",F148)),"مشتری",IF(ISNUMBER(SEARCH("عهده مشتری",F148)),"مشتری","نامشخص")))</f>
        <v/>
      </c>
      <c r="R148" s="178">
        <f>IF(O148="تعویض کامل دستگاه (Replacement)",IF(SUMIF('قیمت‌ها و مفروضات'!$A$9:$A$13,C148,'قیمت‌ها و مفروضات'!$C$9:$C$13)&lt;&gt;0,SUMIF('قیمت‌ها و مفروضات'!$A$9:$A$13,C148,'قیمت‌ها و مفروضات'!$C$9:$C$13),SUMIF('قیمت‌ها و مفروضات'!$A$9:$A$13,C148,'قیمت‌ها و مفروضات'!$B$9:$B$13)),IF(SUMIF('قیمت‌ها و مفروضات'!$A$18:$A$63,O148,'قیمت‌ها و مفروضات'!$C$18:$C$63)&lt;&gt;0,SUMIF('قیمت‌ها و مفروضات'!$A$18:$A$63,O148,'قیمت‌ها و مفروضات'!$C$18:$C$63),SUMIF('قیمت‌ها و مفروضات'!$A$18:$A$63,O148,'قیمت‌ها و مفروضات'!$B$18:$B$63)))</f>
        <v/>
      </c>
      <c r="S148" s="178">
        <f>'قیمت‌ها و مفروضات'!$B$3+'قیمت‌ها و مفروضات'!$B$4</f>
        <v/>
      </c>
      <c r="T148" s="178">
        <f>R148+S148</f>
        <v/>
      </c>
      <c r="U148" s="178">
        <f>IF(COUNTIF($E$2:E148,E148)&gt;1,"بله (تکراری)","خیر")</f>
        <v/>
      </c>
      <c r="V148" s="178">
        <f>IF(U148="بله (تکراری)",S148,0)</f>
        <v/>
      </c>
      <c r="W148" s="208" t="inlineStr"/>
      <c r="X148" s="208" t="inlineStr"/>
    </row>
    <row r="149" ht="58.5" customHeight="1" s="151">
      <c r="A149" s="176" t="n">
        <v>510016363</v>
      </c>
      <c r="B149" s="124">
        <f>CHOOSE(_xlfn.NUMBERVALUE(MID(H149,6,2)),"فروردین","اردیبهشت","خرداد","تیر","مرداد","شهریور","مهر","آبان","آذر","دی","بهمن","اسفند")</f>
        <v/>
      </c>
      <c r="C149" s="176" t="inlineStr">
        <is>
          <t>ماشين لباسشويي</t>
        </is>
      </c>
      <c r="D149" s="176" t="inlineStr">
        <is>
          <t>CWM-BMW8T1</t>
        </is>
      </c>
      <c r="E149" s="176" t="inlineStr">
        <is>
          <t>52210009N00574</t>
        </is>
      </c>
      <c r="F149" s="173" t="inlineStr">
        <is>
          <t>صداي غيرعادي هنگام خشک کن**اياب و ذهاب به عهده شرکت</t>
        </is>
      </c>
      <c r="G149" s="124" t="inlineStr">
        <is>
          <t>تراز پايه تنظيم</t>
        </is>
      </c>
      <c r="H149" s="176" t="inlineStr">
        <is>
          <t>1405/01/27</t>
        </is>
      </c>
      <c r="I149" s="124" t="inlineStr">
        <is>
          <t>1404/02/02</t>
        </is>
      </c>
      <c r="J149" s="124" t="inlineStr">
        <is>
          <t>1405/01/20</t>
        </is>
      </c>
      <c r="K149" s="177">
        <f>IFERROR(VLOOKUP(LEFT(H149,7),'تبدیل تاریخ'!$A$2:$B$73,2,FALSE())+VALUE(RIGHT(H149,2))-1,"")</f>
        <v/>
      </c>
      <c r="L149" s="177">
        <f>IFERROR(VLOOKUP(LEFT(I149,7),'تبدیل تاریخ'!$A$2:$B$73,2,FALSE())+VALUE(RIGHT(I149,2))-1,"")</f>
        <v/>
      </c>
      <c r="M149" s="177">
        <f>IF(J149="","",IFERROR(VLOOKUP(LEFT(J149,7),'تبدیل تاریخ'!$A$2:$B$73,2,FALSE())+VALUE(RIGHT(J149,2))-1,""))</f>
        <v/>
      </c>
      <c r="N149" s="124">
        <f>IF(OR(K149="",M149=""),"",CEILING((K149-M149)/30,1))</f>
        <v/>
      </c>
      <c r="O149" s="124">
        <f>IF(OR(ISNUMBER(SEARCH("بدون مورد",G149)),ISNUMBER(SEARCH("غير گارانتي",G149)),ISNUMBER(SEARCH("غیر گارانتی",G149)),ISNUMBER(SEARCH("بدون اجرت",G149)),ISNUMBER(SEARCH("فيلتر",G149)),ISNUMBER(SEARCH("فیلتر",G149))),"غیرگارانتی/بدون قطعه",IF(OR(ISNUMBER(SEARCH("ريست",G149)),ISNUMBER(SEARCH("ریست",G149))),"ریست نرم‌افزاری (بدون قطعه)",IF(OR(ISNUMBER(SEARCH("تعویض محصول",G149)),ISNUMBER(SEARCH("تعویض دستگاه",G149))),"تعویض کامل دستگاه (Replacement)",IF(ISNUMBER(SEARCH("پمپ",G149)),IF(ISNUMBER(SEARCH("نشت",G149)),"نشتی - پمپ تخلیه (تعمیر/آب‌بندی)","خرابی - پمپ تخلیه (تعویض)"),IF(ISNUMBER(SEARCH("کمپرسور",G149)),"خرابی - کمپرسور (تعویض)",IF(ISNUMBER(SEARCH("کمک فنر",G149)),"خرابی - کمک فنر (تعویض)",IF(ISNUMBER(SEARCH("لولا",G149)),"مکانیزم درب - لولا (تعویض)",IF(OR(ISNUMBER(SEARCH("قلاب",G149)),ISNUMBER(SEARCH("ميکروسوئيچ",G149)),ISNUMBER(SEARCH("میکروسوئیچ",G149))),"مکانیزم درب - میکروسوئیچ/قلاب (تعویض/تنظیم)",IF(ISNUMBER(SEARCH("زبانه",G149)),"مکانیزم درب - زبانه (تعویض)",IF(OR(ISNUMBER(SEARCH("شيلنگ",G149)),ISNUMBER(SEARCH("شیلنگ",G149))),IF(OR(ISNUMBER(SEARCH("نشتی",G149)),ISNUMBER(SEARCH("نشتي",G149))),"نشتی - شیلنگ (تعمیر/آب‌بندی)",IF(OR(ISNUMBER(SEARCH("يخ",G149)),ISNUMBER(SEARCH("یخ",G149))),"شیلنگ یخساز - یخ‌زدگی (بازبینی)","شیلنگ - برخورد/لهیدگی (بازبینی)")),IF(OR(ISNUMBER(SEARCH("تنظيم ديسپل",G149)),ISNUMBER(SEARCH("تنظیم دیسپل",G149)),ISNUMBER(SEARCH("تنظيم صفحه نمايش",G149)),ISNUMBER(SEARCH("تنظیم صفحه نمایش",G149))),"تنظیم - تنظیمات دستگاه/دیسپلی (تعمیر)",IF(OR(ISNUMBER(SEARCH("برد",G149)),ISNUMBER(SEARCH("سوکت",G149)),ISNUMBER(SEARCH("ديسپل",G149)),ISNUMBER(SEARCH("دیسپل",G149))),"خرابی - برد الکترونیک (تعویض)",IF(OR(ISNUMBER(SEARCH("يخساز",G149)),ISNUMBER(SEARCH("یخساز",G149)),ISNUMBER(SEARCH("دمپر",G149))),IF(OR(ISNUMBER(SEARCH("خرابی",G149)),ISNUMBER(SEARCH("خراب",G149)),ISNUMBER(SEARCH("عدم کارکرد",G149)),ISNUMBER(SEARCH("عدم عملکرد",G149))),"یخساز - خرابی موتور/سنسور/برد (تعویض)","یخساز - تنظیم/عایق (تعمیر)"),IF(OR(ISNUMBER(SEARCH("لاستيک",G149)),ISNUMBER(SEARCH("لاستیک",G149))),"لاستیک درزگیر - دفرمگی/پارگی (تعویض)",IF(OR(ISNUMBER(SEARCH("گسکت",G149)),ISNUMBER(SEARCH("گسگت",G149))),"لاستیک درزگیر - دفرمگی/پارگی (تعویض)",IF(ISNUMBER(SEARCH("مخزن نمک",G149)),"نشتی - درب مخزن نمک (تعمیر/آب‌بندی)",IF(ISNUMBER(SEARCH("براکت",G149)),"نشتی - براکت ریل (تعمیر/آب‌بندی)",IF(ISNUMBER(SEARCH("جاپودر",G149)),"نشتی - جاپودری (تعمیر/آب‌بندی)",IF(ISNUMBER(SEARCH("مقسم",G149)),"نشتی - مقسم آب (تعمیر/آب‌بندی)",IF(OR(ISNUMBER(SEARCH("سنسور دما",G149)),ISNUMBER(SEARCH("ترموستات",G149))),"خرابی - ترموستات (تعویض)",IF(OR(ISNUMBER(SEARCH("هيدروستات",G149)),ISNUMBER(SEARCH("هیدروستات",G149))),"خرابی - هیدروستات (تعویض)",IF(OR(ISNUMBER(SEARCH("بلبرينگ",G149)),ISNUMBER(SEARCH("بلبرینگ",G149))),"خرابی - بلبرینگ (تعویض)",IF(OR(ISNUMBER(SEARCH("شيربرق",G149)),ISNUMBER(SEARCH("شیربرق",G149))),"خرابی - شیربرقی (تعویض)",IF(OR(ISNUMBER(SEARCH("واتر جت",G149)),ISNUMBER(SEARCH("واترجت",G149))),"خرابی - واترجت (تعویض)",IF(OR(ISNUMBER(SEARCH("سيم",G149)),ISNUMBER(SEARCH("سیم",G149)),ISNUMBER(SEARCH("اتصال",G149))),"سیم‌کشی/اتصالات (تعویض/بازبینی)",IF(OR(ISNUMBER(SEARCH("تصوير",G149)),ISNUMBER(SEARCH("تصویر",G149))),"برد نمایش تلویزیون (تعویض)",IF(OR(ISNUMBER(SEARCH("ريموت",G149)),ISNUMBER(SEARCH("ریموت",G149))),"ریموت کنترل (تعویض/تعمیر)",IF(OR(ISNUMBER(SEARCH("ال اي دي",G149)),ISNUMBER(SEARCH("ال ای دی",G149)),ISNUMBER(SEARCH("LED",G149))),"خرابی - لامپ/LED داخلی (تعویض)",IF(ISNUMBER(SEARCH("زنگ زدگ",G149)),"زنگ‌زدگی بدنه/قطعه (تعویض)",IF(OR(ISNUMBER(SEARCH("قطعات تزئين",G149)),ISNUMBER(SEARCH("قطعات تزئین",G149))),"قطعات تزئینی - شکستگی/کسری (تعویض)",IF(ISNUMBER(SEARCH("سبد",G149)),"سبد ظرفشویی - شکستگی (تعویض)",IF(ISNUMBER(SEARCH("تاب درام",G149)),"خرابی - تاب برداشتن درام (تعویض)",IF(ISNUMBER(SEARCH("درام",G149)),"خرابی - سایر ایراد درام (تعویض)",IF(ISNUMBER(SEARCH("موتور",G149)),"خرابی - موتور (تعویض)",IF(ISNUMBER(SEARCH("تسمه",G149)),"خرابی - تسمه (تعویض)",IF(OR(ISNUMBER(SEARCH("پيچ ولوم",G149)),ISNUMBER(SEARCH("پیچ ولوم",G149))),"تنظیم - پیچ ولوم/دکمه (تعمیر)",IF(OR(ISNUMBER(SEARCH("کسري قطعات",G149)),ISNUMBER(SEARCH("کسری قطعات",G149))),"کسری قطعات تزئینی (تعویض)",IF(ISNUMBER(SEARCH("پرچ",G149)),"پرچ/بدنه کابین(تعمیر)",IF(OR(ISNUMBER(SEARCH("نشت",G149)),ISNUMBER(SEARCH("آبريزش",G149)),ISNUMBER(SEARCH("آبریزش",G149))),"نشتی آب - محل نامشخص (نیازمند بازدید)",IF(ISNUMBER(SEARCH("درب",G149)),"سایر اجزای درب (بازبینی)",IF(ISNUMBER(SEARCH("ضربه",G149)),"بدنه/کابین - ضربه (بازبینی/تعویض پنل)",IF(ISNUMBER(SEARCH("تراز",G149)),"تراز/لرزش - نصب (رگلاژ پایه)",IF(OR(ISNUMBER(SEARCH("تعویض",G149)),ISNUMBER(SEARCH("تعويض",G149))),"تعویض کامل دستگاه (Replacement)","سایر (نیازمند بررسی دستی)")))))))))))))))))))))))))))))))))))))))))))</f>
        <v/>
      </c>
      <c r="P149" s="124" t="inlineStr">
        <is>
          <t>رگلاژ پایه تنظیم لباسشویی</t>
        </is>
      </c>
      <c r="Q149" s="124">
        <f>IF(ISNUMBER(SEARCH("عهده شرکت",F149)),"شرکت",IF(ISNUMBER(SEARCH("عهده مشتري",F149)),"مشتری",IF(ISNUMBER(SEARCH("عهده مشتری",F149)),"مشتری","نامشخص")))</f>
        <v/>
      </c>
      <c r="R149" s="178">
        <f>IF(O149="تعویض کامل دستگاه (Replacement)",IF(SUMIF('قیمت‌ها و مفروضات'!$A$9:$A$13,C149,'قیمت‌ها و مفروضات'!$C$9:$C$13)&lt;&gt;0,SUMIF('قیمت‌ها و مفروضات'!$A$9:$A$13,C149,'قیمت‌ها و مفروضات'!$C$9:$C$13),SUMIF('قیمت‌ها و مفروضات'!$A$9:$A$13,C149,'قیمت‌ها و مفروضات'!$B$9:$B$13)),IF(SUMIF('قیمت‌ها و مفروضات'!$A$18:$A$63,O149,'قیمت‌ها و مفروضات'!$C$18:$C$63)&lt;&gt;0,SUMIF('قیمت‌ها و مفروضات'!$A$18:$A$63,O149,'قیمت‌ها و مفروضات'!$C$18:$C$63),SUMIF('قیمت‌ها و مفروضات'!$A$18:$A$63,O149,'قیمت‌ها و مفروضات'!$B$18:$B$63)))</f>
        <v/>
      </c>
      <c r="S149" s="178">
        <f>'قیمت‌ها و مفروضات'!$B$3+'قیمت‌ها و مفروضات'!$B$4</f>
        <v/>
      </c>
      <c r="T149" s="178">
        <f>R149+S149</f>
        <v/>
      </c>
      <c r="U149" s="178">
        <f>IF(COUNTIF($E$2:E149,E149)&gt;1,"بله (تکراری)","خیر")</f>
        <v/>
      </c>
      <c r="V149" s="178">
        <f>IF(U149="بله (تکراری)",S149,0)</f>
        <v/>
      </c>
      <c r="W149" s="208" t="inlineStr"/>
      <c r="X149" s="208" t="inlineStr"/>
    </row>
    <row r="150" ht="58.5" customHeight="1" s="151">
      <c r="A150" s="176" t="n">
        <v>766636</v>
      </c>
      <c r="B150" s="124">
        <f>CHOOSE(_xlfn.NUMBERVALUE(MID(H150,6,2)),"فروردین","اردیبهشت","خرداد","تیر","مرداد","شهریور","مهر","آبان","آذر","دی","بهمن","اسفند")</f>
        <v/>
      </c>
      <c r="C150" s="176" t="inlineStr">
        <is>
          <t>ماشين ظرفشويي</t>
        </is>
      </c>
      <c r="D150" s="176" t="inlineStr">
        <is>
          <t>CDW-H13V</t>
        </is>
      </c>
      <c r="E150" s="176" t="inlineStr">
        <is>
          <t>210140001N00211</t>
        </is>
      </c>
      <c r="F150" s="173" t="inlineStr">
        <is>
          <t>جمع شدن آب زير محصول**اياب و ذهاب به عهده شرکت</t>
        </is>
      </c>
      <c r="G150" s="124" t="inlineStr">
        <is>
          <t>نشتي پمپ تخليه</t>
        </is>
      </c>
      <c r="H150" s="176" t="inlineStr">
        <is>
          <t>1405/01/29</t>
        </is>
      </c>
      <c r="I150" s="124" t="inlineStr">
        <is>
          <t>1402/11/05</t>
        </is>
      </c>
      <c r="J150" s="124" t="inlineStr">
        <is>
          <t>1404/02/03</t>
        </is>
      </c>
      <c r="K150" s="177">
        <f>IFERROR(VLOOKUP(LEFT(H150,7),'تبدیل تاریخ'!$A$2:$B$73,2,FALSE())+VALUE(RIGHT(H150,2))-1,"")</f>
        <v/>
      </c>
      <c r="L150" s="177">
        <f>IFERROR(VLOOKUP(LEFT(I150,7),'تبدیل تاریخ'!$A$2:$B$73,2,FALSE())+VALUE(RIGHT(I150,2))-1,"")</f>
        <v/>
      </c>
      <c r="M150" s="177">
        <f>IF(J150="","",IFERROR(VLOOKUP(LEFT(J150,7),'تبدیل تاریخ'!$A$2:$B$73,2,FALSE())+VALUE(RIGHT(J150,2))-1,""))</f>
        <v/>
      </c>
      <c r="N150" s="124">
        <f>IF(OR(K150="",M150=""),"",CEILING((K150-M150)/30,1))</f>
        <v/>
      </c>
      <c r="O150" s="124">
        <f>IF(OR(ISNUMBER(SEARCH("بدون مورد",G150)),ISNUMBER(SEARCH("غير گارانتي",G150)),ISNUMBER(SEARCH("غیر گارانتی",G150)),ISNUMBER(SEARCH("بدون اجرت",G150)),ISNUMBER(SEARCH("فيلتر",G150)),ISNUMBER(SEARCH("فیلتر",G150))),"غیرگارانتی/بدون قطعه",IF(OR(ISNUMBER(SEARCH("ريست",G150)),ISNUMBER(SEARCH("ریست",G150))),"ریست نرم‌افزاری (بدون قطعه)",IF(OR(ISNUMBER(SEARCH("تعویض محصول",G150)),ISNUMBER(SEARCH("تعویض دستگاه",G150))),"تعویض کامل دستگاه (Replacement)",IF(ISNUMBER(SEARCH("پمپ",G150)),IF(ISNUMBER(SEARCH("نشت",G150)),"نشتی - پمپ تخلیه (تعمیر/آب‌بندی)","خرابی - پمپ تخلیه (تعویض)"),IF(ISNUMBER(SEARCH("کمپرسور",G150)),"خرابی - کمپرسور (تعویض)",IF(ISNUMBER(SEARCH("کمک فنر",G150)),"خرابی - کمک فنر (تعویض)",IF(ISNUMBER(SEARCH("لولا",G150)),"مکانیزم درب - لولا (تعویض)",IF(OR(ISNUMBER(SEARCH("قلاب",G150)),ISNUMBER(SEARCH("ميکروسوئيچ",G150)),ISNUMBER(SEARCH("میکروسوئیچ",G150))),"مکانیزم درب - میکروسوئیچ/قلاب (تعویض/تنظیم)",IF(ISNUMBER(SEARCH("زبانه",G150)),"مکانیزم درب - زبانه (تعویض)",IF(OR(ISNUMBER(SEARCH("شيلنگ",G150)),ISNUMBER(SEARCH("شیلنگ",G150))),IF(OR(ISNUMBER(SEARCH("نشتی",G150)),ISNUMBER(SEARCH("نشتي",G150))),"نشتی - شیلنگ (تعمیر/آب‌بندی)",IF(OR(ISNUMBER(SEARCH("يخ",G150)),ISNUMBER(SEARCH("یخ",G150))),"شیلنگ یخساز - یخ‌زدگی (بازبینی)","شیلنگ - برخورد/لهیدگی (بازبینی)")),IF(OR(ISNUMBER(SEARCH("تنظيم ديسپل",G150)),ISNUMBER(SEARCH("تنظیم دیسپل",G150)),ISNUMBER(SEARCH("تنظيم صفحه نمايش",G150)),ISNUMBER(SEARCH("تنظیم صفحه نمایش",G150))),"تنظیم - تنظیمات دستگاه/دیسپلی (تعمیر)",IF(OR(ISNUMBER(SEARCH("برد",G150)),ISNUMBER(SEARCH("سوکت",G150)),ISNUMBER(SEARCH("ديسپل",G150)),ISNUMBER(SEARCH("دیسپل",G150))),"خرابی - برد الکترونیک (تعویض)",IF(OR(ISNUMBER(SEARCH("يخساز",G150)),ISNUMBER(SEARCH("یخساز",G150)),ISNUMBER(SEARCH("دمپر",G150))),IF(OR(ISNUMBER(SEARCH("خرابی",G150)),ISNUMBER(SEARCH("خراب",G150)),ISNUMBER(SEARCH("عدم کارکرد",G150)),ISNUMBER(SEARCH("عدم عملکرد",G150))),"یخساز - خرابی موتور/سنسور/برد (تعویض)","یخساز - تنظیم/عایق (تعمیر)"),IF(OR(ISNUMBER(SEARCH("لاستيک",G150)),ISNUMBER(SEARCH("لاستیک",G150))),"لاستیک درزگیر - دفرمگی/پارگی (تعویض)",IF(OR(ISNUMBER(SEARCH("گسکت",G150)),ISNUMBER(SEARCH("گسگت",G150))),"لاستیک درزگیر - دفرمگی/پارگی (تعویض)",IF(ISNUMBER(SEARCH("مخزن نمک",G150)),"نشتی - درب مخزن نمک (تعمیر/آب‌بندی)",IF(ISNUMBER(SEARCH("براکت",G150)),"نشتی - براکت ریل (تعمیر/آب‌بندی)",IF(ISNUMBER(SEARCH("جاپودر",G150)),"نشتی - جاپودری (تعمیر/آب‌بندی)",IF(ISNUMBER(SEARCH("مقسم",G150)),"نشتی - مقسم آب (تعمیر/آب‌بندی)",IF(OR(ISNUMBER(SEARCH("سنسور دما",G150)),ISNUMBER(SEARCH("ترموستات",G150))),"خرابی - ترموستات (تعویض)",IF(OR(ISNUMBER(SEARCH("هيدروستات",G150)),ISNUMBER(SEARCH("هیدروستات",G150))),"خرابی - هیدروستات (تعویض)",IF(OR(ISNUMBER(SEARCH("بلبرينگ",G150)),ISNUMBER(SEARCH("بلبرینگ",G150))),"خرابی - بلبرینگ (تعویض)",IF(OR(ISNUMBER(SEARCH("شيربرق",G150)),ISNUMBER(SEARCH("شیربرق",G150))),"خرابی - شیربرقی (تعویض)",IF(OR(ISNUMBER(SEARCH("واتر جت",G150)),ISNUMBER(SEARCH("واترجت",G150))),"خرابی - واترجت (تعویض)",IF(OR(ISNUMBER(SEARCH("سيم",G150)),ISNUMBER(SEARCH("سیم",G150)),ISNUMBER(SEARCH("اتصال",G150))),"سیم‌کشی/اتصالات (تعویض/بازبینی)",IF(OR(ISNUMBER(SEARCH("تصوير",G150)),ISNUMBER(SEARCH("تصویر",G150))),"برد نمایش تلویزیون (تعویض)",IF(OR(ISNUMBER(SEARCH("ريموت",G150)),ISNUMBER(SEARCH("ریموت",G150))),"ریموت کنترل (تعویض/تعمیر)",IF(OR(ISNUMBER(SEARCH("ال اي دي",G150)),ISNUMBER(SEARCH("ال ای دی",G150)),ISNUMBER(SEARCH("LED",G150))),"خرابی - لامپ/LED داخلی (تعویض)",IF(ISNUMBER(SEARCH("زنگ زدگ",G150)),"زنگ‌زدگی بدنه/قطعه (تعویض)",IF(OR(ISNUMBER(SEARCH("قطعات تزئين",G150)),ISNUMBER(SEARCH("قطعات تزئین",G150))),"قطعات تزئینی - شکستگی/کسری (تعویض)",IF(ISNUMBER(SEARCH("سبد",G150)),"سبد ظرفشویی - شکستگی (تعویض)",IF(ISNUMBER(SEARCH("تاب درام",G150)),"خرابی - تاب برداشتن درام (تعویض)",IF(ISNUMBER(SEARCH("درام",G150)),"خرابی - سایر ایراد درام (تعویض)",IF(ISNUMBER(SEARCH("موتور",G150)),"خرابی - موتور (تعویض)",IF(ISNUMBER(SEARCH("تسمه",G150)),"خرابی - تسمه (تعویض)",IF(OR(ISNUMBER(SEARCH("پيچ ولوم",G150)),ISNUMBER(SEARCH("پیچ ولوم",G150))),"تنظیم - پیچ ولوم/دکمه (تعمیر)",IF(OR(ISNUMBER(SEARCH("کسري قطعات",G150)),ISNUMBER(SEARCH("کسری قطعات",G150))),"کسری قطعات تزئینی (تعویض)",IF(ISNUMBER(SEARCH("پرچ",G150)),"پرچ/بدنه کابین(تعمیر)",IF(OR(ISNUMBER(SEARCH("نشت",G150)),ISNUMBER(SEARCH("آبريزش",G150)),ISNUMBER(SEARCH("آبریزش",G150))),"نشتی آب - محل نامشخص (نیازمند بازدید)",IF(ISNUMBER(SEARCH("درب",G150)),"سایر اجزای درب (بازبینی)",IF(ISNUMBER(SEARCH("ضربه",G150)),"بدنه/کابین - ضربه (بازبینی/تعویض پنل)",IF(ISNUMBER(SEARCH("تراز",G150)),"تراز/لرزش - نصب (رگلاژ پایه)",IF(OR(ISNUMBER(SEARCH("تعویض",G150)),ISNUMBER(SEARCH("تعويض",G150))),"تعویض کامل دستگاه (Replacement)","سایر (نیازمند بررسی دستی)")))))))))))))))))))))))))))))))))))))))))))</f>
        <v/>
      </c>
      <c r="P150" s="124" t="inlineStr">
        <is>
          <t>نشتی پمپ ظرفشویی</t>
        </is>
      </c>
      <c r="Q150" s="124">
        <f>IF(ISNUMBER(SEARCH("عهده شرکت",F150)),"شرکت",IF(ISNUMBER(SEARCH("عهده مشتري",F150)),"مشتری",IF(ISNUMBER(SEARCH("عهده مشتری",F150)),"مشتری","نامشخص")))</f>
        <v/>
      </c>
      <c r="R150" s="178">
        <f>IF(O150="تعویض کامل دستگاه (Replacement)",IF(SUMIF('قیمت‌ها و مفروضات'!$A$9:$A$13,C150,'قیمت‌ها و مفروضات'!$C$9:$C$13)&lt;&gt;0,SUMIF('قیمت‌ها و مفروضات'!$A$9:$A$13,C150,'قیمت‌ها و مفروضات'!$C$9:$C$13),SUMIF('قیمت‌ها و مفروضات'!$A$9:$A$13,C150,'قیمت‌ها و مفروضات'!$B$9:$B$13)),IF(SUMIF('قیمت‌ها و مفروضات'!$A$18:$A$63,O150,'قیمت‌ها و مفروضات'!$C$18:$C$63)&lt;&gt;0,SUMIF('قیمت‌ها و مفروضات'!$A$18:$A$63,O150,'قیمت‌ها و مفروضات'!$C$18:$C$63),SUMIF('قیمت‌ها و مفروضات'!$A$18:$A$63,O150,'قیمت‌ها و مفروضات'!$B$18:$B$63)))</f>
        <v/>
      </c>
      <c r="S150" s="178">
        <f>'قیمت‌ها و مفروضات'!$B$3+'قیمت‌ها و مفروضات'!$B$4</f>
        <v/>
      </c>
      <c r="T150" s="178">
        <f>R150+S150</f>
        <v/>
      </c>
      <c r="U150" s="178">
        <f>IF(COUNTIF($E$2:E150,E150)&gt;1,"بله (تکراری)","خیر")</f>
        <v/>
      </c>
      <c r="V150" s="178">
        <f>IF(U150="بله (تکراری)",S150,0)</f>
        <v/>
      </c>
      <c r="W150" s="208" t="inlineStr"/>
      <c r="X150" s="208" t="inlineStr"/>
    </row>
    <row r="151" ht="58.5" customHeight="1" s="151">
      <c r="A151" s="176" t="n">
        <v>767088</v>
      </c>
      <c r="B151" s="124">
        <f>CHOOSE(_xlfn.NUMBERVALUE(MID(H151,6,2)),"فروردین","اردیبهشت","خرداد","تیر","مرداد","شهریور","مهر","آبان","آذر","دی","بهمن","اسفند")</f>
        <v/>
      </c>
      <c r="C151" s="176" t="inlineStr">
        <is>
          <t>ماشين ظرفشويي</t>
        </is>
      </c>
      <c r="D151" s="176" t="inlineStr">
        <is>
          <t>CDW-H15V</t>
        </is>
      </c>
      <c r="E151" s="176" t="inlineStr">
        <is>
          <t>52220003N01755</t>
        </is>
      </c>
      <c r="F151" s="173" t="inlineStr">
        <is>
          <t>خطاي F54**اياب و ذهاب به عهده مشتري</t>
        </is>
      </c>
      <c r="G151" s="124" t="inlineStr">
        <is>
          <t>نشتي پمپ تخليه</t>
        </is>
      </c>
      <c r="H151" s="176" t="inlineStr">
        <is>
          <t>1405/01/30</t>
        </is>
      </c>
      <c r="I151" s="124" t="inlineStr">
        <is>
          <t>1403/11/04</t>
        </is>
      </c>
      <c r="J151" s="124" t="inlineStr">
        <is>
          <t>1403/12/16</t>
        </is>
      </c>
      <c r="K151" s="177">
        <f>IFERROR(VLOOKUP(LEFT(H151,7),'تبدیل تاریخ'!$A$2:$B$73,2,FALSE())+VALUE(RIGHT(H151,2))-1,"")</f>
        <v/>
      </c>
      <c r="L151" s="177">
        <f>IFERROR(VLOOKUP(LEFT(I151,7),'تبدیل تاریخ'!$A$2:$B$73,2,FALSE())+VALUE(RIGHT(I151,2))-1,"")</f>
        <v/>
      </c>
      <c r="M151" s="177">
        <f>IF(J151="","",IFERROR(VLOOKUP(LEFT(J151,7),'تبدیل تاریخ'!$A$2:$B$73,2,FALSE())+VALUE(RIGHT(J151,2))-1,""))</f>
        <v/>
      </c>
      <c r="N151" s="124">
        <f>IF(OR(K151="",M151=""),"",CEILING((K151-M151)/30,1))</f>
        <v/>
      </c>
      <c r="O151" s="124">
        <f>IF(OR(ISNUMBER(SEARCH("بدون مورد",G151)),ISNUMBER(SEARCH("غير گارانتي",G151)),ISNUMBER(SEARCH("غیر گارانتی",G151)),ISNUMBER(SEARCH("بدون اجرت",G151)),ISNUMBER(SEARCH("فيلتر",G151)),ISNUMBER(SEARCH("فیلتر",G151))),"غیرگارانتی/بدون قطعه",IF(OR(ISNUMBER(SEARCH("ريست",G151)),ISNUMBER(SEARCH("ریست",G151))),"ریست نرم‌افزاری (بدون قطعه)",IF(OR(ISNUMBER(SEARCH("تعویض محصول",G151)),ISNUMBER(SEARCH("تعویض دستگاه",G151))),"تعویض کامل دستگاه (Replacement)",IF(ISNUMBER(SEARCH("پمپ",G151)),IF(ISNUMBER(SEARCH("نشت",G151)),"نشتی - پمپ تخلیه (تعمیر/آب‌بندی)","خرابی - پمپ تخلیه (تعویض)"),IF(ISNUMBER(SEARCH("کمپرسور",G151)),"خرابی - کمپرسور (تعویض)",IF(ISNUMBER(SEARCH("کمک فنر",G151)),"خرابی - کمک فنر (تعویض)",IF(ISNUMBER(SEARCH("لولا",G151)),"مکانیزم درب - لولا (تعویض)",IF(OR(ISNUMBER(SEARCH("قلاب",G151)),ISNUMBER(SEARCH("ميکروسوئيچ",G151)),ISNUMBER(SEARCH("میکروسوئیچ",G151))),"مکانیزم درب - میکروسوئیچ/قلاب (تعویض/تنظیم)",IF(ISNUMBER(SEARCH("زبانه",G151)),"مکانیزم درب - زبانه (تعویض)",IF(OR(ISNUMBER(SEARCH("شيلنگ",G151)),ISNUMBER(SEARCH("شیلنگ",G151))),IF(OR(ISNUMBER(SEARCH("نشتی",G151)),ISNUMBER(SEARCH("نشتي",G151))),"نشتی - شیلنگ (تعمیر/آب‌بندی)",IF(OR(ISNUMBER(SEARCH("يخ",G151)),ISNUMBER(SEARCH("یخ",G151))),"شیلنگ یخساز - یخ‌زدگی (بازبینی)","شیلنگ - برخورد/لهیدگی (بازبینی)")),IF(OR(ISNUMBER(SEARCH("تنظيم ديسپل",G151)),ISNUMBER(SEARCH("تنظیم دیسپل",G151)),ISNUMBER(SEARCH("تنظيم صفحه نمايش",G151)),ISNUMBER(SEARCH("تنظیم صفحه نمایش",G151))),"تنظیم - تنظیمات دستگاه/دیسپلی (تعمیر)",IF(OR(ISNUMBER(SEARCH("برد",G151)),ISNUMBER(SEARCH("سوکت",G151)),ISNUMBER(SEARCH("ديسپل",G151)),ISNUMBER(SEARCH("دیسپل",G151))),"خرابی - برد الکترونیک (تعویض)",IF(OR(ISNUMBER(SEARCH("يخساز",G151)),ISNUMBER(SEARCH("یخساز",G151)),ISNUMBER(SEARCH("دمپر",G151))),IF(OR(ISNUMBER(SEARCH("خرابی",G151)),ISNUMBER(SEARCH("خراب",G151)),ISNUMBER(SEARCH("عدم کارکرد",G151)),ISNUMBER(SEARCH("عدم عملکرد",G151))),"یخساز - خرابی موتور/سنسور/برد (تعویض)","یخساز - تنظیم/عایق (تعمیر)"),IF(OR(ISNUMBER(SEARCH("لاستيک",G151)),ISNUMBER(SEARCH("لاستیک",G151))),"لاستیک درزگیر - دفرمگی/پارگی (تعویض)",IF(OR(ISNUMBER(SEARCH("گسکت",G151)),ISNUMBER(SEARCH("گسگت",G151))),"لاستیک درزگیر - دفرمگی/پارگی (تعویض)",IF(ISNUMBER(SEARCH("مخزن نمک",G151)),"نشتی - درب مخزن نمک (تعمیر/آب‌بندی)",IF(ISNUMBER(SEARCH("براکت",G151)),"نشتی - براکت ریل (تعمیر/آب‌بندی)",IF(ISNUMBER(SEARCH("جاپودر",G151)),"نشتی - جاپودری (تعمیر/آب‌بندی)",IF(ISNUMBER(SEARCH("مقسم",G151)),"نشتی - مقسم آب (تعمیر/آب‌بندی)",IF(OR(ISNUMBER(SEARCH("سنسور دما",G151)),ISNUMBER(SEARCH("ترموستات",G151))),"خرابی - ترموستات (تعویض)",IF(OR(ISNUMBER(SEARCH("هيدروستات",G151)),ISNUMBER(SEARCH("هیدروستات",G151))),"خرابی - هیدروستات (تعویض)",IF(OR(ISNUMBER(SEARCH("بلبرينگ",G151)),ISNUMBER(SEARCH("بلبرینگ",G151))),"خرابی - بلبرینگ (تعویض)",IF(OR(ISNUMBER(SEARCH("شيربرق",G151)),ISNUMBER(SEARCH("شیربرق",G151))),"خرابی - شیربرقی (تعویض)",IF(OR(ISNUMBER(SEARCH("واتر جت",G151)),ISNUMBER(SEARCH("واترجت",G151))),"خرابی - واترجت (تعویض)",IF(OR(ISNUMBER(SEARCH("سيم",G151)),ISNUMBER(SEARCH("سیم",G151)),ISNUMBER(SEARCH("اتصال",G151))),"سیم‌کشی/اتصالات (تعویض/بازبینی)",IF(OR(ISNUMBER(SEARCH("تصوير",G151)),ISNUMBER(SEARCH("تصویر",G151))),"برد نمایش تلویزیون (تعویض)",IF(OR(ISNUMBER(SEARCH("ريموت",G151)),ISNUMBER(SEARCH("ریموت",G151))),"ریموت کنترل (تعویض/تعمیر)",IF(OR(ISNUMBER(SEARCH("ال اي دي",G151)),ISNUMBER(SEARCH("ال ای دی",G151)),ISNUMBER(SEARCH("LED",G151))),"خرابی - لامپ/LED داخلی (تعویض)",IF(ISNUMBER(SEARCH("زنگ زدگ",G151)),"زنگ‌زدگی بدنه/قطعه (تعویض)",IF(OR(ISNUMBER(SEARCH("قطعات تزئين",G151)),ISNUMBER(SEARCH("قطعات تزئین",G151))),"قطعات تزئینی - شکستگی/کسری (تعویض)",IF(ISNUMBER(SEARCH("سبد",G151)),"سبد ظرفشویی - شکستگی (تعویض)",IF(ISNUMBER(SEARCH("تاب درام",G151)),"خرابی - تاب برداشتن درام (تعویض)",IF(ISNUMBER(SEARCH("درام",G151)),"خرابی - سایر ایراد درام (تعویض)",IF(ISNUMBER(SEARCH("موتور",G151)),"خرابی - موتور (تعویض)",IF(ISNUMBER(SEARCH("تسمه",G151)),"خرابی - تسمه (تعویض)",IF(OR(ISNUMBER(SEARCH("پيچ ولوم",G151)),ISNUMBER(SEARCH("پیچ ولوم",G151))),"تنظیم - پیچ ولوم/دکمه (تعمیر)",IF(OR(ISNUMBER(SEARCH("کسري قطعات",G151)),ISNUMBER(SEARCH("کسری قطعات",G151))),"کسری قطعات تزئینی (تعویض)",IF(ISNUMBER(SEARCH("پرچ",G151)),"پرچ/بدنه کابین(تعمیر)",IF(OR(ISNUMBER(SEARCH("نشت",G151)),ISNUMBER(SEARCH("آبريزش",G151)),ISNUMBER(SEARCH("آبریزش",G151))),"نشتی آب - محل نامشخص (نیازمند بازدید)",IF(ISNUMBER(SEARCH("درب",G151)),"سایر اجزای درب (بازبینی)",IF(ISNUMBER(SEARCH("ضربه",G151)),"بدنه/کابین - ضربه (بازبینی/تعویض پنل)",IF(ISNUMBER(SEARCH("تراز",G151)),"تراز/لرزش - نصب (رگلاژ پایه)",IF(OR(ISNUMBER(SEARCH("تعویض",G151)),ISNUMBER(SEARCH("تعويض",G151))),"تعویض کامل دستگاه (Replacement)","سایر (نیازمند بررسی دستی)")))))))))))))))))))))))))))))))))))))))))))</f>
        <v/>
      </c>
      <c r="P151" s="124" t="inlineStr">
        <is>
          <t>نشتی پمپ ظرفشویی</t>
        </is>
      </c>
      <c r="Q151" s="124">
        <f>IF(ISNUMBER(SEARCH("عهده شرکت",F151)),"شرکت",IF(ISNUMBER(SEARCH("عهده مشتري",F151)),"مشتری",IF(ISNUMBER(SEARCH("عهده مشتری",F151)),"مشتری","نامشخص")))</f>
        <v/>
      </c>
      <c r="R151" s="178">
        <f>IF(O151="تعویض کامل دستگاه (Replacement)",IF(SUMIF('قیمت‌ها و مفروضات'!$A$9:$A$13,C151,'قیمت‌ها و مفروضات'!$C$9:$C$13)&lt;&gt;0,SUMIF('قیمت‌ها و مفروضات'!$A$9:$A$13,C151,'قیمت‌ها و مفروضات'!$C$9:$C$13),SUMIF('قیمت‌ها و مفروضات'!$A$9:$A$13,C151,'قیمت‌ها و مفروضات'!$B$9:$B$13)),IF(SUMIF('قیمت‌ها و مفروضات'!$A$18:$A$63,O151,'قیمت‌ها و مفروضات'!$C$18:$C$63)&lt;&gt;0,SUMIF('قیمت‌ها و مفروضات'!$A$18:$A$63,O151,'قیمت‌ها و مفروضات'!$C$18:$C$63),SUMIF('قیمت‌ها و مفروضات'!$A$18:$A$63,O151,'قیمت‌ها و مفروضات'!$B$18:$B$63)))</f>
        <v/>
      </c>
      <c r="S151" s="178">
        <f>'قیمت‌ها و مفروضات'!$B$3+'قیمت‌ها و مفروضات'!$B$4</f>
        <v/>
      </c>
      <c r="T151" s="178">
        <f>R151+S151</f>
        <v/>
      </c>
      <c r="U151" s="178">
        <f>IF(COUNTIF($E$2:E151,E151)&gt;1,"بله (تکراری)","خیر")</f>
        <v/>
      </c>
      <c r="V151" s="178">
        <f>IF(U151="بله (تکراری)",S151,0)</f>
        <v/>
      </c>
      <c r="W151" s="208" t="inlineStr"/>
      <c r="X151" s="208" t="inlineStr"/>
    </row>
    <row r="152" ht="58.5" customHeight="1" s="151">
      <c r="A152" s="176" t="n">
        <v>767187</v>
      </c>
      <c r="B152" s="124">
        <f>CHOOSE(_xlfn.NUMBERVALUE(MID(H152,6,2)),"فروردین","اردیبهشت","خرداد","تیر","مرداد","شهریور","مهر","آبان","آذر","دی","بهمن","اسفند")</f>
        <v/>
      </c>
      <c r="C152" s="176" t="inlineStr">
        <is>
          <t>ماشين لباسشويي</t>
        </is>
      </c>
      <c r="D152" s="176" t="inlineStr">
        <is>
          <t>CWM-BMW8T1</t>
        </is>
      </c>
      <c r="E152" s="176" t="inlineStr">
        <is>
          <t>52210005N01679</t>
        </is>
      </c>
      <c r="F152" s="173" t="inlineStr">
        <is>
          <t>صداي غيرعادي هنگام خشک کن**اياب و ذهاب به عهده شرکت</t>
        </is>
      </c>
      <c r="G152" s="124" t="inlineStr">
        <is>
          <t>صداي غيرعادي پمپ تخليه</t>
        </is>
      </c>
      <c r="H152" s="176" t="inlineStr">
        <is>
          <t>1405/01/30</t>
        </is>
      </c>
      <c r="I152" s="124" t="inlineStr">
        <is>
          <t>1404/03/12</t>
        </is>
      </c>
      <c r="J152" s="124" t="inlineStr">
        <is>
          <t>1404/07/21</t>
        </is>
      </c>
      <c r="K152" s="177">
        <f>IFERROR(VLOOKUP(LEFT(H152,7),'تبدیل تاریخ'!$A$2:$B$73,2,FALSE())+VALUE(RIGHT(H152,2))-1,"")</f>
        <v/>
      </c>
      <c r="L152" s="177">
        <f>IFERROR(VLOOKUP(LEFT(I152,7),'تبدیل تاریخ'!$A$2:$B$73,2,FALSE())+VALUE(RIGHT(I152,2))-1,"")</f>
        <v/>
      </c>
      <c r="M152" s="177">
        <f>IF(J152="","",IFERROR(VLOOKUP(LEFT(J152,7),'تبدیل تاریخ'!$A$2:$B$73,2,FALSE())+VALUE(RIGHT(J152,2))-1,""))</f>
        <v/>
      </c>
      <c r="N152" s="124">
        <f>IF(OR(K152="",M152=""),"",CEILING((K152-M152)/30,1))</f>
        <v/>
      </c>
      <c r="O152" s="124">
        <f>IF(OR(ISNUMBER(SEARCH("بدون مورد",G152)),ISNUMBER(SEARCH("غير گارانتي",G152)),ISNUMBER(SEARCH("غیر گارانتی",G152)),ISNUMBER(SEARCH("بدون اجرت",G152)),ISNUMBER(SEARCH("فيلتر",G152)),ISNUMBER(SEARCH("فیلتر",G152))),"غیرگارانتی/بدون قطعه",IF(OR(ISNUMBER(SEARCH("ريست",G152)),ISNUMBER(SEARCH("ریست",G152))),"ریست نرم‌افزاری (بدون قطعه)",IF(OR(ISNUMBER(SEARCH("تعویض محصول",G152)),ISNUMBER(SEARCH("تعویض دستگاه",G152))),"تعویض کامل دستگاه (Replacement)",IF(ISNUMBER(SEARCH("پمپ",G152)),IF(ISNUMBER(SEARCH("نشت",G152)),"نشتی - پمپ تخلیه (تعمیر/آب‌بندی)","خرابی - پمپ تخلیه (تعویض)"),IF(ISNUMBER(SEARCH("کمپرسور",G152)),"خرابی - کمپرسور (تعویض)",IF(ISNUMBER(SEARCH("کمک فنر",G152)),"خرابی - کمک فنر (تعویض)",IF(ISNUMBER(SEARCH("لولا",G152)),"مکانیزم درب - لولا (تعویض)",IF(OR(ISNUMBER(SEARCH("قلاب",G152)),ISNUMBER(SEARCH("ميکروسوئيچ",G152)),ISNUMBER(SEARCH("میکروسوئیچ",G152))),"مکانیزم درب - میکروسوئیچ/قلاب (تعویض/تنظیم)",IF(ISNUMBER(SEARCH("زبانه",G152)),"مکانیزم درب - زبانه (تعویض)",IF(OR(ISNUMBER(SEARCH("شيلنگ",G152)),ISNUMBER(SEARCH("شیلنگ",G152))),IF(OR(ISNUMBER(SEARCH("نشتی",G152)),ISNUMBER(SEARCH("نشتي",G152))),"نشتی - شیلنگ (تعمیر/آب‌بندی)",IF(OR(ISNUMBER(SEARCH("يخ",G152)),ISNUMBER(SEARCH("یخ",G152))),"شیلنگ یخساز - یخ‌زدگی (بازبینی)","شیلنگ - برخورد/لهیدگی (بازبینی)")),IF(OR(ISNUMBER(SEARCH("تنظيم ديسپل",G152)),ISNUMBER(SEARCH("تنظیم دیسپل",G152)),ISNUMBER(SEARCH("تنظيم صفحه نمايش",G152)),ISNUMBER(SEARCH("تنظیم صفحه نمایش",G152))),"تنظیم - تنظیمات دستگاه/دیسپلی (تعمیر)",IF(OR(ISNUMBER(SEARCH("برد",G152)),ISNUMBER(SEARCH("سوکت",G152)),ISNUMBER(SEARCH("ديسپل",G152)),ISNUMBER(SEARCH("دیسپل",G152))),"خرابی - برد الکترونیک (تعویض)",IF(OR(ISNUMBER(SEARCH("يخساز",G152)),ISNUMBER(SEARCH("یخساز",G152)),ISNUMBER(SEARCH("دمپر",G152))),IF(OR(ISNUMBER(SEARCH("خرابی",G152)),ISNUMBER(SEARCH("خراب",G152)),ISNUMBER(SEARCH("عدم کارکرد",G152)),ISNUMBER(SEARCH("عدم عملکرد",G152))),"یخساز - خرابی موتور/سنسور/برد (تعویض)","یخساز - تنظیم/عایق (تعمیر)"),IF(OR(ISNUMBER(SEARCH("لاستيک",G152)),ISNUMBER(SEARCH("لاستیک",G152))),"لاستیک درزگیر - دفرمگی/پارگی (تعویض)",IF(OR(ISNUMBER(SEARCH("گسکت",G152)),ISNUMBER(SEARCH("گسگت",G152))),"لاستیک درزگیر - دفرمگی/پارگی (تعویض)",IF(ISNUMBER(SEARCH("مخزن نمک",G152)),"نشتی - درب مخزن نمک (تعمیر/آب‌بندی)",IF(ISNUMBER(SEARCH("براکت",G152)),"نشتی - براکت ریل (تعمیر/آب‌بندی)",IF(ISNUMBER(SEARCH("جاپودر",G152)),"نشتی - جاپودری (تعمیر/آب‌بندی)",IF(ISNUMBER(SEARCH("مقسم",G152)),"نشتی - مقسم آب (تعمیر/آب‌بندی)",IF(OR(ISNUMBER(SEARCH("سنسور دما",G152)),ISNUMBER(SEARCH("ترموستات",G152))),"خرابی - ترموستات (تعویض)",IF(OR(ISNUMBER(SEARCH("هيدروستات",G152)),ISNUMBER(SEARCH("هیدروستات",G152))),"خرابی - هیدروستات (تعویض)",IF(OR(ISNUMBER(SEARCH("بلبرينگ",G152)),ISNUMBER(SEARCH("بلبرینگ",G152))),"خرابی - بلبرینگ (تعویض)",IF(OR(ISNUMBER(SEARCH("شيربرق",G152)),ISNUMBER(SEARCH("شیربرق",G152))),"خرابی - شیربرقی (تعویض)",IF(OR(ISNUMBER(SEARCH("واتر جت",G152)),ISNUMBER(SEARCH("واترجت",G152))),"خرابی - واترجت (تعویض)",IF(OR(ISNUMBER(SEARCH("سيم",G152)),ISNUMBER(SEARCH("سیم",G152)),ISNUMBER(SEARCH("اتصال",G152))),"سیم‌کشی/اتصالات (تعویض/بازبینی)",IF(OR(ISNUMBER(SEARCH("تصوير",G152)),ISNUMBER(SEARCH("تصویر",G152))),"برد نمایش تلویزیون (تعویض)",IF(OR(ISNUMBER(SEARCH("ريموت",G152)),ISNUMBER(SEARCH("ریموت",G152))),"ریموت کنترل (تعویض/تعمیر)",IF(OR(ISNUMBER(SEARCH("ال اي دي",G152)),ISNUMBER(SEARCH("ال ای دی",G152)),ISNUMBER(SEARCH("LED",G152))),"خرابی - لامپ/LED داخلی (تعویض)",IF(ISNUMBER(SEARCH("زنگ زدگ",G152)),"زنگ‌زدگی بدنه/قطعه (تعویض)",IF(OR(ISNUMBER(SEARCH("قطعات تزئين",G152)),ISNUMBER(SEARCH("قطعات تزئین",G152))),"قطعات تزئینی - شکستگی/کسری (تعویض)",IF(ISNUMBER(SEARCH("سبد",G152)),"سبد ظرفشویی - شکستگی (تعویض)",IF(ISNUMBER(SEARCH("تاب درام",G152)),"خرابی - تاب برداشتن درام (تعویض)",IF(ISNUMBER(SEARCH("درام",G152)),"خرابی - سایر ایراد درام (تعویض)",IF(ISNUMBER(SEARCH("موتور",G152)),"خرابی - موتور (تعویض)",IF(ISNUMBER(SEARCH("تسمه",G152)),"خرابی - تسمه (تعویض)",IF(OR(ISNUMBER(SEARCH("پيچ ولوم",G152)),ISNUMBER(SEARCH("پیچ ولوم",G152))),"تنظیم - پیچ ولوم/دکمه (تعمیر)",IF(OR(ISNUMBER(SEARCH("کسري قطعات",G152)),ISNUMBER(SEARCH("کسری قطعات",G152))),"کسری قطعات تزئینی (تعویض)",IF(ISNUMBER(SEARCH("پرچ",G152)),"پرچ/بدنه کابین(تعمیر)",IF(OR(ISNUMBER(SEARCH("نشت",G152)),ISNUMBER(SEARCH("آبريزش",G152)),ISNUMBER(SEARCH("آبریزش",G152))),"نشتی آب - محل نامشخص (نیازمند بازدید)",IF(ISNUMBER(SEARCH("درب",G152)),"سایر اجزای درب (بازبینی)",IF(ISNUMBER(SEARCH("ضربه",G152)),"بدنه/کابین - ضربه (بازبینی/تعویض پنل)",IF(ISNUMBER(SEARCH("تراز",G152)),"تراز/لرزش - نصب (رگلاژ پایه)",IF(OR(ISNUMBER(SEARCH("تعویض",G152)),ISNUMBER(SEARCH("تعويض",G152))),"تعویض کامل دستگاه (Replacement)","سایر (نیازمند بررسی دستی)")))))))))))))))))))))))))))))))))))))))))))</f>
        <v/>
      </c>
      <c r="P152" s="124" t="inlineStr">
        <is>
          <t>پمپ تخلیه لباسشویی</t>
        </is>
      </c>
      <c r="Q152" s="124">
        <f>IF(ISNUMBER(SEARCH("عهده شرکت",F152)),"شرکت",IF(ISNUMBER(SEARCH("عهده مشتري",F152)),"مشتری",IF(ISNUMBER(SEARCH("عهده مشتری",F152)),"مشتری","نامشخص")))</f>
        <v/>
      </c>
      <c r="R152" s="178">
        <f>IF(O152="تعویض کامل دستگاه (Replacement)",IF(SUMIF('قیمت‌ها و مفروضات'!$A$9:$A$13,C152,'قیمت‌ها و مفروضات'!$C$9:$C$13)&lt;&gt;0,SUMIF('قیمت‌ها و مفروضات'!$A$9:$A$13,C152,'قیمت‌ها و مفروضات'!$C$9:$C$13),SUMIF('قیمت‌ها و مفروضات'!$A$9:$A$13,C152,'قیمت‌ها و مفروضات'!$B$9:$B$13)),IF(SUMIF('قیمت‌ها و مفروضات'!$A$18:$A$63,O152,'قیمت‌ها و مفروضات'!$C$18:$C$63)&lt;&gt;0,SUMIF('قیمت‌ها و مفروضات'!$A$18:$A$63,O152,'قیمت‌ها و مفروضات'!$C$18:$C$63),SUMIF('قیمت‌ها و مفروضات'!$A$18:$A$63,O152,'قیمت‌ها و مفروضات'!$B$18:$B$63)))</f>
        <v/>
      </c>
      <c r="S152" s="178">
        <f>'قیمت‌ها و مفروضات'!$B$3+'قیمت‌ها و مفروضات'!$B$4</f>
        <v/>
      </c>
      <c r="T152" s="178">
        <f>R152+S152</f>
        <v/>
      </c>
      <c r="U152" s="178">
        <f>IF(COUNTIF($E$2:E152,E152)&gt;1,"بله (تکراری)","خیر")</f>
        <v/>
      </c>
      <c r="V152" s="178">
        <f>IF(U152="بله (تکراری)",S152,0)</f>
        <v/>
      </c>
      <c r="W152" s="208" t="inlineStr"/>
      <c r="X152" s="208" t="inlineStr"/>
    </row>
    <row r="153" ht="58.5" customHeight="1" s="151">
      <c r="A153" s="176" t="n">
        <v>779873</v>
      </c>
      <c r="B153" s="124">
        <f>CHOOSE(_xlfn.NUMBERVALUE(MID(H153,6,2)),"فروردین","اردیبهشت","خرداد","تیر","مرداد","شهریور","مهر","آبان","آذر","دی","بهمن","اسفند")</f>
        <v/>
      </c>
      <c r="C153" s="176" t="inlineStr">
        <is>
          <t>یخچال ساید‌بای‌ساید</t>
        </is>
      </c>
      <c r="D153" s="176" t="inlineStr">
        <is>
          <t>C2S-29HS1</t>
        </is>
      </c>
      <c r="E153" s="176" t="inlineStr">
        <is>
          <t>52240001N01882</t>
        </is>
      </c>
      <c r="F153" s="173" t="inlineStr">
        <is>
          <t>عدم کارکرد يخساز**اياب و ذهاب به عهده شرکت</t>
        </is>
      </c>
      <c r="G153" s="173" t="inlineStr">
        <is>
          <t>اصلاح دمپر پلاستيکي پشت کابين - سايد باي سايد</t>
        </is>
      </c>
      <c r="H153" s="176" t="inlineStr">
        <is>
          <t>1405/03/02</t>
        </is>
      </c>
      <c r="I153" s="176" t="inlineStr">
        <is>
          <t>1403/09/04</t>
        </is>
      </c>
      <c r="J153" s="176" t="inlineStr">
        <is>
          <t>1404/05/09</t>
        </is>
      </c>
      <c r="K153" s="177">
        <f>IFERROR(VLOOKUP(LEFT(H153,7),'تبدیل تاریخ'!$A$2:$B$73,2,FALSE())+VALUE(RIGHT(H153,2))-1,"")</f>
        <v/>
      </c>
      <c r="L153" s="177">
        <f>IFERROR(VLOOKUP(LEFT(I153,7),'تبدیل تاریخ'!$A$2:$B$73,2,FALSE())+VALUE(RIGHT(I153,2))-1,"")</f>
        <v/>
      </c>
      <c r="M153" s="177">
        <f>IF(J153="","",IFERROR(VLOOKUP(LEFT(J153,7),'تبدیل تاریخ'!$A$2:$B$73,2,FALSE())+VALUE(RIGHT(J153,2))-1,""))</f>
        <v/>
      </c>
      <c r="N153" s="124">
        <f>IF(OR(K153="",M153=""),"",CEILING((K153-M153)/30,1))</f>
        <v/>
      </c>
      <c r="O153" s="124">
        <f>IF(OR(ISNUMBER(SEARCH("بدون مورد",G153)),ISNUMBER(SEARCH("غير گارانتي",G153)),ISNUMBER(SEARCH("غیر گارانتی",G153)),ISNUMBER(SEARCH("بدون اجرت",G153)),ISNUMBER(SEARCH("فيلتر",G153)),ISNUMBER(SEARCH("فیلتر",G153))),"غیرگارانتی/بدون قطعه",IF(OR(ISNUMBER(SEARCH("ريست",G153)),ISNUMBER(SEARCH("ریست",G153))),"ریست نرم‌افزاری (بدون قطعه)",IF(OR(ISNUMBER(SEARCH("تعویض محصول",G153)),ISNUMBER(SEARCH("تعویض دستگاه",G153))),"تعویض کامل دستگاه (Replacement)",IF(ISNUMBER(SEARCH("پمپ",G153)),IF(ISNUMBER(SEARCH("نشت",G153)),"نشتی - پمپ تخلیه (تعمیر/آب‌بندی)","خرابی - پمپ تخلیه (تعویض)"),IF(ISNUMBER(SEARCH("کمپرسور",G153)),"خرابی - کمپرسور (تعویض)",IF(ISNUMBER(SEARCH("کمک فنر",G153)),"خرابی - کمک فنر (تعویض)",IF(ISNUMBER(SEARCH("لولا",G153)),"مکانیزم درب - لولا (تعویض)",IF(OR(ISNUMBER(SEARCH("قلاب",G153)),ISNUMBER(SEARCH("ميکروسوئيچ",G153)),ISNUMBER(SEARCH("میکروسوئیچ",G153))),"مکانیزم درب - میکروسوئیچ/قلاب (تعویض/تنظیم)",IF(ISNUMBER(SEARCH("زبانه",G153)),"مکانیزم درب - زبانه (تعویض)",IF(OR(ISNUMBER(SEARCH("شيلنگ",G153)),ISNUMBER(SEARCH("شیلنگ",G153))),IF(OR(ISNUMBER(SEARCH("نشتی",G153)),ISNUMBER(SEARCH("نشتي",G153))),"نشتی - شیلنگ (تعمیر/آب‌بندی)",IF(OR(ISNUMBER(SEARCH("يخ",G153)),ISNUMBER(SEARCH("یخ",G153))),"شیلنگ یخساز - یخ‌زدگی (بازبینی)","شیلنگ - برخورد/لهیدگی (بازبینی)")),IF(OR(ISNUMBER(SEARCH("تنظيم ديسپل",G153)),ISNUMBER(SEARCH("تنظیم دیسپل",G153)),ISNUMBER(SEARCH("تنظيم صفحه نمايش",G153)),ISNUMBER(SEARCH("تنظیم صفحه نمایش",G153))),"تنظیم - تنظیمات دستگاه/دیسپلی (تعمیر)",IF(OR(ISNUMBER(SEARCH("برد",G153)),ISNUMBER(SEARCH("سوکت",G153)),ISNUMBER(SEARCH("ديسپل",G153)),ISNUMBER(SEARCH("دیسپل",G153))),"خرابی - برد الکترونیک (تعویض)",IF(OR(ISNUMBER(SEARCH("يخساز",G153)),ISNUMBER(SEARCH("یخساز",G153)),ISNUMBER(SEARCH("دمپر",G153))),IF(OR(ISNUMBER(SEARCH("خرابی",G153)),ISNUMBER(SEARCH("خراب",G153)),ISNUMBER(SEARCH("عدم کارکرد",G153)),ISNUMBER(SEARCH("عدم عملکرد",G153))),"یخساز - خرابی موتور/سنسور/برد (تعویض)","یخساز - تنظیم/عایق (تعمیر)"),IF(OR(ISNUMBER(SEARCH("لاستيک",G153)),ISNUMBER(SEARCH("لاستیک",G153))),"لاستیک درزگیر - دفرمگی/پارگی (تعویض)",IF(OR(ISNUMBER(SEARCH("گسکت",G153)),ISNUMBER(SEARCH("گسگت",G153))),"لاستیک درزگیر - دفرمگی/پارگی (تعویض)",IF(ISNUMBER(SEARCH("مخزن نمک",G153)),"نشتی - درب مخزن نمک (تعمیر/آب‌بندی)",IF(ISNUMBER(SEARCH("براکت",G153)),"نشتی - براکت ریل (تعمیر/آب‌بندی)",IF(ISNUMBER(SEARCH("جاپودر",G153)),"نشتی - جاپودری (تعمیر/آب‌بندی)",IF(ISNUMBER(SEARCH("مقسم",G153)),"نشتی - مقسم آب (تعمیر/آب‌بندی)",IF(OR(ISNUMBER(SEARCH("سنسور دما",G153)),ISNUMBER(SEARCH("ترموستات",G153))),"خرابی - ترموستات (تعویض)",IF(OR(ISNUMBER(SEARCH("هيدروستات",G153)),ISNUMBER(SEARCH("هیدروستات",G153))),"خرابی - هیدروستات (تعویض)",IF(OR(ISNUMBER(SEARCH("بلبرينگ",G153)),ISNUMBER(SEARCH("بلبرینگ",G153))),"خرابی - بلبرینگ (تعویض)",IF(OR(ISNUMBER(SEARCH("شيربرق",G153)),ISNUMBER(SEARCH("شیربرق",G153))),"خرابی - شیربرقی (تعویض)",IF(OR(ISNUMBER(SEARCH("واتر جت",G153)),ISNUMBER(SEARCH("واترجت",G153))),"خرابی - واترجت (تعویض)",IF(OR(ISNUMBER(SEARCH("سيم",G153)),ISNUMBER(SEARCH("سیم",G153)),ISNUMBER(SEARCH("اتصال",G153))),"سیم‌کشی/اتصالات (تعویض/بازبینی)",IF(OR(ISNUMBER(SEARCH("تصوير",G153)),ISNUMBER(SEARCH("تصویر",G153))),"برد نمایش تلویزیون (تعویض)",IF(OR(ISNUMBER(SEARCH("ريموت",G153)),ISNUMBER(SEARCH("ریموت",G153))),"ریموت کنترل (تعویض/تعمیر)",IF(OR(ISNUMBER(SEARCH("ال اي دي",G153)),ISNUMBER(SEARCH("ال ای دی",G153)),ISNUMBER(SEARCH("LED",G153))),"خرابی - لامپ/LED داخلی (تعویض)",IF(ISNUMBER(SEARCH("زنگ زدگ",G153)),"زنگ‌زدگی بدنه/قطعه (تعویض)",IF(OR(ISNUMBER(SEARCH("قطعات تزئين",G153)),ISNUMBER(SEARCH("قطعات تزئین",G153))),"قطعات تزئینی - شکستگی/کسری (تعویض)",IF(ISNUMBER(SEARCH("سبد",G153)),"سبد ظرفشویی - شکستگی (تعویض)",IF(ISNUMBER(SEARCH("تاب درام",G153)),"خرابی - تاب برداشتن درام (تعویض)",IF(ISNUMBER(SEARCH("درام",G153)),"خرابی - سایر ایراد درام (تعویض)",IF(ISNUMBER(SEARCH("موتور",G153)),"خرابی - موتور (تعویض)",IF(ISNUMBER(SEARCH("تسمه",G153)),"خرابی - تسمه (تعویض)",IF(OR(ISNUMBER(SEARCH("پيچ ولوم",G153)),ISNUMBER(SEARCH("پیچ ولوم",G153))),"تنظیم - پیچ ولوم/دکمه (تعمیر)",IF(OR(ISNUMBER(SEARCH("کسري قطعات",G153)),ISNUMBER(SEARCH("کسری قطعات",G153))),"کسری قطعات تزئینی (تعویض)",IF(ISNUMBER(SEARCH("پرچ",G153)),"پرچ/بدنه کابین(تعمیر)",IF(OR(ISNUMBER(SEARCH("نشت",G153)),ISNUMBER(SEARCH("آبريزش",G153)),ISNUMBER(SEARCH("آبریزش",G153))),"نشتی آب - محل نامشخص (نیازمند بازدید)",IF(ISNUMBER(SEARCH("درب",G153)),"سایر اجزای درب (بازبینی)",IF(ISNUMBER(SEARCH("ضربه",G153)),"بدنه/کابین - ضربه (بازبینی/تعویض پنل)",IF(ISNUMBER(SEARCH("تراز",G153)),"تراز/لرزش - نصب (رگلاژ پایه)",IF(OR(ISNUMBER(SEARCH("تعویض",G153)),ISNUMBER(SEARCH("تعويض",G153))),"تعویض کامل دستگاه (Replacement)","سایر (نیازمند بررسی دستی)")))))))))))))))))))))))))))))))))))))))))))</f>
        <v/>
      </c>
      <c r="P153" s="124" t="inlineStr">
        <is>
          <t>*</t>
        </is>
      </c>
      <c r="Q153" s="124">
        <f>IF(ISNUMBER(SEARCH("عهده شرکت",F153)),"شرکت",IF(ISNUMBER(SEARCH("عهده مشتري",F153)),"مشتری",IF(ISNUMBER(SEARCH("عهده مشتری",F153)),"مشتری","نامشخص")))</f>
        <v/>
      </c>
      <c r="R153" s="178">
        <f>IF(O153="تعویض کامل دستگاه (Replacement)",IF(SUMIF('قیمت‌ها و مفروضات'!$A$9:$A$13,C153,'قیمت‌ها و مفروضات'!$C$9:$C$13)&lt;&gt;0,SUMIF('قیمت‌ها و مفروضات'!$A$9:$A$13,C153,'قیمت‌ها و مفروضات'!$C$9:$C$13),SUMIF('قیمت‌ها و مفروضات'!$A$9:$A$13,C153,'قیمت‌ها و مفروضات'!$B$9:$B$13)),IF(SUMIF('قیمت‌ها و مفروضات'!$A$18:$A$63,O153,'قیمت‌ها و مفروضات'!$C$18:$C$63)&lt;&gt;0,SUMIF('قیمت‌ها و مفروضات'!$A$18:$A$63,O153,'قیمت‌ها و مفروضات'!$C$18:$C$63),SUMIF('قیمت‌ها و مفروضات'!$A$18:$A$63,O153,'قیمت‌ها و مفروضات'!$B$18:$B$63)))</f>
        <v/>
      </c>
      <c r="S153" s="178">
        <f>'قیمت‌ها و مفروضات'!$B$3+'قیمت‌ها و مفروضات'!$B$4</f>
        <v/>
      </c>
      <c r="T153" s="178">
        <f>R153+S153</f>
        <v/>
      </c>
      <c r="U153" s="178">
        <f>IF(COUNTIF($E$2:E153,E153)&gt;1,"بله (تکراری)","خیر")</f>
        <v/>
      </c>
      <c r="V153" s="178">
        <f>IF(U153="بله (تکراری)",S153,0)</f>
        <v/>
      </c>
      <c r="W153" s="208" t="inlineStr"/>
      <c r="X153" s="208" t="inlineStr"/>
    </row>
    <row r="154" ht="58.5" customHeight="1" s="151">
      <c r="A154" s="176" t="n">
        <v>210004739</v>
      </c>
      <c r="B154" s="124">
        <f>CHOOSE(_xlfn.NUMBERVALUE(MID(H154,6,2)),"فروردین","اردیبهشت","خرداد","تیر","مرداد","شهریور","مهر","آبان","آذر","دی","بهمن","اسفند")</f>
        <v/>
      </c>
      <c r="C154" s="176" t="inlineStr">
        <is>
          <t>ماشين لباسشويي</t>
        </is>
      </c>
      <c r="D154" s="176" t="inlineStr">
        <is>
          <t>CWM-BMW9T1</t>
        </is>
      </c>
      <c r="E154" s="176" t="inlineStr">
        <is>
          <t>52210008N00988</t>
        </is>
      </c>
      <c r="F154" s="173" t="inlineStr">
        <is>
          <t>جمع شدن آب زير محصول**اياب و ذهاب به عهده شرکت</t>
        </is>
      </c>
      <c r="G154" s="173" t="inlineStr">
        <is>
          <t>نشتي از شيلنگ تخليه آب</t>
        </is>
      </c>
      <c r="H154" s="176" t="inlineStr">
        <is>
          <t>1405/03/03</t>
        </is>
      </c>
      <c r="I154" s="176" t="inlineStr">
        <is>
          <t>1404/03/21</t>
        </is>
      </c>
      <c r="J154" s="176" t="inlineStr">
        <is>
          <t>1405/02/02</t>
        </is>
      </c>
      <c r="K154" s="177">
        <f>IFERROR(VLOOKUP(LEFT(H154,7),'تبدیل تاریخ'!$A$2:$B$73,2,FALSE())+VALUE(RIGHT(H154,2))-1,"")</f>
        <v/>
      </c>
      <c r="L154" s="177">
        <f>IFERROR(VLOOKUP(LEFT(I154,7),'تبدیل تاریخ'!$A$2:$B$73,2,FALSE())+VALUE(RIGHT(I154,2))-1,"")</f>
        <v/>
      </c>
      <c r="M154" s="177">
        <f>IF(J154="","",IFERROR(VLOOKUP(LEFT(J154,7),'تبدیل تاریخ'!$A$2:$B$73,2,FALSE())+VALUE(RIGHT(J154,2))-1,""))</f>
        <v/>
      </c>
      <c r="N154" s="124">
        <f>IF(OR(K154="",M154=""),"",CEILING((K154-M154)/30,1))</f>
        <v/>
      </c>
      <c r="O154" s="124">
        <f>IF(OR(ISNUMBER(SEARCH("بدون مورد",G154)),ISNUMBER(SEARCH("غير گارانتي",G154)),ISNUMBER(SEARCH("غیر گارانتی",G154)),ISNUMBER(SEARCH("بدون اجرت",G154)),ISNUMBER(SEARCH("فيلتر",G154)),ISNUMBER(SEARCH("فیلتر",G154))),"غیرگارانتی/بدون قطعه",IF(OR(ISNUMBER(SEARCH("ريست",G154)),ISNUMBER(SEARCH("ریست",G154))),"ریست نرم‌افزاری (بدون قطعه)",IF(OR(ISNUMBER(SEARCH("تعویض محصول",G154)),ISNUMBER(SEARCH("تعویض دستگاه",G154))),"تعویض کامل دستگاه (Replacement)",IF(ISNUMBER(SEARCH("پمپ",G154)),IF(ISNUMBER(SEARCH("نشت",G154)),"نشتی - پمپ تخلیه (تعمیر/آب‌بندی)","خرابی - پمپ تخلیه (تعویض)"),IF(ISNUMBER(SEARCH("کمپرسور",G154)),"خرابی - کمپرسور (تعویض)",IF(ISNUMBER(SEARCH("کمک فنر",G154)),"خرابی - کمک فنر (تعویض)",IF(ISNUMBER(SEARCH("لولا",G154)),"مکانیزم درب - لولا (تعویض)",IF(OR(ISNUMBER(SEARCH("قلاب",G154)),ISNUMBER(SEARCH("ميکروسوئيچ",G154)),ISNUMBER(SEARCH("میکروسوئیچ",G154))),"مکانیزم درب - میکروسوئیچ/قلاب (تعویض/تنظیم)",IF(ISNUMBER(SEARCH("زبانه",G154)),"مکانیزم درب - زبانه (تعویض)",IF(OR(ISNUMBER(SEARCH("شيلنگ",G154)),ISNUMBER(SEARCH("شیلنگ",G154))),IF(OR(ISNUMBER(SEARCH("نشتی",G154)),ISNUMBER(SEARCH("نشتي",G154))),"نشتی - شیلنگ (تعمیر/آب‌بندی)",IF(OR(ISNUMBER(SEARCH("يخ",G154)),ISNUMBER(SEARCH("یخ",G154))),"شیلنگ یخساز - یخ‌زدگی (بازبینی)","شیلنگ - برخورد/لهیدگی (بازبینی)")),IF(OR(ISNUMBER(SEARCH("تنظيم ديسپل",G154)),ISNUMBER(SEARCH("تنظیم دیسپل",G154)),ISNUMBER(SEARCH("تنظيم صفحه نمايش",G154)),ISNUMBER(SEARCH("تنظیم صفحه نمایش",G154))),"تنظیم - تنظیمات دستگاه/دیسپلی (تعمیر)",IF(OR(ISNUMBER(SEARCH("برد",G154)),ISNUMBER(SEARCH("سوکت",G154)),ISNUMBER(SEARCH("ديسپل",G154)),ISNUMBER(SEARCH("دیسپل",G154))),"خرابی - برد الکترونیک (تعویض)",IF(OR(ISNUMBER(SEARCH("يخساز",G154)),ISNUMBER(SEARCH("یخساز",G154)),ISNUMBER(SEARCH("دمپر",G154))),IF(OR(ISNUMBER(SEARCH("خرابی",G154)),ISNUMBER(SEARCH("خراب",G154)),ISNUMBER(SEARCH("عدم کارکرد",G154)),ISNUMBER(SEARCH("عدم عملکرد",G154))),"یخساز - خرابی موتور/سنسور/برد (تعویض)","یخساز - تنظیم/عایق (تعمیر)"),IF(OR(ISNUMBER(SEARCH("لاستيک",G154)),ISNUMBER(SEARCH("لاستیک",G154))),"لاستیک درزگیر - دفرمگی/پارگی (تعویض)",IF(OR(ISNUMBER(SEARCH("گسکت",G154)),ISNUMBER(SEARCH("گسگت",G154))),"لاستیک درزگیر - دفرمگی/پارگی (تعویض)",IF(ISNUMBER(SEARCH("مخزن نمک",G154)),"نشتی - درب مخزن نمک (تعمیر/آب‌بندی)",IF(ISNUMBER(SEARCH("براکت",G154)),"نشتی - براکت ریل (تعمیر/آب‌بندی)",IF(ISNUMBER(SEARCH("جاپودر",G154)),"نشتی - جاپودری (تعمیر/آب‌بندی)",IF(ISNUMBER(SEARCH("مقسم",G154)),"نشتی - مقسم آب (تعمیر/آب‌بندی)",IF(OR(ISNUMBER(SEARCH("سنسور دما",G154)),ISNUMBER(SEARCH("ترموستات",G154))),"خرابی - ترموستات (تعویض)",IF(OR(ISNUMBER(SEARCH("هيدروستات",G154)),ISNUMBER(SEARCH("هیدروستات",G154))),"خرابی - هیدروستات (تعویض)",IF(OR(ISNUMBER(SEARCH("بلبرينگ",G154)),ISNUMBER(SEARCH("بلبرینگ",G154))),"خرابی - بلبرینگ (تعویض)",IF(OR(ISNUMBER(SEARCH("شيربرق",G154)),ISNUMBER(SEARCH("شیربرق",G154))),"خرابی - شیربرقی (تعویض)",IF(OR(ISNUMBER(SEARCH("واتر جت",G154)),ISNUMBER(SEARCH("واترجت",G154))),"خرابی - واترجت (تعویض)",IF(OR(ISNUMBER(SEARCH("سيم",G154)),ISNUMBER(SEARCH("سیم",G154)),ISNUMBER(SEARCH("اتصال",G154))),"سیم‌کشی/اتصالات (تعویض/بازبینی)",IF(OR(ISNUMBER(SEARCH("تصوير",G154)),ISNUMBER(SEARCH("تصویر",G154))),"برد نمایش تلویزیون (تعویض)",IF(OR(ISNUMBER(SEARCH("ريموت",G154)),ISNUMBER(SEARCH("ریموت",G154))),"ریموت کنترل (تعویض/تعمیر)",IF(OR(ISNUMBER(SEARCH("ال اي دي",G154)),ISNUMBER(SEARCH("ال ای دی",G154)),ISNUMBER(SEARCH("LED",G154))),"خرابی - لامپ/LED داخلی (تعویض)",IF(ISNUMBER(SEARCH("زنگ زدگ",G154)),"زنگ‌زدگی بدنه/قطعه (تعویض)",IF(OR(ISNUMBER(SEARCH("قطعات تزئين",G154)),ISNUMBER(SEARCH("قطعات تزئین",G154))),"قطعات تزئینی - شکستگی/کسری (تعویض)",IF(ISNUMBER(SEARCH("سبد",G154)),"سبد ظرفشویی - شکستگی (تعویض)",IF(ISNUMBER(SEARCH("تاب درام",G154)),"خرابی - تاب برداشتن درام (تعویض)",IF(ISNUMBER(SEARCH("درام",G154)),"خرابی - سایر ایراد درام (تعویض)",IF(ISNUMBER(SEARCH("موتور",G154)),"خرابی - موتور (تعویض)",IF(ISNUMBER(SEARCH("تسمه",G154)),"خرابی - تسمه (تعویض)",IF(OR(ISNUMBER(SEARCH("پيچ ولوم",G154)),ISNUMBER(SEARCH("پیچ ولوم",G154))),"تنظیم - پیچ ولوم/دکمه (تعمیر)",IF(OR(ISNUMBER(SEARCH("کسري قطعات",G154)),ISNUMBER(SEARCH("کسری قطعات",G154))),"کسری قطعات تزئینی (تعویض)",IF(ISNUMBER(SEARCH("پرچ",G154)),"پرچ/بدنه کابین(تعمیر)",IF(OR(ISNUMBER(SEARCH("نشت",G154)),ISNUMBER(SEARCH("آبريزش",G154)),ISNUMBER(SEARCH("آبریزش",G154))),"نشتی آب - محل نامشخص (نیازمند بازدید)",IF(ISNUMBER(SEARCH("درب",G154)),"سایر اجزای درب (بازبینی)",IF(ISNUMBER(SEARCH("ضربه",G154)),"بدنه/کابین - ضربه (بازبینی/تعویض پنل)",IF(ISNUMBER(SEARCH("تراز",G154)),"تراز/لرزش - نصب (رگلاژ پایه)",IF(OR(ISNUMBER(SEARCH("تعویض",G154)),ISNUMBER(SEARCH("تعويض",G154))),"تعویض کامل دستگاه (Replacement)","سایر (نیازمند بررسی دستی)")))))))))))))))))))))))))))))))))))))))))))</f>
        <v/>
      </c>
      <c r="P154" s="124" t="inlineStr">
        <is>
          <t>*</t>
        </is>
      </c>
      <c r="Q154" s="124">
        <f>IF(ISNUMBER(SEARCH("عهده شرکت",F154)),"شرکت",IF(ISNUMBER(SEARCH("عهده مشتري",F154)),"مشتری",IF(ISNUMBER(SEARCH("عهده مشتری",F154)),"مشتری","نامشخص")))</f>
        <v/>
      </c>
      <c r="R154" s="178">
        <f>IF(O154="تعویض کامل دستگاه (Replacement)",IF(SUMIF('قیمت‌ها و مفروضات'!$A$9:$A$13,C154,'قیمت‌ها و مفروضات'!$C$9:$C$13)&lt;&gt;0,SUMIF('قیمت‌ها و مفروضات'!$A$9:$A$13,C154,'قیمت‌ها و مفروضات'!$C$9:$C$13),SUMIF('قیمت‌ها و مفروضات'!$A$9:$A$13,C154,'قیمت‌ها و مفروضات'!$B$9:$B$13)),IF(SUMIF('قیمت‌ها و مفروضات'!$A$18:$A$63,O154,'قیمت‌ها و مفروضات'!$C$18:$C$63)&lt;&gt;0,SUMIF('قیمت‌ها و مفروضات'!$A$18:$A$63,O154,'قیمت‌ها و مفروضات'!$C$18:$C$63),SUMIF('قیمت‌ها و مفروضات'!$A$18:$A$63,O154,'قیمت‌ها و مفروضات'!$B$18:$B$63)))</f>
        <v/>
      </c>
      <c r="S154" s="178">
        <f>'قیمت‌ها و مفروضات'!$B$3+'قیمت‌ها و مفروضات'!$B$4</f>
        <v/>
      </c>
      <c r="T154" s="178">
        <f>R154+S154</f>
        <v/>
      </c>
      <c r="U154" s="178">
        <f>IF(COUNTIF($E$2:E154,E154)&gt;1,"بله (تکراری)","خیر")</f>
        <v/>
      </c>
      <c r="V154" s="178">
        <f>IF(U154="بله (تکراری)",S154,0)</f>
        <v/>
      </c>
      <c r="W154" s="208" t="inlineStr"/>
      <c r="X154" s="208" t="inlineStr"/>
    </row>
    <row r="155" ht="58.5" customHeight="1" s="151">
      <c r="A155" s="176" t="n">
        <v>130004136</v>
      </c>
      <c r="B155" s="124">
        <f>CHOOSE(_xlfn.NUMBERVALUE(MID(H155,6,2)),"فروردین","اردیبهشت","خرداد","تیر","مرداد","شهریور","مهر","آبان","آذر","دی","بهمن","اسفند")</f>
        <v/>
      </c>
      <c r="C155" s="176" t="inlineStr">
        <is>
          <t>ماشين لباسشويي</t>
        </is>
      </c>
      <c r="D155" s="176" t="inlineStr">
        <is>
          <t>CWM-BMW8T3</t>
        </is>
      </c>
      <c r="E155" s="176" t="inlineStr">
        <is>
          <t>52210014N00424</t>
        </is>
      </c>
      <c r="F155" s="173" t="inlineStr">
        <is>
          <t>عدم عملکرد کليدهاي ديسپلي**اياب و ذهاب به عهده شرکت</t>
        </is>
      </c>
      <c r="G155" s="173" t="inlineStr">
        <is>
          <t>خرابي ديسپلي</t>
        </is>
      </c>
      <c r="H155" s="176" t="inlineStr">
        <is>
          <t>1405/03/05</t>
        </is>
      </c>
      <c r="I155" s="176" t="inlineStr">
        <is>
          <t>1405/02/21</t>
        </is>
      </c>
      <c r="J155" s="176" t="inlineStr">
        <is>
          <t>1405/02/21</t>
        </is>
      </c>
      <c r="K155" s="177">
        <f>IFERROR(VLOOKUP(LEFT(H155,7),'تبدیل تاریخ'!$A$2:$B$73,2,FALSE())+VALUE(RIGHT(H155,2))-1,"")</f>
        <v/>
      </c>
      <c r="L155" s="177">
        <f>IFERROR(VLOOKUP(LEFT(I155,7),'تبدیل تاریخ'!$A$2:$B$73,2,FALSE())+VALUE(RIGHT(I155,2))-1,"")</f>
        <v/>
      </c>
      <c r="M155" s="177">
        <f>IF(J155="","",IFERROR(VLOOKUP(LEFT(J155,7),'تبدیل تاریخ'!$A$2:$B$73,2,FALSE())+VALUE(RIGHT(J155,2))-1,""))</f>
        <v/>
      </c>
      <c r="N155" s="124">
        <f>IF(OR(K155="",M155=""),"",CEILING((K155-M155)/30,1))</f>
        <v/>
      </c>
      <c r="O155" s="124">
        <f>IF(OR(ISNUMBER(SEARCH("بدون مورد",G155)),ISNUMBER(SEARCH("غير گارانتي",G155)),ISNUMBER(SEARCH("غیر گارانتی",G155)),ISNUMBER(SEARCH("بدون اجرت",G155)),ISNUMBER(SEARCH("فيلتر",G155)),ISNUMBER(SEARCH("فیلتر",G155))),"غیرگارانتی/بدون قطعه",IF(OR(ISNUMBER(SEARCH("ريست",G155)),ISNUMBER(SEARCH("ریست",G155))),"ریست نرم‌افزاری (بدون قطعه)",IF(OR(ISNUMBER(SEARCH("تعویض محصول",G155)),ISNUMBER(SEARCH("تعویض دستگاه",G155))),"تعویض کامل دستگاه (Replacement)",IF(ISNUMBER(SEARCH("پمپ",G155)),IF(ISNUMBER(SEARCH("نشت",G155)),"نشتی - پمپ تخلیه (تعمیر/آب‌بندی)","خرابی - پمپ تخلیه (تعویض)"),IF(ISNUMBER(SEARCH("کمپرسور",G155)),"خرابی - کمپرسور (تعویض)",IF(ISNUMBER(SEARCH("کمک فنر",G155)),"خرابی - کمک فنر (تعویض)",IF(ISNUMBER(SEARCH("لولا",G155)),"مکانیزم درب - لولا (تعویض)",IF(OR(ISNUMBER(SEARCH("قلاب",G155)),ISNUMBER(SEARCH("ميکروسوئيچ",G155)),ISNUMBER(SEARCH("میکروسوئیچ",G155))),"مکانیزم درب - میکروسوئیچ/قلاب (تعویض/تنظیم)",IF(ISNUMBER(SEARCH("زبانه",G155)),"مکانیزم درب - زبانه (تعویض)",IF(OR(ISNUMBER(SEARCH("شيلنگ",G155)),ISNUMBER(SEARCH("شیلنگ",G155))),IF(OR(ISNUMBER(SEARCH("نشتی",G155)),ISNUMBER(SEARCH("نشتي",G155))),"نشتی - شیلنگ (تعمیر/آب‌بندی)",IF(OR(ISNUMBER(SEARCH("يخ",G155)),ISNUMBER(SEARCH("یخ",G155))),"شیلنگ یخساز - یخ‌زدگی (بازبینی)","شیلنگ - برخورد/لهیدگی (بازبینی)")),IF(OR(ISNUMBER(SEARCH("تنظيم ديسپل",G155)),ISNUMBER(SEARCH("تنظیم دیسپل",G155)),ISNUMBER(SEARCH("تنظيم صفحه نمايش",G155)),ISNUMBER(SEARCH("تنظیم صفحه نمایش",G155))),"تنظیم - تنظیمات دستگاه/دیسپلی (تعمیر)",IF(OR(ISNUMBER(SEARCH("برد",G155)),ISNUMBER(SEARCH("سوکت",G155)),ISNUMBER(SEARCH("ديسپل",G155)),ISNUMBER(SEARCH("دیسپل",G155))),"خرابی - برد الکترونیک (تعویض)",IF(OR(ISNUMBER(SEARCH("يخساز",G155)),ISNUMBER(SEARCH("یخساز",G155)),ISNUMBER(SEARCH("دمپر",G155))),IF(OR(ISNUMBER(SEARCH("خرابی",G155)),ISNUMBER(SEARCH("خراب",G155)),ISNUMBER(SEARCH("عدم کارکرد",G155)),ISNUMBER(SEARCH("عدم عملکرد",G155))),"یخساز - خرابی موتور/سنسور/برد (تعویض)","یخساز - تنظیم/عایق (تعمیر)"),IF(OR(ISNUMBER(SEARCH("لاستيک",G155)),ISNUMBER(SEARCH("لاستیک",G155))),"لاستیک درزگیر - دفرمگی/پارگی (تعویض)",IF(OR(ISNUMBER(SEARCH("گسکت",G155)),ISNUMBER(SEARCH("گسگت",G155))),"لاستیک درزگیر - دفرمگی/پارگی (تعویض)",IF(ISNUMBER(SEARCH("مخزن نمک",G155)),"نشتی - درب مخزن نمک (تعمیر/آب‌بندی)",IF(ISNUMBER(SEARCH("براکت",G155)),"نشتی - براکت ریل (تعمیر/آب‌بندی)",IF(ISNUMBER(SEARCH("جاپودر",G155)),"نشتی - جاپودری (تعمیر/آب‌بندی)",IF(ISNUMBER(SEARCH("مقسم",G155)),"نشتی - مقسم آب (تعمیر/آب‌بندی)",IF(OR(ISNUMBER(SEARCH("سنسور دما",G155)),ISNUMBER(SEARCH("ترموستات",G155))),"خرابی - ترموستات (تعویض)",IF(OR(ISNUMBER(SEARCH("هيدروستات",G155)),ISNUMBER(SEARCH("هیدروستات",G155))),"خرابی - هیدروستات (تعویض)",IF(OR(ISNUMBER(SEARCH("بلبرينگ",G155)),ISNUMBER(SEARCH("بلبرینگ",G155))),"خرابی - بلبرینگ (تعویض)",IF(OR(ISNUMBER(SEARCH("شيربرق",G155)),ISNUMBER(SEARCH("شیربرق",G155))),"خرابی - شیربرقی (تعویض)",IF(OR(ISNUMBER(SEARCH("واتر جت",G155)),ISNUMBER(SEARCH("واترجت",G155))),"خرابی - واترجت (تعویض)",IF(OR(ISNUMBER(SEARCH("سيم",G155)),ISNUMBER(SEARCH("سیم",G155)),ISNUMBER(SEARCH("اتصال",G155))),"سیم‌کشی/اتصالات (تعویض/بازبینی)",IF(OR(ISNUMBER(SEARCH("تصوير",G155)),ISNUMBER(SEARCH("تصویر",G155))),"برد نمایش تلویزیون (تعویض)",IF(OR(ISNUMBER(SEARCH("ريموت",G155)),ISNUMBER(SEARCH("ریموت",G155))),"ریموت کنترل (تعویض/تعمیر)",IF(OR(ISNUMBER(SEARCH("ال اي دي",G155)),ISNUMBER(SEARCH("ال ای دی",G155)),ISNUMBER(SEARCH("LED",G155))),"خرابی - لامپ/LED داخلی (تعویض)",IF(ISNUMBER(SEARCH("زنگ زدگ",G155)),"زنگ‌زدگی بدنه/قطعه (تعویض)",IF(OR(ISNUMBER(SEARCH("قطعات تزئين",G155)),ISNUMBER(SEARCH("قطعات تزئین",G155))),"قطعات تزئینی - شکستگی/کسری (تعویض)",IF(ISNUMBER(SEARCH("سبد",G155)),"سبد ظرفشویی - شکستگی (تعویض)",IF(ISNUMBER(SEARCH("تاب درام",G155)),"خرابی - تاب برداشتن درام (تعویض)",IF(ISNUMBER(SEARCH("درام",G155)),"خرابی - سایر ایراد درام (تعویض)",IF(ISNUMBER(SEARCH("موتور",G155)),"خرابی - موتور (تعویض)",IF(ISNUMBER(SEARCH("تسمه",G155)),"خرابی - تسمه (تعویض)",IF(OR(ISNUMBER(SEARCH("پيچ ولوم",G155)),ISNUMBER(SEARCH("پیچ ولوم",G155))),"تنظیم - پیچ ولوم/دکمه (تعمیر)",IF(OR(ISNUMBER(SEARCH("کسري قطعات",G155)),ISNUMBER(SEARCH("کسری قطعات",G155))),"کسری قطعات تزئینی (تعویض)",IF(ISNUMBER(SEARCH("پرچ",G155)),"پرچ/بدنه کابین(تعمیر)",IF(OR(ISNUMBER(SEARCH("نشت",G155)),ISNUMBER(SEARCH("آبريزش",G155)),ISNUMBER(SEARCH("آبریزش",G155))),"نشتی آب - محل نامشخص (نیازمند بازدید)",IF(ISNUMBER(SEARCH("درب",G155)),"سایر اجزای درب (بازبینی)",IF(ISNUMBER(SEARCH("ضربه",G155)),"بدنه/کابین - ضربه (بازبینی/تعویض پنل)",IF(ISNUMBER(SEARCH("تراز",G155)),"تراز/لرزش - نصب (رگلاژ پایه)",IF(OR(ISNUMBER(SEARCH("تعویض",G155)),ISNUMBER(SEARCH("تعويض",G155))),"تعویض کامل دستگاه (Replacement)","سایر (نیازمند بررسی دستی)")))))))))))))))))))))))))))))))))))))))))))</f>
        <v/>
      </c>
      <c r="P155" s="124" t="inlineStr">
        <is>
          <t>برد لباسشویی</t>
        </is>
      </c>
      <c r="Q155" s="124">
        <f>IF(ISNUMBER(SEARCH("عهده شرکت",F155)),"شرکت",IF(ISNUMBER(SEARCH("عهده مشتري",F155)),"مشتری",IF(ISNUMBER(SEARCH("عهده مشتری",F155)),"مشتری","نامشخص")))</f>
        <v/>
      </c>
      <c r="R155" s="178">
        <f>IF(O155="تعویض کامل دستگاه (Replacement)",IF(SUMIF('قیمت‌ها و مفروضات'!$A$9:$A$13,C155,'قیمت‌ها و مفروضات'!$C$9:$C$13)&lt;&gt;0,SUMIF('قیمت‌ها و مفروضات'!$A$9:$A$13,C155,'قیمت‌ها و مفروضات'!$C$9:$C$13),SUMIF('قیمت‌ها و مفروضات'!$A$9:$A$13,C155,'قیمت‌ها و مفروضات'!$B$9:$B$13)),IF(SUMIF('قیمت‌ها و مفروضات'!$A$18:$A$63,O155,'قیمت‌ها و مفروضات'!$C$18:$C$63)&lt;&gt;0,SUMIF('قیمت‌ها و مفروضات'!$A$18:$A$63,O155,'قیمت‌ها و مفروضات'!$C$18:$C$63),SUMIF('قیمت‌ها و مفروضات'!$A$18:$A$63,O155,'قیمت‌ها و مفروضات'!$B$18:$B$63)))</f>
        <v/>
      </c>
      <c r="S155" s="178">
        <f>'قیمت‌ها و مفروضات'!$B$3+'قیمت‌ها و مفروضات'!$B$4</f>
        <v/>
      </c>
      <c r="T155" s="178">
        <f>R155+S155</f>
        <v/>
      </c>
      <c r="U155" s="178">
        <f>IF(COUNTIF($E$2:E155,E155)&gt;1,"بله (تکراری)","خیر")</f>
        <v/>
      </c>
      <c r="V155" s="178">
        <f>IF(U155="بله (تکراری)",S155,0)</f>
        <v/>
      </c>
      <c r="W155" s="208" t="inlineStr"/>
      <c r="X155" s="208" t="inlineStr"/>
    </row>
    <row r="156" ht="58.5" customHeight="1" s="151">
      <c r="A156" s="176" t="n">
        <v>510017610</v>
      </c>
      <c r="B156" s="124">
        <f>CHOOSE(_xlfn.NUMBERVALUE(MID(H156,6,2)),"فروردین","اردیبهشت","خرداد","تیر","مرداد","شهریور","مهر","آبان","آذر","دی","بهمن","اسفند")</f>
        <v/>
      </c>
      <c r="C156" s="176" t="inlineStr">
        <is>
          <t>یخچال ساید‌بای‌ساید</t>
        </is>
      </c>
      <c r="D156" s="176" t="inlineStr">
        <is>
          <t>C2S-29HS1</t>
        </is>
      </c>
      <c r="E156" s="176" t="inlineStr">
        <is>
          <t>52240001N01913</t>
        </is>
      </c>
      <c r="F156" s="173" t="inlineStr">
        <is>
          <t>جمع شدن آب زير محصول**اياب و ذهاب به عهده شرکت</t>
        </is>
      </c>
      <c r="G156" s="173" t="inlineStr">
        <is>
          <t>نشتي از فيتينگي پشت جلوپايي - سايد باي سايد</t>
        </is>
      </c>
      <c r="H156" s="176" t="inlineStr">
        <is>
          <t>1405/03/03</t>
        </is>
      </c>
      <c r="I156" s="176" t="inlineStr">
        <is>
          <t>1403/09/06</t>
        </is>
      </c>
      <c r="J156" s="176" t="inlineStr">
        <is>
          <t>1404/12/09</t>
        </is>
      </c>
      <c r="K156" s="177">
        <f>IFERROR(VLOOKUP(LEFT(H156,7),'تبدیل تاریخ'!$A$2:$B$73,2,FALSE())+VALUE(RIGHT(H156,2))-1,"")</f>
        <v/>
      </c>
      <c r="L156" s="177">
        <f>IFERROR(VLOOKUP(LEFT(I156,7),'تبدیل تاریخ'!$A$2:$B$73,2,FALSE())+VALUE(RIGHT(I156,2))-1,"")</f>
        <v/>
      </c>
      <c r="M156" s="177">
        <f>IF(J156="","",IFERROR(VLOOKUP(LEFT(J156,7),'تبدیل تاریخ'!$A$2:$B$73,2,FALSE())+VALUE(RIGHT(J156,2))-1,""))</f>
        <v/>
      </c>
      <c r="N156" s="124">
        <f>IF(OR(K156="",M156=""),"",CEILING((K156-M156)/30,1))</f>
        <v/>
      </c>
      <c r="O156" s="124">
        <f>IF(OR(ISNUMBER(SEARCH("بدون مورد",G156)),ISNUMBER(SEARCH("غير گارانتي",G156)),ISNUMBER(SEARCH("غیر گارانتی",G156)),ISNUMBER(SEARCH("بدون اجرت",G156)),ISNUMBER(SEARCH("فيلتر",G156)),ISNUMBER(SEARCH("فیلتر",G156))),"غیرگارانتی/بدون قطعه",IF(OR(ISNUMBER(SEARCH("ريست",G156)),ISNUMBER(SEARCH("ریست",G156))),"ریست نرم‌افزاری (بدون قطعه)",IF(OR(ISNUMBER(SEARCH("تعویض محصول",G156)),ISNUMBER(SEARCH("تعویض دستگاه",G156))),"تعویض کامل دستگاه (Replacement)",IF(ISNUMBER(SEARCH("پمپ",G156)),IF(ISNUMBER(SEARCH("نشت",G156)),"نشتی - پمپ تخلیه (تعمیر/آب‌بندی)","خرابی - پمپ تخلیه (تعویض)"),IF(ISNUMBER(SEARCH("کمپرسور",G156)),"خرابی - کمپرسور (تعویض)",IF(ISNUMBER(SEARCH("کمک فنر",G156)),"خرابی - کمک فنر (تعویض)",IF(ISNUMBER(SEARCH("لولا",G156)),"مکانیزم درب - لولا (تعویض)",IF(OR(ISNUMBER(SEARCH("قلاب",G156)),ISNUMBER(SEARCH("ميکروسوئيچ",G156)),ISNUMBER(SEARCH("میکروسوئیچ",G156))),"مکانیزم درب - میکروسوئیچ/قلاب (تعویض/تنظیم)",IF(ISNUMBER(SEARCH("زبانه",G156)),"مکانیزم درب - زبانه (تعویض)",IF(OR(ISNUMBER(SEARCH("شيلنگ",G156)),ISNUMBER(SEARCH("شیلنگ",G156))),IF(OR(ISNUMBER(SEARCH("نشتی",G156)),ISNUMBER(SEARCH("نشتي",G156))),"نشتی - شیلنگ (تعمیر/آب‌بندی)",IF(OR(ISNUMBER(SEARCH("يخ",G156)),ISNUMBER(SEARCH("یخ",G156))),"شیلنگ یخساز - یخ‌زدگی (بازبینی)","شیلنگ - برخورد/لهیدگی (بازبینی)")),IF(OR(ISNUMBER(SEARCH("تنظيم ديسپل",G156)),ISNUMBER(SEARCH("تنظیم دیسپل",G156)),ISNUMBER(SEARCH("تنظيم صفحه نمايش",G156)),ISNUMBER(SEARCH("تنظیم صفحه نمایش",G156))),"تنظیم - تنظیمات دستگاه/دیسپلی (تعمیر)",IF(OR(ISNUMBER(SEARCH("برد",G156)),ISNUMBER(SEARCH("سوکت",G156)),ISNUMBER(SEARCH("ديسپل",G156)),ISNUMBER(SEARCH("دیسپل",G156))),"خرابی - برد الکترونیک (تعویض)",IF(OR(ISNUMBER(SEARCH("يخساز",G156)),ISNUMBER(SEARCH("یخساز",G156)),ISNUMBER(SEARCH("دمپر",G156))),IF(OR(ISNUMBER(SEARCH("خرابی",G156)),ISNUMBER(SEARCH("خراب",G156)),ISNUMBER(SEARCH("عدم کارکرد",G156)),ISNUMBER(SEARCH("عدم عملکرد",G156))),"یخساز - خرابی موتور/سنسور/برد (تعویض)","یخساز - تنظیم/عایق (تعمیر)"),IF(OR(ISNUMBER(SEARCH("لاستيک",G156)),ISNUMBER(SEARCH("لاستیک",G156))),"لاستیک درزگیر - دفرمگی/پارگی (تعویض)",IF(OR(ISNUMBER(SEARCH("گسکت",G156)),ISNUMBER(SEARCH("گسگت",G156))),"لاستیک درزگیر - دفرمگی/پارگی (تعویض)",IF(ISNUMBER(SEARCH("مخزن نمک",G156)),"نشتی - درب مخزن نمک (تعمیر/آب‌بندی)",IF(ISNUMBER(SEARCH("براکت",G156)),"نشتی - براکت ریل (تعمیر/آب‌بندی)",IF(ISNUMBER(SEARCH("جاپودر",G156)),"نشتی - جاپودری (تعمیر/آب‌بندی)",IF(ISNUMBER(SEARCH("مقسم",G156)),"نشتی - مقسم آب (تعمیر/آب‌بندی)",IF(OR(ISNUMBER(SEARCH("سنسور دما",G156)),ISNUMBER(SEARCH("ترموستات",G156))),"خرابی - ترموستات (تعویض)",IF(OR(ISNUMBER(SEARCH("هيدروستات",G156)),ISNUMBER(SEARCH("هیدروستات",G156))),"خرابی - هیدروستات (تعویض)",IF(OR(ISNUMBER(SEARCH("بلبرينگ",G156)),ISNUMBER(SEARCH("بلبرینگ",G156))),"خرابی - بلبرینگ (تعویض)",IF(OR(ISNUMBER(SEARCH("شيربرق",G156)),ISNUMBER(SEARCH("شیربرق",G156))),"خرابی - شیربرقی (تعویض)",IF(OR(ISNUMBER(SEARCH("واتر جت",G156)),ISNUMBER(SEARCH("واترجت",G156))),"خرابی - واترجت (تعویض)",IF(OR(ISNUMBER(SEARCH("سيم",G156)),ISNUMBER(SEARCH("سیم",G156)),ISNUMBER(SEARCH("اتصال",G156))),"سیم‌کشی/اتصالات (تعویض/بازبینی)",IF(OR(ISNUMBER(SEARCH("تصوير",G156)),ISNUMBER(SEARCH("تصویر",G156))),"برد نمایش تلویزیون (تعویض)",IF(OR(ISNUMBER(SEARCH("ريموت",G156)),ISNUMBER(SEARCH("ریموت",G156))),"ریموت کنترل (تعویض/تعمیر)",IF(OR(ISNUMBER(SEARCH("ال اي دي",G156)),ISNUMBER(SEARCH("ال ای دی",G156)),ISNUMBER(SEARCH("LED",G156))),"خرابی - لامپ/LED داخلی (تعویض)",IF(ISNUMBER(SEARCH("زنگ زدگ",G156)),"زنگ‌زدگی بدنه/قطعه (تعویض)",IF(OR(ISNUMBER(SEARCH("قطعات تزئين",G156)),ISNUMBER(SEARCH("قطعات تزئین",G156))),"قطعات تزئینی - شکستگی/کسری (تعویض)",IF(ISNUMBER(SEARCH("سبد",G156)),"سبد ظرفشویی - شکستگی (تعویض)",IF(ISNUMBER(SEARCH("تاب درام",G156)),"خرابی - تاب برداشتن درام (تعویض)",IF(ISNUMBER(SEARCH("درام",G156)),"خرابی - سایر ایراد درام (تعویض)",IF(ISNUMBER(SEARCH("موتور",G156)),"خرابی - موتور (تعویض)",IF(ISNUMBER(SEARCH("تسمه",G156)),"خرابی - تسمه (تعویض)",IF(OR(ISNUMBER(SEARCH("پيچ ولوم",G156)),ISNUMBER(SEARCH("پیچ ولوم",G156))),"تنظیم - پیچ ولوم/دکمه (تعمیر)",IF(OR(ISNUMBER(SEARCH("کسري قطعات",G156)),ISNUMBER(SEARCH("کسری قطعات",G156))),"کسری قطعات تزئینی (تعویض)",IF(ISNUMBER(SEARCH("پرچ",G156)),"پرچ/بدنه کابین(تعمیر)",IF(OR(ISNUMBER(SEARCH("نشت",G156)),ISNUMBER(SEARCH("آبريزش",G156)),ISNUMBER(SEARCH("آبریزش",G156))),"نشتی آب - محل نامشخص (نیازمند بازدید)",IF(ISNUMBER(SEARCH("درب",G156)),"سایر اجزای درب (بازبینی)",IF(ISNUMBER(SEARCH("ضربه",G156)),"بدنه/کابین - ضربه (بازبینی/تعویض پنل)",IF(ISNUMBER(SEARCH("تراز",G156)),"تراز/لرزش - نصب (رگلاژ پایه)",IF(OR(ISNUMBER(SEARCH("تعویض",G156)),ISNUMBER(SEARCH("تعويض",G156))),"تعویض کامل دستگاه (Replacement)","سایر (نیازمند بررسی دستی)")))))))))))))))))))))))))))))))))))))))))))</f>
        <v/>
      </c>
      <c r="P156" s="124" t="inlineStr">
        <is>
          <t>*</t>
        </is>
      </c>
      <c r="Q156" s="124">
        <f>IF(ISNUMBER(SEARCH("عهده شرکت",F156)),"شرکت",IF(ISNUMBER(SEARCH("عهده مشتري",F156)),"مشتری",IF(ISNUMBER(SEARCH("عهده مشتری",F156)),"مشتری","نامشخص")))</f>
        <v/>
      </c>
      <c r="R156" s="178">
        <f>IF(O156="تعویض کامل دستگاه (Replacement)",IF(SUMIF('قیمت‌ها و مفروضات'!$A$9:$A$13,C156,'قیمت‌ها و مفروضات'!$C$9:$C$13)&lt;&gt;0,SUMIF('قیمت‌ها و مفروضات'!$A$9:$A$13,C156,'قیمت‌ها و مفروضات'!$C$9:$C$13),SUMIF('قیمت‌ها و مفروضات'!$A$9:$A$13,C156,'قیمت‌ها و مفروضات'!$B$9:$B$13)),IF(SUMIF('قیمت‌ها و مفروضات'!$A$18:$A$63,O156,'قیمت‌ها و مفروضات'!$C$18:$C$63)&lt;&gt;0,SUMIF('قیمت‌ها و مفروضات'!$A$18:$A$63,O156,'قیمت‌ها و مفروضات'!$C$18:$C$63),SUMIF('قیمت‌ها و مفروضات'!$A$18:$A$63,O156,'قیمت‌ها و مفروضات'!$B$18:$B$63)))</f>
        <v/>
      </c>
      <c r="S156" s="178">
        <f>'قیمت‌ها و مفروضات'!$B$3+'قیمت‌ها و مفروضات'!$B$4</f>
        <v/>
      </c>
      <c r="T156" s="178">
        <f>R156+S156</f>
        <v/>
      </c>
      <c r="U156" s="178">
        <f>IF(COUNTIF($E$2:E156,E156)&gt;1,"بله (تکراری)","خیر")</f>
        <v/>
      </c>
      <c r="V156" s="178">
        <f>IF(U156="بله (تکراری)",S156,0)</f>
        <v/>
      </c>
      <c r="W156" s="208" t="inlineStr"/>
      <c r="X156" s="208" t="inlineStr"/>
    </row>
    <row r="157" ht="58.5" customHeight="1" s="151">
      <c r="A157" s="176" t="n">
        <v>781296</v>
      </c>
      <c r="B157" s="124">
        <f>CHOOSE(_xlfn.NUMBERVALUE(MID(H157,6,2)),"فروردین","اردیبهشت","خرداد","تیر","مرداد","شهریور","مهر","آبان","آذر","دی","بهمن","اسفند")</f>
        <v/>
      </c>
      <c r="C157" s="176" t="inlineStr">
        <is>
          <t>يخچال ميني</t>
        </is>
      </c>
      <c r="D157" s="176" t="inlineStr">
        <is>
          <t>MINI-R (BK01)</t>
        </is>
      </c>
      <c r="E157" s="176" t="inlineStr">
        <is>
          <t>52240002N00359</t>
        </is>
      </c>
      <c r="F157" s="173" t="inlineStr">
        <is>
          <t>خاموش بودن LED کاور / سقفي**اياب و ذهاب به عهده شرکت</t>
        </is>
      </c>
      <c r="G157" s="173" t="inlineStr">
        <is>
          <t>خرابی LED</t>
        </is>
      </c>
      <c r="H157" s="176" t="inlineStr">
        <is>
          <t>1405/03/05</t>
        </is>
      </c>
      <c r="I157" s="176" t="inlineStr">
        <is>
          <t>1403/10/24</t>
        </is>
      </c>
      <c r="J157" s="176" t="inlineStr">
        <is>
          <t>1404/12/09</t>
        </is>
      </c>
      <c r="K157" s="177">
        <f>IFERROR(VLOOKUP(LEFT(H157,7),'تبدیل تاریخ'!$A$2:$B$73,2,FALSE())+VALUE(RIGHT(H157,2))-1,"")</f>
        <v/>
      </c>
      <c r="L157" s="177">
        <f>IFERROR(VLOOKUP(LEFT(I157,7),'تبدیل تاریخ'!$A$2:$B$73,2,FALSE())+VALUE(RIGHT(I157,2))-1,"")</f>
        <v/>
      </c>
      <c r="M157" s="177">
        <f>IF(J157="","",IFERROR(VLOOKUP(LEFT(J157,7),'تبدیل تاریخ'!$A$2:$B$73,2,FALSE())+VALUE(RIGHT(J157,2))-1,""))</f>
        <v/>
      </c>
      <c r="N157" s="124">
        <f>IF(OR(K157="",M157=""),"",CEILING((K157-M157)/30,1))</f>
        <v/>
      </c>
      <c r="O157" s="124">
        <f>IF(OR(ISNUMBER(SEARCH("بدون مورد",G157)),ISNUMBER(SEARCH("غير گارانتي",G157)),ISNUMBER(SEARCH("غیر گارانتی",G157)),ISNUMBER(SEARCH("بدون اجرت",G157)),ISNUMBER(SEARCH("فيلتر",G157)),ISNUMBER(SEARCH("فیلتر",G157))),"غیرگارانتی/بدون قطعه",IF(OR(ISNUMBER(SEARCH("ريست",G157)),ISNUMBER(SEARCH("ریست",G157))),"ریست نرم‌افزاری (بدون قطعه)",IF(OR(ISNUMBER(SEARCH("تعویض محصول",G157)),ISNUMBER(SEARCH("تعویض دستگاه",G157))),"تعویض کامل دستگاه (Replacement)",IF(ISNUMBER(SEARCH("پمپ",G157)),IF(ISNUMBER(SEARCH("نشت",G157)),"نشتی - پمپ تخلیه (تعمیر/آب‌بندی)","خرابی - پمپ تخلیه (تعویض)"),IF(ISNUMBER(SEARCH("کمپرسور",G157)),"خرابی - کمپرسور (تعویض)",IF(ISNUMBER(SEARCH("کمک فنر",G157)),"خرابی - کمک فنر (تعویض)",IF(ISNUMBER(SEARCH("لولا",G157)),"مکانیزم درب - لولا (تعویض)",IF(OR(ISNUMBER(SEARCH("قلاب",G157)),ISNUMBER(SEARCH("ميکروسوئيچ",G157)),ISNUMBER(SEARCH("میکروسوئیچ",G157))),"مکانیزم درب - میکروسوئیچ/قلاب (تعویض/تنظیم)",IF(ISNUMBER(SEARCH("زبانه",G157)),"مکانیزم درب - زبانه (تعویض)",IF(OR(ISNUMBER(SEARCH("شيلنگ",G157)),ISNUMBER(SEARCH("شیلنگ",G157))),IF(OR(ISNUMBER(SEARCH("نشتی",G157)),ISNUMBER(SEARCH("نشتي",G157))),"نشتی - شیلنگ (تعمیر/آب‌بندی)",IF(OR(ISNUMBER(SEARCH("يخ",G157)),ISNUMBER(SEARCH("یخ",G157))),"شیلنگ یخساز - یخ‌زدگی (بازبینی)","شیلنگ - برخورد/لهیدگی (بازبینی)")),IF(OR(ISNUMBER(SEARCH("تنظيم ديسپل",G157)),ISNUMBER(SEARCH("تنظیم دیسپل",G157)),ISNUMBER(SEARCH("تنظيم صفحه نمايش",G157)),ISNUMBER(SEARCH("تنظیم صفحه نمایش",G157))),"تنظیم - تنظیمات دستگاه/دیسپلی (تعمیر)",IF(OR(ISNUMBER(SEARCH("برد",G157)),ISNUMBER(SEARCH("سوکت",G157)),ISNUMBER(SEARCH("ديسپل",G157)),ISNUMBER(SEARCH("دیسپل",G157))),"خرابی - برد الکترونیک (تعویض)",IF(OR(ISNUMBER(SEARCH("يخساز",G157)),ISNUMBER(SEARCH("یخساز",G157)),ISNUMBER(SEARCH("دمپر",G157))),IF(OR(ISNUMBER(SEARCH("خرابی",G157)),ISNUMBER(SEARCH("خراب",G157)),ISNUMBER(SEARCH("عدم کارکرد",G157)),ISNUMBER(SEARCH("عدم عملکرد",G157))),"یخساز - خرابی موتور/سنسور/برد (تعویض)","یخساز - تنظیم/عایق (تعمیر)"),IF(OR(ISNUMBER(SEARCH("لاستيک",G157)),ISNUMBER(SEARCH("لاستیک",G157))),"لاستیک درزگیر - دفرمگی/پارگی (تعویض)",IF(OR(ISNUMBER(SEARCH("گسکت",G157)),ISNUMBER(SEARCH("گسگت",G157))),"لاستیک درزگیر - دفرمگی/پارگی (تعویض)",IF(ISNUMBER(SEARCH("مخزن نمک",G157)),"نشتی - درب مخزن نمک (تعمیر/آب‌بندی)",IF(ISNUMBER(SEARCH("براکت",G157)),"نشتی - براکت ریل (تعمیر/آب‌بندی)",IF(ISNUMBER(SEARCH("جاپودر",G157)),"نشتی - جاپودری (تعمیر/آب‌بندی)",IF(ISNUMBER(SEARCH("مقسم",G157)),"نشتی - مقسم آب (تعمیر/آب‌بندی)",IF(OR(ISNUMBER(SEARCH("سنسور دما",G157)),ISNUMBER(SEARCH("ترموستات",G157))),"خرابی - ترموستات (تعویض)",IF(OR(ISNUMBER(SEARCH("هيدروستات",G157)),ISNUMBER(SEARCH("هیدروستات",G157))),"خرابی - هیدروستات (تعویض)",IF(OR(ISNUMBER(SEARCH("بلبرينگ",G157)),ISNUMBER(SEARCH("بلبرینگ",G157))),"خرابی - بلبرینگ (تعویض)",IF(OR(ISNUMBER(SEARCH("شيربرق",G157)),ISNUMBER(SEARCH("شیربرق",G157))),"خرابی - شیربرقی (تعویض)",IF(OR(ISNUMBER(SEARCH("واتر جت",G157)),ISNUMBER(SEARCH("واترجت",G157))),"خرابی - واترجت (تعویض)",IF(OR(ISNUMBER(SEARCH("سيم",G157)),ISNUMBER(SEARCH("سیم",G157)),ISNUMBER(SEARCH("اتصال",G157))),"سیم‌کشی/اتصالات (تعویض/بازبینی)",IF(OR(ISNUMBER(SEARCH("تصوير",G157)),ISNUMBER(SEARCH("تصویر",G157))),"برد نمایش تلویزیون (تعویض)",IF(OR(ISNUMBER(SEARCH("ريموت",G157)),ISNUMBER(SEARCH("ریموت",G157))),"ریموت کنترل (تعویض/تعمیر)",IF(OR(ISNUMBER(SEARCH("ال اي دي",G157)),ISNUMBER(SEARCH("ال ای دی",G157)),ISNUMBER(SEARCH("LED",G157))),"خرابی - لامپ/LED داخلی (تعویض)",IF(ISNUMBER(SEARCH("زنگ زدگ",G157)),"زنگ‌زدگی بدنه/قطعه (تعویض)",IF(OR(ISNUMBER(SEARCH("قطعات تزئين",G157)),ISNUMBER(SEARCH("قطعات تزئین",G157))),"قطعات تزئینی - شکستگی/کسری (تعویض)",IF(ISNUMBER(SEARCH("سبد",G157)),"سبد ظرفشویی - شکستگی (تعویض)",IF(ISNUMBER(SEARCH("تاب درام",G157)),"خرابی - تاب برداشتن درام (تعویض)",IF(ISNUMBER(SEARCH("درام",G157)),"خرابی - سایر ایراد درام (تعویض)",IF(ISNUMBER(SEARCH("موتور",G157)),"خرابی - موتور (تعویض)",IF(ISNUMBER(SEARCH("تسمه",G157)),"خرابی - تسمه (تعویض)",IF(OR(ISNUMBER(SEARCH("پيچ ولوم",G157)),ISNUMBER(SEARCH("پیچ ولوم",G157))),"تنظیم - پیچ ولوم/دکمه (تعمیر)",IF(OR(ISNUMBER(SEARCH("کسري قطعات",G157)),ISNUMBER(SEARCH("کسری قطعات",G157))),"کسری قطعات تزئینی (تعویض)",IF(ISNUMBER(SEARCH("پرچ",G157)),"پرچ/بدنه کابین(تعمیر)",IF(OR(ISNUMBER(SEARCH("نشت",G157)),ISNUMBER(SEARCH("آبريزش",G157)),ISNUMBER(SEARCH("آبریزش",G157))),"نشتی آب - محل نامشخص (نیازمند بازدید)",IF(ISNUMBER(SEARCH("درب",G157)),"سایر اجزای درب (بازبینی)",IF(ISNUMBER(SEARCH("ضربه",G157)),"بدنه/کابین - ضربه (بازبینی/تعویض پنل)",IF(ISNUMBER(SEARCH("تراز",G157)),"تراز/لرزش - نصب (رگلاژ پایه)",IF(OR(ISNUMBER(SEARCH("تعویض",G157)),ISNUMBER(SEARCH("تعويض",G157))),"تعویض کامل دستگاه (Replacement)","سایر (نیازمند بررسی دستی)")))))))))))))))))))))))))))))))))))))))))))</f>
        <v/>
      </c>
      <c r="P157" s="124" t="inlineStr">
        <is>
          <t>لامپ مینی</t>
        </is>
      </c>
      <c r="Q157" s="124">
        <f>IF(ISNUMBER(SEARCH("عهده شرکت",F157)),"شرکت",IF(ISNUMBER(SEARCH("عهده مشتري",F157)),"مشتری",IF(ISNUMBER(SEARCH("عهده مشتری",F157)),"مشتری","نامشخص")))</f>
        <v/>
      </c>
      <c r="R157" s="178">
        <f>IF(O157="تعویض کامل دستگاه (Replacement)",IF(SUMIF('قیمت‌ها و مفروضات'!$A$9:$A$13,C157,'قیمت‌ها و مفروضات'!$C$9:$C$13)&lt;&gt;0,SUMIF('قیمت‌ها و مفروضات'!$A$9:$A$13,C157,'قیمت‌ها و مفروضات'!$C$9:$C$13),SUMIF('قیمت‌ها و مفروضات'!$A$9:$A$13,C157,'قیمت‌ها و مفروضات'!$B$9:$B$13)),IF(SUMIF('قیمت‌ها و مفروضات'!$A$18:$A$63,O157,'قیمت‌ها و مفروضات'!$C$18:$C$63)&lt;&gt;0,SUMIF('قیمت‌ها و مفروضات'!$A$18:$A$63,O157,'قیمت‌ها و مفروضات'!$C$18:$C$63),SUMIF('قیمت‌ها و مفروضات'!$A$18:$A$63,O157,'قیمت‌ها و مفروضات'!$B$18:$B$63)))</f>
        <v/>
      </c>
      <c r="S157" s="178">
        <f>'قیمت‌ها و مفروضات'!$B$3+'قیمت‌ها و مفروضات'!$B$4</f>
        <v/>
      </c>
      <c r="T157" s="178">
        <f>R157+S157</f>
        <v/>
      </c>
      <c r="U157" s="178">
        <f>IF(COUNTIF($E$2:E157,E157)&gt;1,"بله (تکراری)","خیر")</f>
        <v/>
      </c>
      <c r="V157" s="178">
        <f>IF(U157="بله (تکراری)",S157,0)</f>
        <v/>
      </c>
      <c r="W157" s="208" t="inlineStr"/>
      <c r="X157" s="208" t="inlineStr"/>
    </row>
    <row r="158" ht="58.5" customHeight="1" s="151">
      <c r="A158" s="176" t="n">
        <v>781905</v>
      </c>
      <c r="B158" s="124">
        <f>CHOOSE(_xlfn.NUMBERVALUE(MID(H158,6,2)),"فروردین","اردیبهشت","خرداد","تیر","مرداد","شهریور","مهر","آبان","آذر","دی","بهمن","اسفند")</f>
        <v/>
      </c>
      <c r="C158" s="176" t="inlineStr">
        <is>
          <t>ماشين ظرفشويي</t>
        </is>
      </c>
      <c r="D158" s="176" t="inlineStr">
        <is>
          <t>CDW-H16T</t>
        </is>
      </c>
      <c r="E158" s="176" t="inlineStr">
        <is>
          <t>52220005N02169</t>
        </is>
      </c>
      <c r="F158" s="173" t="inlineStr">
        <is>
          <t>بسته نشدن درب**اياب و ذهاب به عهده شرکت</t>
        </is>
      </c>
      <c r="G158" s="173" t="inlineStr">
        <is>
          <t>تنظيم ديسپلي - پايين بودن ميکروسوئيچ درب</t>
        </is>
      </c>
      <c r="H158" s="176" t="inlineStr">
        <is>
          <t>1405/03/07</t>
        </is>
      </c>
      <c r="I158" s="176" t="inlineStr">
        <is>
          <t>1404/01/20</t>
        </is>
      </c>
      <c r="J158" s="176" t="inlineStr">
        <is>
          <t>1404/06/29</t>
        </is>
      </c>
      <c r="K158" s="177">
        <f>IFERROR(VLOOKUP(LEFT(H158,7),'تبدیل تاریخ'!$A$2:$B$73,2,FALSE())+VALUE(RIGHT(H158,2))-1,"")</f>
        <v/>
      </c>
      <c r="L158" s="177">
        <f>IFERROR(VLOOKUP(LEFT(I158,7),'تبدیل تاریخ'!$A$2:$B$73,2,FALSE())+VALUE(RIGHT(I158,2))-1,"")</f>
        <v/>
      </c>
      <c r="M158" s="177">
        <f>IF(J158="","",IFERROR(VLOOKUP(LEFT(J158,7),'تبدیل تاریخ'!$A$2:$B$73,2,FALSE())+VALUE(RIGHT(J158,2))-1,""))</f>
        <v/>
      </c>
      <c r="N158" s="124">
        <f>IF(OR(K158="",M158=""),"",CEILING((K158-M158)/30,1))</f>
        <v/>
      </c>
      <c r="O158" s="124">
        <f>IF(OR(ISNUMBER(SEARCH("بدون مورد",G158)),ISNUMBER(SEARCH("غير گارانتي",G158)),ISNUMBER(SEARCH("غیر گارانتی",G158)),ISNUMBER(SEARCH("بدون اجرت",G158)),ISNUMBER(SEARCH("فيلتر",G158)),ISNUMBER(SEARCH("فیلتر",G158))),"غیرگارانتی/بدون قطعه",IF(OR(ISNUMBER(SEARCH("ريست",G158)),ISNUMBER(SEARCH("ریست",G158))),"ریست نرم‌افزاری (بدون قطعه)",IF(OR(ISNUMBER(SEARCH("تعویض محصول",G158)),ISNUMBER(SEARCH("تعویض دستگاه",G158))),"تعویض کامل دستگاه (Replacement)",IF(ISNUMBER(SEARCH("پمپ",G158)),IF(ISNUMBER(SEARCH("نشت",G158)),"نشتی - پمپ تخلیه (تعمیر/آب‌بندی)","خرابی - پمپ تخلیه (تعویض)"),IF(ISNUMBER(SEARCH("کمپرسور",G158)),"خرابی - کمپرسور (تعویض)",IF(ISNUMBER(SEARCH("کمک فنر",G158)),"خرابی - کمک فنر (تعویض)",IF(ISNUMBER(SEARCH("لولا",G158)),"مکانیزم درب - لولا (تعویض)",IF(OR(ISNUMBER(SEARCH("قلاب",G158)),ISNUMBER(SEARCH("ميکروسوئيچ",G158)),ISNUMBER(SEARCH("میکروسوئیچ",G158))),"مکانیزم درب - میکروسوئیچ/قلاب (تعویض/تنظیم)",IF(ISNUMBER(SEARCH("زبانه",G158)),"مکانیزم درب - زبانه (تعویض)",IF(OR(ISNUMBER(SEARCH("شيلنگ",G158)),ISNUMBER(SEARCH("شیلنگ",G158))),IF(OR(ISNUMBER(SEARCH("نشتی",G158)),ISNUMBER(SEARCH("نشتي",G158))),"نشتی - شیلنگ (تعمیر/آب‌بندی)",IF(OR(ISNUMBER(SEARCH("يخ",G158)),ISNUMBER(SEARCH("یخ",G158))),"شیلنگ یخساز - یخ‌زدگی (بازبینی)","شیلنگ - برخورد/لهیدگی (بازبینی)")),IF(OR(ISNUMBER(SEARCH("تنظيم ديسپل",G158)),ISNUMBER(SEARCH("تنظیم دیسپل",G158)),ISNUMBER(SEARCH("تنظيم صفحه نمايش",G158)),ISNUMBER(SEARCH("تنظیم صفحه نمایش",G158))),"تنظیم - تنظیمات دستگاه/دیسپلی (تعمیر)",IF(OR(ISNUMBER(SEARCH("برد",G158)),ISNUMBER(SEARCH("سوکت",G158)),ISNUMBER(SEARCH("ديسپل",G158)),ISNUMBER(SEARCH("دیسپل",G158))),"خرابی - برد الکترونیک (تعویض)",IF(OR(ISNUMBER(SEARCH("يخساز",G158)),ISNUMBER(SEARCH("یخساز",G158)),ISNUMBER(SEARCH("دمپر",G158))),IF(OR(ISNUMBER(SEARCH("خرابی",G158)),ISNUMBER(SEARCH("خراب",G158)),ISNUMBER(SEARCH("عدم کارکرد",G158)),ISNUMBER(SEARCH("عدم عملکرد",G158))),"یخساز - خرابی موتور/سنسور/برد (تعویض)","یخساز - تنظیم/عایق (تعمیر)"),IF(OR(ISNUMBER(SEARCH("لاستيک",G158)),ISNUMBER(SEARCH("لاستیک",G158))),"لاستیک درزگیر - دفرمگی/پارگی (تعویض)",IF(OR(ISNUMBER(SEARCH("گسکت",G158)),ISNUMBER(SEARCH("گسگت",G158))),"لاستیک درزگیر - دفرمگی/پارگی (تعویض)",IF(ISNUMBER(SEARCH("مخزن نمک",G158)),"نشتی - درب مخزن نمک (تعمیر/آب‌بندی)",IF(ISNUMBER(SEARCH("براکت",G158)),"نشتی - براکت ریل (تعمیر/آب‌بندی)",IF(ISNUMBER(SEARCH("جاپودر",G158)),"نشتی - جاپودری (تعمیر/آب‌بندی)",IF(ISNUMBER(SEARCH("مقسم",G158)),"نشتی - مقسم آب (تعمیر/آب‌بندی)",IF(OR(ISNUMBER(SEARCH("سنسور دما",G158)),ISNUMBER(SEARCH("ترموستات",G158))),"خرابی - ترموستات (تعویض)",IF(OR(ISNUMBER(SEARCH("هيدروستات",G158)),ISNUMBER(SEARCH("هیدروستات",G158))),"خرابی - هیدروستات (تعویض)",IF(OR(ISNUMBER(SEARCH("بلبرينگ",G158)),ISNUMBER(SEARCH("بلبرینگ",G158))),"خرابی - بلبرینگ (تعویض)",IF(OR(ISNUMBER(SEARCH("شيربرق",G158)),ISNUMBER(SEARCH("شیربرق",G158))),"خرابی - شیربرقی (تعویض)",IF(OR(ISNUMBER(SEARCH("واتر جت",G158)),ISNUMBER(SEARCH("واترجت",G158))),"خرابی - واترجت (تعویض)",IF(OR(ISNUMBER(SEARCH("سيم",G158)),ISNUMBER(SEARCH("سیم",G158)),ISNUMBER(SEARCH("اتصال",G158))),"سیم‌کشی/اتصالات (تعویض/بازبینی)",IF(OR(ISNUMBER(SEARCH("تصوير",G158)),ISNUMBER(SEARCH("تصویر",G158))),"برد نمایش تلویزیون (تعویض)",IF(OR(ISNUMBER(SEARCH("ريموت",G158)),ISNUMBER(SEARCH("ریموت",G158))),"ریموت کنترل (تعویض/تعمیر)",IF(OR(ISNUMBER(SEARCH("ال اي دي",G158)),ISNUMBER(SEARCH("ال ای دی",G158)),ISNUMBER(SEARCH("LED",G158))),"خرابی - لامپ/LED داخلی (تعویض)",IF(ISNUMBER(SEARCH("زنگ زدگ",G158)),"زنگ‌زدگی بدنه/قطعه (تعویض)",IF(OR(ISNUMBER(SEARCH("قطعات تزئين",G158)),ISNUMBER(SEARCH("قطعات تزئین",G158))),"قطعات تزئینی - شکستگی/کسری (تعویض)",IF(ISNUMBER(SEARCH("سبد",G158)),"سبد ظرفشویی - شکستگی (تعویض)",IF(ISNUMBER(SEARCH("تاب درام",G158)),"خرابی - تاب برداشتن درام (تعویض)",IF(ISNUMBER(SEARCH("درام",G158)),"خرابی - سایر ایراد درام (تعویض)",IF(ISNUMBER(SEARCH("موتور",G158)),"خرابی - موتور (تعویض)",IF(ISNUMBER(SEARCH("تسمه",G158)),"خرابی - تسمه (تعویض)",IF(OR(ISNUMBER(SEARCH("پيچ ولوم",G158)),ISNUMBER(SEARCH("پیچ ولوم",G158))),"تنظیم - پیچ ولوم/دکمه (تعمیر)",IF(OR(ISNUMBER(SEARCH("کسري قطعات",G158)),ISNUMBER(SEARCH("کسری قطعات",G158))),"کسری قطعات تزئینی (تعویض)",IF(ISNUMBER(SEARCH("پرچ",G158)),"پرچ/بدنه کابین(تعمیر)",IF(OR(ISNUMBER(SEARCH("نشت",G158)),ISNUMBER(SEARCH("آبريزش",G158)),ISNUMBER(SEARCH("آبریزش",G158))),"نشتی آب - محل نامشخص (نیازمند بازدید)",IF(ISNUMBER(SEARCH("درب",G158)),"سایر اجزای درب (بازبینی)",IF(ISNUMBER(SEARCH("ضربه",G158)),"بدنه/کابین - ضربه (بازبینی/تعویض پنل)",IF(ISNUMBER(SEARCH("تراز",G158)),"تراز/لرزش - نصب (رگلاژ پایه)",IF(OR(ISNUMBER(SEARCH("تعویض",G158)),ISNUMBER(SEARCH("تعويض",G158))),"تعویض کامل دستگاه (Replacement)","سایر (نیازمند بررسی دستی)")))))))))))))))))))))))))))))))))))))))))))</f>
        <v/>
      </c>
      <c r="P158" s="124" t="inlineStr">
        <is>
          <t>میکروسوئیچ 16 نفره</t>
        </is>
      </c>
      <c r="Q158" s="124">
        <f>IF(ISNUMBER(SEARCH("عهده شرکت",F158)),"شرکت",IF(ISNUMBER(SEARCH("عهده مشتري",F158)),"مشتری",IF(ISNUMBER(SEARCH("عهده مشتری",F158)),"مشتری","نامشخص")))</f>
        <v/>
      </c>
      <c r="R158" s="178">
        <f>IF(O158="تعویض کامل دستگاه (Replacement)",IF(SUMIF('قیمت‌ها و مفروضات'!$A$9:$A$13,C158,'قیمت‌ها و مفروضات'!$C$9:$C$13)&lt;&gt;0,SUMIF('قیمت‌ها و مفروضات'!$A$9:$A$13,C158,'قیمت‌ها و مفروضات'!$C$9:$C$13),SUMIF('قیمت‌ها و مفروضات'!$A$9:$A$13,C158,'قیمت‌ها و مفروضات'!$B$9:$B$13)),IF(SUMIF('قیمت‌ها و مفروضات'!$A$18:$A$63,O158,'قیمت‌ها و مفروضات'!$C$18:$C$63)&lt;&gt;0,SUMIF('قیمت‌ها و مفروضات'!$A$18:$A$63,O158,'قیمت‌ها و مفروضات'!$C$18:$C$63),SUMIF('قیمت‌ها و مفروضات'!$A$18:$A$63,O158,'قیمت‌ها و مفروضات'!$B$18:$B$63)))</f>
        <v/>
      </c>
      <c r="S158" s="178">
        <f>'قیمت‌ها و مفروضات'!$B$3+'قیمت‌ها و مفروضات'!$B$4</f>
        <v/>
      </c>
      <c r="T158" s="178">
        <f>R158+S158</f>
        <v/>
      </c>
      <c r="U158" s="178">
        <f>IF(COUNTIF($E$2:E158,E158)&gt;1,"بله (تکراری)","خیر")</f>
        <v/>
      </c>
      <c r="V158" s="178">
        <f>IF(U158="بله (تکراری)",S158,0)</f>
        <v/>
      </c>
      <c r="W158" s="208" t="inlineStr"/>
      <c r="X158" s="208" t="inlineStr"/>
    </row>
    <row r="159" ht="58.5" customHeight="1" s="151">
      <c r="A159" s="176" t="n">
        <v>780467</v>
      </c>
      <c r="B159" s="124">
        <f>CHOOSE(_xlfn.NUMBERVALUE(MID(H159,6,2)),"فروردین","اردیبهشت","خرداد","تیر","مرداد","شهریور","مهر","آبان","آذر","دی","بهمن","اسفند")</f>
        <v/>
      </c>
      <c r="C159" s="176" t="inlineStr">
        <is>
          <t>ماشين لباسشويي</t>
        </is>
      </c>
      <c r="D159" s="176" t="inlineStr">
        <is>
          <t>CWM-BMW8T2</t>
        </is>
      </c>
      <c r="E159" s="176" t="inlineStr">
        <is>
          <t>52210010N02062</t>
        </is>
      </c>
      <c r="F159" s="173" t="inlineStr">
        <is>
          <t>اياب و ذهاب به عهده شرکت از کار افتادن محصول</t>
        </is>
      </c>
      <c r="G159" s="173" t="inlineStr">
        <is>
          <t>خرابي موتور</t>
        </is>
      </c>
      <c r="H159" s="176" t="inlineStr">
        <is>
          <t>1405/03/03</t>
        </is>
      </c>
      <c r="I159" s="176" t="inlineStr">
        <is>
          <t>1404/09/05</t>
        </is>
      </c>
      <c r="J159" s="176" t="inlineStr">
        <is>
          <t>1404/09/18</t>
        </is>
      </c>
      <c r="K159" s="177">
        <f>IFERROR(VLOOKUP(LEFT(H159,7),'تبدیل تاریخ'!$A$2:$B$73,2,FALSE())+VALUE(RIGHT(H159,2))-1,"")</f>
        <v/>
      </c>
      <c r="L159" s="177">
        <f>IFERROR(VLOOKUP(LEFT(I159,7),'تبدیل تاریخ'!$A$2:$B$73,2,FALSE())+VALUE(RIGHT(I159,2))-1,"")</f>
        <v/>
      </c>
      <c r="M159" s="177">
        <f>IF(J159="","",IFERROR(VLOOKUP(LEFT(J159,7),'تبدیل تاریخ'!$A$2:$B$73,2,FALSE())+VALUE(RIGHT(J159,2))-1,""))</f>
        <v/>
      </c>
      <c r="N159" s="124">
        <f>IF(OR(K159="",M159=""),"",CEILING((K159-M159)/30,1))</f>
        <v/>
      </c>
      <c r="O159" s="124">
        <f>IF(OR(ISNUMBER(SEARCH("بدون مورد",G159)),ISNUMBER(SEARCH("غير گارانتي",G159)),ISNUMBER(SEARCH("غیر گارانتی",G159)),ISNUMBER(SEARCH("بدون اجرت",G159)),ISNUMBER(SEARCH("فيلتر",G159)),ISNUMBER(SEARCH("فیلتر",G159))),"غیرگارانتی/بدون قطعه",IF(OR(ISNUMBER(SEARCH("ريست",G159)),ISNUMBER(SEARCH("ریست",G159))),"ریست نرم‌افزاری (بدون قطعه)",IF(OR(ISNUMBER(SEARCH("تعویض محصول",G159)),ISNUMBER(SEARCH("تعویض دستگاه",G159))),"تعویض کامل دستگاه (Replacement)",IF(ISNUMBER(SEARCH("پمپ",G159)),IF(ISNUMBER(SEARCH("نشت",G159)),"نشتی - پمپ تخلیه (تعمیر/آب‌بندی)","خرابی - پمپ تخلیه (تعویض)"),IF(ISNUMBER(SEARCH("کمپرسور",G159)),"خرابی - کمپرسور (تعویض)",IF(ISNUMBER(SEARCH("کمک فنر",G159)),"خرابی - کمک فنر (تعویض)",IF(ISNUMBER(SEARCH("لولا",G159)),"مکانیزم درب - لولا (تعویض)",IF(OR(ISNUMBER(SEARCH("قلاب",G159)),ISNUMBER(SEARCH("ميکروسوئيچ",G159)),ISNUMBER(SEARCH("میکروسوئیچ",G159))),"مکانیزم درب - میکروسوئیچ/قلاب (تعویض/تنظیم)",IF(ISNUMBER(SEARCH("زبانه",G159)),"مکانیزم درب - زبانه (تعویض)",IF(OR(ISNUMBER(SEARCH("شيلنگ",G159)),ISNUMBER(SEARCH("شیلنگ",G159))),IF(OR(ISNUMBER(SEARCH("نشتی",G159)),ISNUMBER(SEARCH("نشتي",G159))),"نشتی - شیلنگ (تعمیر/آب‌بندی)",IF(OR(ISNUMBER(SEARCH("يخ",G159)),ISNUMBER(SEARCH("یخ",G159))),"شیلنگ یخساز - یخ‌زدگی (بازبینی)","شیلنگ - برخورد/لهیدگی (بازبینی)")),IF(OR(ISNUMBER(SEARCH("تنظيم ديسپل",G159)),ISNUMBER(SEARCH("تنظیم دیسپل",G159)),ISNUMBER(SEARCH("تنظيم صفحه نمايش",G159)),ISNUMBER(SEARCH("تنظیم صفحه نمایش",G159))),"تنظیم - تنظیمات دستگاه/دیسپلی (تعمیر)",IF(OR(ISNUMBER(SEARCH("برد",G159)),ISNUMBER(SEARCH("سوکت",G159)),ISNUMBER(SEARCH("ديسپل",G159)),ISNUMBER(SEARCH("دیسپل",G159))),"خرابی - برد الکترونیک (تعویض)",IF(OR(ISNUMBER(SEARCH("يخساز",G159)),ISNUMBER(SEARCH("یخساز",G159)),ISNUMBER(SEARCH("دمپر",G159))),IF(OR(ISNUMBER(SEARCH("خرابی",G159)),ISNUMBER(SEARCH("خراب",G159)),ISNUMBER(SEARCH("عدم کارکرد",G159)),ISNUMBER(SEARCH("عدم عملکرد",G159))),"یخساز - خرابی موتور/سنسور/برد (تعویض)","یخساز - تنظیم/عایق (تعمیر)"),IF(OR(ISNUMBER(SEARCH("لاستيک",G159)),ISNUMBER(SEARCH("لاستیک",G159))),"لاستیک درزگیر - دفرمگی/پارگی (تعویض)",IF(OR(ISNUMBER(SEARCH("گسکت",G159)),ISNUMBER(SEARCH("گسگت",G159))),"لاستیک درزگیر - دفرمگی/پارگی (تعویض)",IF(ISNUMBER(SEARCH("مخزن نمک",G159)),"نشتی - درب مخزن نمک (تعمیر/آب‌بندی)",IF(ISNUMBER(SEARCH("براکت",G159)),"نشتی - براکت ریل (تعمیر/آب‌بندی)",IF(ISNUMBER(SEARCH("جاپودر",G159)),"نشتی - جاپودری (تعمیر/آب‌بندی)",IF(ISNUMBER(SEARCH("مقسم",G159)),"نشتی - مقسم آب (تعمیر/آب‌بندی)",IF(OR(ISNUMBER(SEARCH("سنسور دما",G159)),ISNUMBER(SEARCH("ترموستات",G159))),"خرابی - ترموستات (تعویض)",IF(OR(ISNUMBER(SEARCH("هيدروستات",G159)),ISNUMBER(SEARCH("هیدروستات",G159))),"خرابی - هیدروستات (تعویض)",IF(OR(ISNUMBER(SEARCH("بلبرينگ",G159)),ISNUMBER(SEARCH("بلبرینگ",G159))),"خرابی - بلبرینگ (تعویض)",IF(OR(ISNUMBER(SEARCH("شيربرق",G159)),ISNUMBER(SEARCH("شیربرق",G159))),"خرابی - شیربرقی (تعویض)",IF(OR(ISNUMBER(SEARCH("واتر جت",G159)),ISNUMBER(SEARCH("واترجت",G159))),"خرابی - واترجت (تعویض)",IF(OR(ISNUMBER(SEARCH("سيم",G159)),ISNUMBER(SEARCH("سیم",G159)),ISNUMBER(SEARCH("اتصال",G159))),"سیم‌کشی/اتصالات (تعویض/بازبینی)",IF(OR(ISNUMBER(SEARCH("تصوير",G159)),ISNUMBER(SEARCH("تصویر",G159))),"برد نمایش تلویزیون (تعویض)",IF(OR(ISNUMBER(SEARCH("ريموت",G159)),ISNUMBER(SEARCH("ریموت",G159))),"ریموت کنترل (تعویض/تعمیر)",IF(OR(ISNUMBER(SEARCH("ال اي دي",G159)),ISNUMBER(SEARCH("ال ای دی",G159)),ISNUMBER(SEARCH("LED",G159))),"خرابی - لامپ/LED داخلی (تعویض)",IF(ISNUMBER(SEARCH("زنگ زدگ",G159)),"زنگ‌زدگی بدنه/قطعه (تعویض)",IF(OR(ISNUMBER(SEARCH("قطعات تزئين",G159)),ISNUMBER(SEARCH("قطعات تزئین",G159))),"قطعات تزئینی - شکستگی/کسری (تعویض)",IF(ISNUMBER(SEARCH("سبد",G159)),"سبد ظرفشویی - شکستگی (تعویض)",IF(ISNUMBER(SEARCH("تاب درام",G159)),"خرابی - تاب برداشتن درام (تعویض)",IF(ISNUMBER(SEARCH("درام",G159)),"خرابی - سایر ایراد درام (تعویض)",IF(ISNUMBER(SEARCH("موتور",G159)),"خرابی - موتور (تعویض)",IF(ISNUMBER(SEARCH("تسمه",G159)),"خرابی - تسمه (تعویض)",IF(OR(ISNUMBER(SEARCH("پيچ ولوم",G159)),ISNUMBER(SEARCH("پیچ ولوم",G159))),"تنظیم - پیچ ولوم/دکمه (تعمیر)",IF(OR(ISNUMBER(SEARCH("کسري قطعات",G159)),ISNUMBER(SEARCH("کسری قطعات",G159))),"کسری قطعات تزئینی (تعویض)",IF(ISNUMBER(SEARCH("پرچ",G159)),"پرچ/بدنه کابین(تعمیر)",IF(OR(ISNUMBER(SEARCH("نشت",G159)),ISNUMBER(SEARCH("آبريزش",G159)),ISNUMBER(SEARCH("آبریزش",G159))),"نشتی آب - محل نامشخص (نیازمند بازدید)",IF(ISNUMBER(SEARCH("درب",G159)),"سایر اجزای درب (بازبینی)",IF(ISNUMBER(SEARCH("ضربه",G159)),"بدنه/کابین - ضربه (بازبینی/تعویض پنل)",IF(ISNUMBER(SEARCH("تراز",G159)),"تراز/لرزش - نصب (رگلاژ پایه)",IF(OR(ISNUMBER(SEARCH("تعویض",G159)),ISNUMBER(SEARCH("تعويض",G159))),"تعویض کامل دستگاه (Replacement)","سایر (نیازمند بررسی دستی)")))))))))))))))))))))))))))))))))))))))))))</f>
        <v/>
      </c>
      <c r="P159" s="124" t="inlineStr">
        <is>
          <t>موتور لباسشویی</t>
        </is>
      </c>
      <c r="Q159" s="124">
        <f>IF(ISNUMBER(SEARCH("عهده شرکت",F159)),"شرکت",IF(ISNUMBER(SEARCH("عهده مشتري",F159)),"مشتری",IF(ISNUMBER(SEARCH("عهده مشتری",F159)),"مشتری","نامشخص")))</f>
        <v/>
      </c>
      <c r="R159" s="178">
        <f>IF(O159="تعویض کامل دستگاه (Replacement)",IF(SUMIF('قیمت‌ها و مفروضات'!$A$9:$A$13,C159,'قیمت‌ها و مفروضات'!$C$9:$C$13)&lt;&gt;0,SUMIF('قیمت‌ها و مفروضات'!$A$9:$A$13,C159,'قیمت‌ها و مفروضات'!$C$9:$C$13),SUMIF('قیمت‌ها و مفروضات'!$A$9:$A$13,C159,'قیمت‌ها و مفروضات'!$B$9:$B$13)),IF(SUMIF('قیمت‌ها و مفروضات'!$A$18:$A$63,O159,'قیمت‌ها و مفروضات'!$C$18:$C$63)&lt;&gt;0,SUMIF('قیمت‌ها و مفروضات'!$A$18:$A$63,O159,'قیمت‌ها و مفروضات'!$C$18:$C$63),SUMIF('قیمت‌ها و مفروضات'!$A$18:$A$63,O159,'قیمت‌ها و مفروضات'!$B$18:$B$63)))</f>
        <v/>
      </c>
      <c r="S159" s="178">
        <f>'قیمت‌ها و مفروضات'!$B$3+'قیمت‌ها و مفروضات'!$B$4</f>
        <v/>
      </c>
      <c r="T159" s="178">
        <f>R159+S159</f>
        <v/>
      </c>
      <c r="U159" s="178">
        <f>IF(COUNTIF($E$2:E159,E159)&gt;1,"بله (تکراری)","خیر")</f>
        <v/>
      </c>
      <c r="V159" s="178">
        <f>IF(U159="بله (تکراری)",S159,0)</f>
        <v/>
      </c>
      <c r="W159" s="208" t="inlineStr"/>
      <c r="X159" s="208" t="inlineStr"/>
    </row>
    <row r="160" ht="58.5" customHeight="1" s="151">
      <c r="A160" s="176" t="n">
        <v>210009186</v>
      </c>
      <c r="B160" s="124">
        <f>CHOOSE(_xlfn.NUMBERVALUE(MID(H160,6,2)),"فروردین","اردیبهشت","خرداد","تیر","مرداد","شهریور","مهر","آبان","آذر","دی","بهمن","اسفند")</f>
        <v/>
      </c>
      <c r="C160" s="176" t="inlineStr">
        <is>
          <t>ماشين ظرفشويي</t>
        </is>
      </c>
      <c r="D160" s="176" t="inlineStr">
        <is>
          <t>CDW-H16T</t>
        </is>
      </c>
      <c r="E160" s="176" t="inlineStr">
        <is>
          <t>52220004N01300</t>
        </is>
      </c>
      <c r="F160" s="173" t="inlineStr">
        <is>
          <t>از کار افتادن محصول**اياب و ذهاب به عهده مشتري</t>
        </is>
      </c>
      <c r="G160" s="173" t="inlineStr">
        <is>
          <t>خرابي برد - از کار افتادن</t>
        </is>
      </c>
      <c r="H160" s="176" t="inlineStr">
        <is>
          <t>1405/03/07</t>
        </is>
      </c>
      <c r="I160" s="176" t="inlineStr">
        <is>
          <t>1403/10/02</t>
        </is>
      </c>
      <c r="J160" s="176" t="inlineStr">
        <is>
          <t>1404/01/05</t>
        </is>
      </c>
      <c r="K160" s="177">
        <f>IFERROR(VLOOKUP(LEFT(H160,7),'تبدیل تاریخ'!$A$2:$B$73,2,FALSE())+VALUE(RIGHT(H160,2))-1,"")</f>
        <v/>
      </c>
      <c r="L160" s="177">
        <f>IFERROR(VLOOKUP(LEFT(I160,7),'تبدیل تاریخ'!$A$2:$B$73,2,FALSE())+VALUE(RIGHT(I160,2))-1,"")</f>
        <v/>
      </c>
      <c r="M160" s="177">
        <f>IF(J160="","",IFERROR(VLOOKUP(LEFT(J160,7),'تبدیل تاریخ'!$A$2:$B$73,2,FALSE())+VALUE(RIGHT(J160,2))-1,""))</f>
        <v/>
      </c>
      <c r="N160" s="124">
        <f>IF(OR(K160="",M160=""),"",CEILING((K160-M160)/30,1))</f>
        <v/>
      </c>
      <c r="O160" s="124">
        <f>IF(OR(ISNUMBER(SEARCH("بدون مورد",G160)),ISNUMBER(SEARCH("غير گارانتي",G160)),ISNUMBER(SEARCH("غیر گارانتی",G160)),ISNUMBER(SEARCH("بدون اجرت",G160)),ISNUMBER(SEARCH("فيلتر",G160)),ISNUMBER(SEARCH("فیلتر",G160))),"غیرگارانتی/بدون قطعه",IF(OR(ISNUMBER(SEARCH("ريست",G160)),ISNUMBER(SEARCH("ریست",G160))),"ریست نرم‌افزاری (بدون قطعه)",IF(OR(ISNUMBER(SEARCH("تعویض محصول",G160)),ISNUMBER(SEARCH("تعویض دستگاه",G160))),"تعویض کامل دستگاه (Replacement)",IF(ISNUMBER(SEARCH("پمپ",G160)),IF(ISNUMBER(SEARCH("نشت",G160)),"نشتی - پمپ تخلیه (تعمیر/آب‌بندی)","خرابی - پمپ تخلیه (تعویض)"),IF(ISNUMBER(SEARCH("کمپرسور",G160)),"خرابی - کمپرسور (تعویض)",IF(ISNUMBER(SEARCH("کمک فنر",G160)),"خرابی - کمک فنر (تعویض)",IF(ISNUMBER(SEARCH("لولا",G160)),"مکانیزم درب - لولا (تعویض)",IF(OR(ISNUMBER(SEARCH("قلاب",G160)),ISNUMBER(SEARCH("ميکروسوئيچ",G160)),ISNUMBER(SEARCH("میکروسوئیچ",G160))),"مکانیزم درب - میکروسوئیچ/قلاب (تعویض/تنظیم)",IF(ISNUMBER(SEARCH("زبانه",G160)),"مکانیزم درب - زبانه (تعویض)",IF(OR(ISNUMBER(SEARCH("شيلنگ",G160)),ISNUMBER(SEARCH("شیلنگ",G160))),IF(OR(ISNUMBER(SEARCH("نشتی",G160)),ISNUMBER(SEARCH("نشتي",G160))),"نشتی - شیلنگ (تعمیر/آب‌بندی)",IF(OR(ISNUMBER(SEARCH("يخ",G160)),ISNUMBER(SEARCH("یخ",G160))),"شیلنگ یخساز - یخ‌زدگی (بازبینی)","شیلنگ - برخورد/لهیدگی (بازبینی)")),IF(OR(ISNUMBER(SEARCH("تنظيم ديسپل",G160)),ISNUMBER(SEARCH("تنظیم دیسپل",G160)),ISNUMBER(SEARCH("تنظيم صفحه نمايش",G160)),ISNUMBER(SEARCH("تنظیم صفحه نمایش",G160))),"تنظیم - تنظیمات دستگاه/دیسپلی (تعمیر)",IF(OR(ISNUMBER(SEARCH("برد",G160)),ISNUMBER(SEARCH("سوکت",G160)),ISNUMBER(SEARCH("ديسپل",G160)),ISNUMBER(SEARCH("دیسپل",G160))),"خرابی - برد الکترونیک (تعویض)",IF(OR(ISNUMBER(SEARCH("يخساز",G160)),ISNUMBER(SEARCH("یخساز",G160)),ISNUMBER(SEARCH("دمپر",G160))),IF(OR(ISNUMBER(SEARCH("خرابی",G160)),ISNUMBER(SEARCH("خراب",G160)),ISNUMBER(SEARCH("عدم کارکرد",G160)),ISNUMBER(SEARCH("عدم عملکرد",G160))),"یخساز - خرابی موتور/سنسور/برد (تعویض)","یخساز - تنظیم/عایق (تعمیر)"),IF(OR(ISNUMBER(SEARCH("لاستيک",G160)),ISNUMBER(SEARCH("لاستیک",G160))),"لاستیک درزگیر - دفرمگی/پارگی (تعویض)",IF(OR(ISNUMBER(SEARCH("گسکت",G160)),ISNUMBER(SEARCH("گسگت",G160))),"لاستیک درزگیر - دفرمگی/پارگی (تعویض)",IF(ISNUMBER(SEARCH("مخزن نمک",G160)),"نشتی - درب مخزن نمک (تعمیر/آب‌بندی)",IF(ISNUMBER(SEARCH("براکت",G160)),"نشتی - براکت ریل (تعمیر/آب‌بندی)",IF(ISNUMBER(SEARCH("جاپودر",G160)),"نشتی - جاپودری (تعمیر/آب‌بندی)",IF(ISNUMBER(SEARCH("مقسم",G160)),"نشتی - مقسم آب (تعمیر/آب‌بندی)",IF(OR(ISNUMBER(SEARCH("سنسور دما",G160)),ISNUMBER(SEARCH("ترموستات",G160))),"خرابی - ترموستات (تعویض)",IF(OR(ISNUMBER(SEARCH("هيدروستات",G160)),ISNUMBER(SEARCH("هیدروستات",G160))),"خرابی - هیدروستات (تعویض)",IF(OR(ISNUMBER(SEARCH("بلبرينگ",G160)),ISNUMBER(SEARCH("بلبرینگ",G160))),"خرابی - بلبرینگ (تعویض)",IF(OR(ISNUMBER(SEARCH("شيربرق",G160)),ISNUMBER(SEARCH("شیربرق",G160))),"خرابی - شیربرقی (تعویض)",IF(OR(ISNUMBER(SEARCH("واتر جت",G160)),ISNUMBER(SEARCH("واترجت",G160))),"خرابی - واترجت (تعویض)",IF(OR(ISNUMBER(SEARCH("سيم",G160)),ISNUMBER(SEARCH("سیم",G160)),ISNUMBER(SEARCH("اتصال",G160))),"سیم‌کشی/اتصالات (تعویض/بازبینی)",IF(OR(ISNUMBER(SEARCH("تصوير",G160)),ISNUMBER(SEARCH("تصویر",G160))),"برد نمایش تلویزیون (تعویض)",IF(OR(ISNUMBER(SEARCH("ريموت",G160)),ISNUMBER(SEARCH("ریموت",G160))),"ریموت کنترل (تعویض/تعمیر)",IF(OR(ISNUMBER(SEARCH("ال اي دي",G160)),ISNUMBER(SEARCH("ال ای دی",G160)),ISNUMBER(SEARCH("LED",G160))),"خرابی - لامپ/LED داخلی (تعویض)",IF(ISNUMBER(SEARCH("زنگ زدگ",G160)),"زنگ‌زدگی بدنه/قطعه (تعویض)",IF(OR(ISNUMBER(SEARCH("قطعات تزئين",G160)),ISNUMBER(SEARCH("قطعات تزئین",G160))),"قطعات تزئینی - شکستگی/کسری (تعویض)",IF(ISNUMBER(SEARCH("سبد",G160)),"سبد ظرفشویی - شکستگی (تعویض)",IF(ISNUMBER(SEARCH("تاب درام",G160)),"خرابی - تاب برداشتن درام (تعویض)",IF(ISNUMBER(SEARCH("درام",G160)),"خرابی - سایر ایراد درام (تعویض)",IF(ISNUMBER(SEARCH("موتور",G160)),"خرابی - موتور (تعویض)",IF(ISNUMBER(SEARCH("تسمه",G160)),"خرابی - تسمه (تعویض)",IF(OR(ISNUMBER(SEARCH("پيچ ولوم",G160)),ISNUMBER(SEARCH("پیچ ولوم",G160))),"تنظیم - پیچ ولوم/دکمه (تعمیر)",IF(OR(ISNUMBER(SEARCH("کسري قطعات",G160)),ISNUMBER(SEARCH("کسری قطعات",G160))),"کسری قطعات تزئینی (تعویض)",IF(ISNUMBER(SEARCH("پرچ",G160)),"پرچ/بدنه کابین(تعمیر)",IF(OR(ISNUMBER(SEARCH("نشت",G160)),ISNUMBER(SEARCH("آبريزش",G160)),ISNUMBER(SEARCH("آبریزش",G160))),"نشتی آب - محل نامشخص (نیازمند بازدید)",IF(ISNUMBER(SEARCH("درب",G160)),"سایر اجزای درب (بازبینی)",IF(ISNUMBER(SEARCH("ضربه",G160)),"بدنه/کابین - ضربه (بازبینی/تعویض پنل)",IF(ISNUMBER(SEARCH("تراز",G160)),"تراز/لرزش - نصب (رگلاژ پایه)",IF(OR(ISNUMBER(SEARCH("تعویض",G160)),ISNUMBER(SEARCH("تعويض",G160))),"تعویض کامل دستگاه (Replacement)","سایر (نیازمند بررسی دستی)")))))))))))))))))))))))))))))))))))))))))))</f>
        <v/>
      </c>
      <c r="P160" s="124" t="inlineStr">
        <is>
          <t>برد ظرفشویی</t>
        </is>
      </c>
      <c r="Q160" s="124">
        <f>IF(ISNUMBER(SEARCH("عهده شرکت",F160)),"شرکت",IF(ISNUMBER(SEARCH("عهده مشتري",F160)),"مشتری",IF(ISNUMBER(SEARCH("عهده مشتری",F160)),"مشتری","نامشخص")))</f>
        <v/>
      </c>
      <c r="R160" s="178">
        <f>IF(O160="تعویض کامل دستگاه (Replacement)",IF(SUMIF('قیمت‌ها و مفروضات'!$A$9:$A$13,C160,'قیمت‌ها و مفروضات'!$C$9:$C$13)&lt;&gt;0,SUMIF('قیمت‌ها و مفروضات'!$A$9:$A$13,C160,'قیمت‌ها و مفروضات'!$C$9:$C$13),SUMIF('قیمت‌ها و مفروضات'!$A$9:$A$13,C160,'قیمت‌ها و مفروضات'!$B$9:$B$13)),IF(SUMIF('قیمت‌ها و مفروضات'!$A$18:$A$63,O160,'قیمت‌ها و مفروضات'!$C$18:$C$63)&lt;&gt;0,SUMIF('قیمت‌ها و مفروضات'!$A$18:$A$63,O160,'قیمت‌ها و مفروضات'!$C$18:$C$63),SUMIF('قیمت‌ها و مفروضات'!$A$18:$A$63,O160,'قیمت‌ها و مفروضات'!$B$18:$B$63)))</f>
        <v/>
      </c>
      <c r="S160" s="178">
        <f>'قیمت‌ها و مفروضات'!$B$3+'قیمت‌ها و مفروضات'!$B$4</f>
        <v/>
      </c>
      <c r="T160" s="178">
        <f>R160+S160</f>
        <v/>
      </c>
      <c r="U160" s="178">
        <f>IF(COUNTIF($E$2:E160,E160)&gt;1,"بله (تکراری)","خیر")</f>
        <v/>
      </c>
      <c r="V160" s="178">
        <f>IF(U160="بله (تکراری)",S160,0)</f>
        <v/>
      </c>
      <c r="W160" s="208" t="inlineStr"/>
      <c r="X160" s="208" t="inlineStr"/>
    </row>
    <row r="161" ht="58.5" customHeight="1" s="151">
      <c r="A161" s="176" t="n">
        <v>210007557</v>
      </c>
      <c r="B161" s="124">
        <f>CHOOSE(_xlfn.NUMBERVALUE(MID(H161,6,2)),"فروردین","اردیبهشت","خرداد","تیر","مرداد","شهریور","مهر","آبان","آذر","دی","بهمن","اسفند")</f>
        <v/>
      </c>
      <c r="C161" s="176" t="inlineStr">
        <is>
          <t>یخچال ساید‌بای‌ساید</t>
        </is>
      </c>
      <c r="D161" s="176" t="inlineStr">
        <is>
          <t>C2S-29HS1</t>
        </is>
      </c>
      <c r="E161" s="176" t="inlineStr">
        <is>
          <t>210120001N00221</t>
        </is>
      </c>
      <c r="F161" s="173" t="inlineStr">
        <is>
          <t>عدم کارکرد يخساز**اياب و ذهاب به عهده شرکت</t>
        </is>
      </c>
      <c r="G161" s="173" t="inlineStr">
        <is>
          <t>عدم قرار گيري قالب يخساز در جايگاه - سايد باي سايد</t>
        </is>
      </c>
      <c r="H161" s="176" t="inlineStr">
        <is>
          <t>1405/03/09</t>
        </is>
      </c>
      <c r="I161" s="176" t="inlineStr">
        <is>
          <t>1403/03/17</t>
        </is>
      </c>
      <c r="J161" s="176" t="inlineStr">
        <is>
          <t>1404/12/18</t>
        </is>
      </c>
      <c r="K161" s="177">
        <f>IFERROR(VLOOKUP(LEFT(H161,7),'تبدیل تاریخ'!$A$2:$B$73,2,FALSE())+VALUE(RIGHT(H161,2))-1,"")</f>
        <v/>
      </c>
      <c r="L161" s="177">
        <f>IFERROR(VLOOKUP(LEFT(I161,7),'تبدیل تاریخ'!$A$2:$B$73,2,FALSE())+VALUE(RIGHT(I161,2))-1,"")</f>
        <v/>
      </c>
      <c r="M161" s="177">
        <f>IF(J161="","",IFERROR(VLOOKUP(LEFT(J161,7),'تبدیل تاریخ'!$A$2:$B$73,2,FALSE())+VALUE(RIGHT(J161,2))-1,""))</f>
        <v/>
      </c>
      <c r="N161" s="124">
        <f>IF(OR(K161="",M161=""),"",CEILING((K161-M161)/30,1))</f>
        <v/>
      </c>
      <c r="O161" s="124">
        <f>IF(OR(ISNUMBER(SEARCH("بدون مورد",G161)),ISNUMBER(SEARCH("غير گارانتي",G161)),ISNUMBER(SEARCH("غیر گارانتی",G161)),ISNUMBER(SEARCH("بدون اجرت",G161)),ISNUMBER(SEARCH("فيلتر",G161)),ISNUMBER(SEARCH("فیلتر",G161))),"غیرگارانتی/بدون قطعه",IF(OR(ISNUMBER(SEARCH("ريست",G161)),ISNUMBER(SEARCH("ریست",G161))),"ریست نرم‌افزاری (بدون قطعه)",IF(OR(ISNUMBER(SEARCH("تعویض محصول",G161)),ISNUMBER(SEARCH("تعویض دستگاه",G161))),"تعویض کامل دستگاه (Replacement)",IF(ISNUMBER(SEARCH("پمپ",G161)),IF(ISNUMBER(SEARCH("نشت",G161)),"نشتی - پمپ تخلیه (تعمیر/آب‌بندی)","خرابی - پمپ تخلیه (تعویض)"),IF(ISNUMBER(SEARCH("کمپرسور",G161)),"خرابی - کمپرسور (تعویض)",IF(ISNUMBER(SEARCH("کمک فنر",G161)),"خرابی - کمک فنر (تعویض)",IF(ISNUMBER(SEARCH("لولا",G161)),"مکانیزم درب - لولا (تعویض)",IF(OR(ISNUMBER(SEARCH("قلاب",G161)),ISNUMBER(SEARCH("ميکروسوئيچ",G161)),ISNUMBER(SEARCH("میکروسوئیچ",G161))),"مکانیزم درب - میکروسوئیچ/قلاب (تعویض/تنظیم)",IF(ISNUMBER(SEARCH("زبانه",G161)),"مکانیزم درب - زبانه (تعویض)",IF(OR(ISNUMBER(SEARCH("شيلنگ",G161)),ISNUMBER(SEARCH("شیلنگ",G161))),IF(OR(ISNUMBER(SEARCH("نشتی",G161)),ISNUMBER(SEARCH("نشتي",G161))),"نشتی - شیلنگ (تعمیر/آب‌بندی)",IF(OR(ISNUMBER(SEARCH("يخ",G161)),ISNUMBER(SEARCH("یخ",G161))),"شیلنگ یخساز - یخ‌زدگی (بازبینی)","شیلنگ - برخورد/لهیدگی (بازبینی)")),IF(OR(ISNUMBER(SEARCH("تنظيم ديسپل",G161)),ISNUMBER(SEARCH("تنظیم دیسپل",G161)),ISNUMBER(SEARCH("تنظيم صفحه نمايش",G161)),ISNUMBER(SEARCH("تنظیم صفحه نمایش",G161))),"تنظیم - تنظیمات دستگاه/دیسپلی (تعمیر)",IF(OR(ISNUMBER(SEARCH("برد",G161)),ISNUMBER(SEARCH("سوکت",G161)),ISNUMBER(SEARCH("ديسپل",G161)),ISNUMBER(SEARCH("دیسپل",G161))),"خرابی - برد الکترونیک (تعویض)",IF(OR(ISNUMBER(SEARCH("يخساز",G161)),ISNUMBER(SEARCH("یخساز",G161)),ISNUMBER(SEARCH("دمپر",G161))),IF(OR(ISNUMBER(SEARCH("خرابی",G161)),ISNUMBER(SEARCH("خراب",G161)),ISNUMBER(SEARCH("عدم کارکرد",G161)),ISNUMBER(SEARCH("عدم عملکرد",G161))),"یخساز - خرابی موتور/سنسور/برد (تعویض)","یخساز - تنظیم/عایق (تعمیر)"),IF(OR(ISNUMBER(SEARCH("لاستيک",G161)),ISNUMBER(SEARCH("لاستیک",G161))),"لاستیک درزگیر - دفرمگی/پارگی (تعویض)",IF(OR(ISNUMBER(SEARCH("گسکت",G161)),ISNUMBER(SEARCH("گسگت",G161))),"لاستیک درزگیر - دفرمگی/پارگی (تعویض)",IF(ISNUMBER(SEARCH("مخزن نمک",G161)),"نشتی - درب مخزن نمک (تعمیر/آب‌بندی)",IF(ISNUMBER(SEARCH("براکت",G161)),"نشتی - براکت ریل (تعمیر/آب‌بندی)",IF(ISNUMBER(SEARCH("جاپودر",G161)),"نشتی - جاپودری (تعمیر/آب‌بندی)",IF(ISNUMBER(SEARCH("مقسم",G161)),"نشتی - مقسم آب (تعمیر/آب‌بندی)",IF(OR(ISNUMBER(SEARCH("سنسور دما",G161)),ISNUMBER(SEARCH("ترموستات",G161))),"خرابی - ترموستات (تعویض)",IF(OR(ISNUMBER(SEARCH("هيدروستات",G161)),ISNUMBER(SEARCH("هیدروستات",G161))),"خرابی - هیدروستات (تعویض)",IF(OR(ISNUMBER(SEARCH("بلبرينگ",G161)),ISNUMBER(SEARCH("بلبرینگ",G161))),"خرابی - بلبرینگ (تعویض)",IF(OR(ISNUMBER(SEARCH("شيربرق",G161)),ISNUMBER(SEARCH("شیربرق",G161))),"خرابی - شیربرقی (تعویض)",IF(OR(ISNUMBER(SEARCH("واتر جت",G161)),ISNUMBER(SEARCH("واترجت",G161))),"خرابی - واترجت (تعویض)",IF(OR(ISNUMBER(SEARCH("سيم",G161)),ISNUMBER(SEARCH("سیم",G161)),ISNUMBER(SEARCH("اتصال",G161))),"سیم‌کشی/اتصالات (تعویض/بازبینی)",IF(OR(ISNUMBER(SEARCH("تصوير",G161)),ISNUMBER(SEARCH("تصویر",G161))),"برد نمایش تلویزیون (تعویض)",IF(OR(ISNUMBER(SEARCH("ريموت",G161)),ISNUMBER(SEARCH("ریموت",G161))),"ریموت کنترل (تعویض/تعمیر)",IF(OR(ISNUMBER(SEARCH("ال اي دي",G161)),ISNUMBER(SEARCH("ال ای دی",G161)),ISNUMBER(SEARCH("LED",G161))),"خرابی - لامپ/LED داخلی (تعویض)",IF(ISNUMBER(SEARCH("زنگ زدگ",G161)),"زنگ‌زدگی بدنه/قطعه (تعویض)",IF(OR(ISNUMBER(SEARCH("قطعات تزئين",G161)),ISNUMBER(SEARCH("قطعات تزئین",G161))),"قطعات تزئینی - شکستگی/کسری (تعویض)",IF(ISNUMBER(SEARCH("سبد",G161)),"سبد ظرفشویی - شکستگی (تعویض)",IF(ISNUMBER(SEARCH("تاب درام",G161)),"خرابی - تاب برداشتن درام (تعویض)",IF(ISNUMBER(SEARCH("درام",G161)),"خرابی - سایر ایراد درام (تعویض)",IF(ISNUMBER(SEARCH("موتور",G161)),"خرابی - موتور (تعویض)",IF(ISNUMBER(SEARCH("تسمه",G161)),"خرابی - تسمه (تعویض)",IF(OR(ISNUMBER(SEARCH("پيچ ولوم",G161)),ISNUMBER(SEARCH("پیچ ولوم",G161))),"تنظیم - پیچ ولوم/دکمه (تعمیر)",IF(OR(ISNUMBER(SEARCH("کسري قطعات",G161)),ISNUMBER(SEARCH("کسری قطعات",G161))),"کسری قطعات تزئینی (تعویض)",IF(ISNUMBER(SEARCH("پرچ",G161)),"پرچ/بدنه کابین(تعمیر)",IF(OR(ISNUMBER(SEARCH("نشت",G161)),ISNUMBER(SEARCH("آبريزش",G161)),ISNUMBER(SEARCH("آبریزش",G161))),"نشتی آب - محل نامشخص (نیازمند بازدید)",IF(ISNUMBER(SEARCH("درب",G161)),"سایر اجزای درب (بازبینی)",IF(ISNUMBER(SEARCH("ضربه",G161)),"بدنه/کابین - ضربه (بازبینی/تعویض پنل)",IF(ISNUMBER(SEARCH("تراز",G161)),"تراز/لرزش - نصب (رگلاژ پایه)",IF(OR(ISNUMBER(SEARCH("تعویض",G161)),ISNUMBER(SEARCH("تعويض",G161))),"تعویض کامل دستگاه (Replacement)","سایر (نیازمند بررسی دستی)")))))))))))))))))))))))))))))))))))))))))))</f>
        <v/>
      </c>
      <c r="P161" s="124" t="inlineStr">
        <is>
          <t>*</t>
        </is>
      </c>
      <c r="Q161" s="124">
        <f>IF(ISNUMBER(SEARCH("عهده شرکت",F161)),"شرکت",IF(ISNUMBER(SEARCH("عهده مشتري",F161)),"مشتری",IF(ISNUMBER(SEARCH("عهده مشتری",F161)),"مشتری","نامشخص")))</f>
        <v/>
      </c>
      <c r="R161" s="178">
        <f>IF(O161="تعویض کامل دستگاه (Replacement)",IF(SUMIF('قیمت‌ها و مفروضات'!$A$9:$A$13,C161,'قیمت‌ها و مفروضات'!$C$9:$C$13)&lt;&gt;0,SUMIF('قیمت‌ها و مفروضات'!$A$9:$A$13,C161,'قیمت‌ها و مفروضات'!$C$9:$C$13),SUMIF('قیمت‌ها و مفروضات'!$A$9:$A$13,C161,'قیمت‌ها و مفروضات'!$B$9:$B$13)),IF(SUMIF('قیمت‌ها و مفروضات'!$A$18:$A$63,O161,'قیمت‌ها و مفروضات'!$C$18:$C$63)&lt;&gt;0,SUMIF('قیمت‌ها و مفروضات'!$A$18:$A$63,O161,'قیمت‌ها و مفروضات'!$C$18:$C$63),SUMIF('قیمت‌ها و مفروضات'!$A$18:$A$63,O161,'قیمت‌ها و مفروضات'!$B$18:$B$63)))</f>
        <v/>
      </c>
      <c r="S161" s="178">
        <f>'قیمت‌ها و مفروضات'!$B$3+'قیمت‌ها و مفروضات'!$B$4</f>
        <v/>
      </c>
      <c r="T161" s="178">
        <f>R161+S161</f>
        <v/>
      </c>
      <c r="U161" s="178">
        <f>IF(COUNTIF($E$2:E161,E161)&gt;1,"بله (تکراری)","خیر")</f>
        <v/>
      </c>
      <c r="V161" s="178">
        <f>IF(U161="بله (تکراری)",S161,0)</f>
        <v/>
      </c>
      <c r="W161" s="208" t="inlineStr"/>
      <c r="X161" s="208" t="inlineStr"/>
    </row>
    <row r="162" ht="58.5" customHeight="1" s="151">
      <c r="A162" s="176" t="n">
        <v>210009132</v>
      </c>
      <c r="B162" s="124">
        <f>CHOOSE(_xlfn.NUMBERVALUE(MID(H162,6,2)),"فروردین","اردیبهشت","خرداد","تیر","مرداد","شهریور","مهر","آبان","آذر","دی","بهمن","اسفند")</f>
        <v/>
      </c>
      <c r="C162" s="176" t="inlineStr">
        <is>
          <t>ماشين ظرفشويي</t>
        </is>
      </c>
      <c r="D162" s="176" t="inlineStr">
        <is>
          <t>CDW-H16T</t>
        </is>
      </c>
      <c r="E162" s="176" t="inlineStr">
        <is>
          <t>52220005N00890</t>
        </is>
      </c>
      <c r="F162" s="173" t="inlineStr">
        <is>
          <t>بسته نشدن درب**اياب و ذهاب به عهده مشتري</t>
        </is>
      </c>
      <c r="G162" s="173" t="inlineStr">
        <is>
          <t>تنظيم ديسپلي - پايين بودن ميکروسوئيچ درب</t>
        </is>
      </c>
      <c r="H162" s="176" t="inlineStr">
        <is>
          <t>1405/03/09</t>
        </is>
      </c>
      <c r="I162" s="176" t="inlineStr">
        <is>
          <t>1403/08/28</t>
        </is>
      </c>
      <c r="J162" s="176" t="inlineStr">
        <is>
          <t>1403/10/30</t>
        </is>
      </c>
      <c r="K162" s="177">
        <f>IFERROR(VLOOKUP(LEFT(H162,7),'تبدیل تاریخ'!$A$2:$B$73,2,FALSE())+VALUE(RIGHT(H162,2))-1,"")</f>
        <v/>
      </c>
      <c r="L162" s="177">
        <f>IFERROR(VLOOKUP(LEFT(I162,7),'تبدیل تاریخ'!$A$2:$B$73,2,FALSE())+VALUE(RIGHT(I162,2))-1,"")</f>
        <v/>
      </c>
      <c r="M162" s="177">
        <f>IF(J162="","",IFERROR(VLOOKUP(LEFT(J162,7),'تبدیل تاریخ'!$A$2:$B$73,2,FALSE())+VALUE(RIGHT(J162,2))-1,""))</f>
        <v/>
      </c>
      <c r="N162" s="124">
        <f>IF(OR(K162="",M162=""),"",CEILING((K162-M162)/30,1))</f>
        <v/>
      </c>
      <c r="O162" s="124">
        <f>IF(OR(ISNUMBER(SEARCH("بدون مورد",G162)),ISNUMBER(SEARCH("غير گارانتي",G162)),ISNUMBER(SEARCH("غیر گارانتی",G162)),ISNUMBER(SEARCH("بدون اجرت",G162)),ISNUMBER(SEARCH("فيلتر",G162)),ISNUMBER(SEARCH("فیلتر",G162))),"غیرگارانتی/بدون قطعه",IF(OR(ISNUMBER(SEARCH("ريست",G162)),ISNUMBER(SEARCH("ریست",G162))),"ریست نرم‌افزاری (بدون قطعه)",IF(OR(ISNUMBER(SEARCH("تعویض محصول",G162)),ISNUMBER(SEARCH("تعویض دستگاه",G162))),"تعویض کامل دستگاه (Replacement)",IF(ISNUMBER(SEARCH("پمپ",G162)),IF(ISNUMBER(SEARCH("نشت",G162)),"نشتی - پمپ تخلیه (تعمیر/آب‌بندی)","خرابی - پمپ تخلیه (تعویض)"),IF(ISNUMBER(SEARCH("کمپرسور",G162)),"خرابی - کمپرسور (تعویض)",IF(ISNUMBER(SEARCH("کمک فنر",G162)),"خرابی - کمک فنر (تعویض)",IF(ISNUMBER(SEARCH("لولا",G162)),"مکانیزم درب - لولا (تعویض)",IF(OR(ISNUMBER(SEARCH("قلاب",G162)),ISNUMBER(SEARCH("ميکروسوئيچ",G162)),ISNUMBER(SEARCH("میکروسوئیچ",G162))),"مکانیزم درب - میکروسوئیچ/قلاب (تعویض/تنظیم)",IF(ISNUMBER(SEARCH("زبانه",G162)),"مکانیزم درب - زبانه (تعویض)",IF(OR(ISNUMBER(SEARCH("شيلنگ",G162)),ISNUMBER(SEARCH("شیلنگ",G162))),IF(OR(ISNUMBER(SEARCH("نشتی",G162)),ISNUMBER(SEARCH("نشتي",G162))),"نشتی - شیلنگ (تعمیر/آب‌بندی)",IF(OR(ISNUMBER(SEARCH("يخ",G162)),ISNUMBER(SEARCH("یخ",G162))),"شیلنگ یخساز - یخ‌زدگی (بازبینی)","شیلنگ - برخورد/لهیدگی (بازبینی)")),IF(OR(ISNUMBER(SEARCH("تنظيم ديسپل",G162)),ISNUMBER(SEARCH("تنظیم دیسپل",G162)),ISNUMBER(SEARCH("تنظيم صفحه نمايش",G162)),ISNUMBER(SEARCH("تنظیم صفحه نمایش",G162))),"تنظیم - تنظیمات دستگاه/دیسپلی (تعمیر)",IF(OR(ISNUMBER(SEARCH("برد",G162)),ISNUMBER(SEARCH("سوکت",G162)),ISNUMBER(SEARCH("ديسپل",G162)),ISNUMBER(SEARCH("دیسپل",G162))),"خرابی - برد الکترونیک (تعویض)",IF(OR(ISNUMBER(SEARCH("يخساز",G162)),ISNUMBER(SEARCH("یخساز",G162)),ISNUMBER(SEARCH("دمپر",G162))),IF(OR(ISNUMBER(SEARCH("خرابی",G162)),ISNUMBER(SEARCH("خراب",G162)),ISNUMBER(SEARCH("عدم کارکرد",G162)),ISNUMBER(SEARCH("عدم عملکرد",G162))),"یخساز - خرابی موتور/سنسور/برد (تعویض)","یخساز - تنظیم/عایق (تعمیر)"),IF(OR(ISNUMBER(SEARCH("لاستيک",G162)),ISNUMBER(SEARCH("لاستیک",G162))),"لاستیک درزگیر - دفرمگی/پارگی (تعویض)",IF(OR(ISNUMBER(SEARCH("گسکت",G162)),ISNUMBER(SEARCH("گسگت",G162))),"لاستیک درزگیر - دفرمگی/پارگی (تعویض)",IF(ISNUMBER(SEARCH("مخزن نمک",G162)),"نشتی - درب مخزن نمک (تعمیر/آب‌بندی)",IF(ISNUMBER(SEARCH("براکت",G162)),"نشتی - براکت ریل (تعمیر/آب‌بندی)",IF(ISNUMBER(SEARCH("جاپودر",G162)),"نشتی - جاپودری (تعمیر/آب‌بندی)",IF(ISNUMBER(SEARCH("مقسم",G162)),"نشتی - مقسم آب (تعمیر/آب‌بندی)",IF(OR(ISNUMBER(SEARCH("سنسور دما",G162)),ISNUMBER(SEARCH("ترموستات",G162))),"خرابی - ترموستات (تعویض)",IF(OR(ISNUMBER(SEARCH("هيدروستات",G162)),ISNUMBER(SEARCH("هیدروستات",G162))),"خرابی - هیدروستات (تعویض)",IF(OR(ISNUMBER(SEARCH("بلبرينگ",G162)),ISNUMBER(SEARCH("بلبرینگ",G162))),"خرابی - بلبرینگ (تعویض)",IF(OR(ISNUMBER(SEARCH("شيربرق",G162)),ISNUMBER(SEARCH("شیربرق",G162))),"خرابی - شیربرقی (تعویض)",IF(OR(ISNUMBER(SEARCH("واتر جت",G162)),ISNUMBER(SEARCH("واترجت",G162))),"خرابی - واترجت (تعویض)",IF(OR(ISNUMBER(SEARCH("سيم",G162)),ISNUMBER(SEARCH("سیم",G162)),ISNUMBER(SEARCH("اتصال",G162))),"سیم‌کشی/اتصالات (تعویض/بازبینی)",IF(OR(ISNUMBER(SEARCH("تصوير",G162)),ISNUMBER(SEARCH("تصویر",G162))),"برد نمایش تلویزیون (تعویض)",IF(OR(ISNUMBER(SEARCH("ريموت",G162)),ISNUMBER(SEARCH("ریموت",G162))),"ریموت کنترل (تعویض/تعمیر)",IF(OR(ISNUMBER(SEARCH("ال اي دي",G162)),ISNUMBER(SEARCH("ال ای دی",G162)),ISNUMBER(SEARCH("LED",G162))),"خرابی - لامپ/LED داخلی (تعویض)",IF(ISNUMBER(SEARCH("زنگ زدگ",G162)),"زنگ‌زدگی بدنه/قطعه (تعویض)",IF(OR(ISNUMBER(SEARCH("قطعات تزئين",G162)),ISNUMBER(SEARCH("قطعات تزئین",G162))),"قطعات تزئینی - شکستگی/کسری (تعویض)",IF(ISNUMBER(SEARCH("سبد",G162)),"سبد ظرفشویی - شکستگی (تعویض)",IF(ISNUMBER(SEARCH("تاب درام",G162)),"خرابی - تاب برداشتن درام (تعویض)",IF(ISNUMBER(SEARCH("درام",G162)),"خرابی - سایر ایراد درام (تعویض)",IF(ISNUMBER(SEARCH("موتور",G162)),"خرابی - موتور (تعویض)",IF(ISNUMBER(SEARCH("تسمه",G162)),"خرابی - تسمه (تعویض)",IF(OR(ISNUMBER(SEARCH("پيچ ولوم",G162)),ISNUMBER(SEARCH("پیچ ولوم",G162))),"تنظیم - پیچ ولوم/دکمه (تعمیر)",IF(OR(ISNUMBER(SEARCH("کسري قطعات",G162)),ISNUMBER(SEARCH("کسری قطعات",G162))),"کسری قطعات تزئینی (تعویض)",IF(ISNUMBER(SEARCH("پرچ",G162)),"پرچ/بدنه کابین(تعمیر)",IF(OR(ISNUMBER(SEARCH("نشت",G162)),ISNUMBER(SEARCH("آبريزش",G162)),ISNUMBER(SEARCH("آبریزش",G162))),"نشتی آب - محل نامشخص (نیازمند بازدید)",IF(ISNUMBER(SEARCH("درب",G162)),"سایر اجزای درب (بازبینی)",IF(ISNUMBER(SEARCH("ضربه",G162)),"بدنه/کابین - ضربه (بازبینی/تعویض پنل)",IF(ISNUMBER(SEARCH("تراز",G162)),"تراز/لرزش - نصب (رگلاژ پایه)",IF(OR(ISNUMBER(SEARCH("تعویض",G162)),ISNUMBER(SEARCH("تعويض",G162))),"تعویض کامل دستگاه (Replacement)","سایر (نیازمند بررسی دستی)")))))))))))))))))))))))))))))))))))))))))))</f>
        <v/>
      </c>
      <c r="P162" s="124" t="inlineStr">
        <is>
          <t>میکروسوئیچ 16 نفره</t>
        </is>
      </c>
      <c r="Q162" s="124">
        <f>IF(ISNUMBER(SEARCH("عهده شرکت",F162)),"شرکت",IF(ISNUMBER(SEARCH("عهده مشتري",F162)),"مشتری",IF(ISNUMBER(SEARCH("عهده مشتری",F162)),"مشتری","نامشخص")))</f>
        <v/>
      </c>
      <c r="R162" s="178">
        <f>IF(O162="تعویض کامل دستگاه (Replacement)",IF(SUMIF('قیمت‌ها و مفروضات'!$A$9:$A$13,C162,'قیمت‌ها و مفروضات'!$C$9:$C$13)&lt;&gt;0,SUMIF('قیمت‌ها و مفروضات'!$A$9:$A$13,C162,'قیمت‌ها و مفروضات'!$C$9:$C$13),SUMIF('قیمت‌ها و مفروضات'!$A$9:$A$13,C162,'قیمت‌ها و مفروضات'!$B$9:$B$13)),IF(SUMIF('قیمت‌ها و مفروضات'!$A$18:$A$63,O162,'قیمت‌ها و مفروضات'!$C$18:$C$63)&lt;&gt;0,SUMIF('قیمت‌ها و مفروضات'!$A$18:$A$63,O162,'قیمت‌ها و مفروضات'!$C$18:$C$63),SUMIF('قیمت‌ها و مفروضات'!$A$18:$A$63,O162,'قیمت‌ها و مفروضات'!$B$18:$B$63)))</f>
        <v/>
      </c>
      <c r="S162" s="178">
        <f>'قیمت‌ها و مفروضات'!$B$3+'قیمت‌ها و مفروضات'!$B$4</f>
        <v/>
      </c>
      <c r="T162" s="178">
        <f>R162+S162</f>
        <v/>
      </c>
      <c r="U162" s="178">
        <f>IF(COUNTIF($E$2:E162,E162)&gt;1,"بله (تکراری)","خیر")</f>
        <v/>
      </c>
      <c r="V162" s="178">
        <f>IF(U162="بله (تکراری)",S162,0)</f>
        <v/>
      </c>
      <c r="W162" s="208" t="inlineStr"/>
      <c r="X162" s="208" t="inlineStr"/>
    </row>
    <row r="163" ht="58.5" customHeight="1" s="151">
      <c r="A163" s="176" t="n">
        <v>210009117</v>
      </c>
      <c r="B163" s="124">
        <f>CHOOSE(_xlfn.NUMBERVALUE(MID(H163,6,2)),"فروردین","اردیبهشت","خرداد","تیر","مرداد","شهریور","مهر","آبان","آذر","دی","بهمن","اسفند")</f>
        <v/>
      </c>
      <c r="C163" s="176" t="inlineStr">
        <is>
          <t>یخچال ساید‌بای‌ساید</t>
        </is>
      </c>
      <c r="D163" s="176" t="inlineStr">
        <is>
          <t>C2S-29HS1</t>
        </is>
      </c>
      <c r="E163" s="176" t="inlineStr">
        <is>
          <t>52240001N01659</t>
        </is>
      </c>
      <c r="F163" s="173" t="inlineStr">
        <is>
          <t>اياب و ذهاب به عهده شرکت خطاي E6</t>
        </is>
      </c>
      <c r="G163" s="173" t="inlineStr">
        <is>
          <t>خرابي سنسور يخساز - سايد باي سايد</t>
        </is>
      </c>
      <c r="H163" s="176" t="inlineStr">
        <is>
          <t>1405/03/09</t>
        </is>
      </c>
      <c r="I163" s="176" t="inlineStr">
        <is>
          <t>1403/08/30</t>
        </is>
      </c>
      <c r="J163" s="176" t="inlineStr">
        <is>
          <t>1404/05/13</t>
        </is>
      </c>
      <c r="K163" s="177">
        <f>IFERROR(VLOOKUP(LEFT(H163,7),'تبدیل تاریخ'!$A$2:$B$73,2,FALSE())+VALUE(RIGHT(H163,2))-1,"")</f>
        <v/>
      </c>
      <c r="L163" s="177">
        <f>IFERROR(VLOOKUP(LEFT(I163,7),'تبدیل تاریخ'!$A$2:$B$73,2,FALSE())+VALUE(RIGHT(I163,2))-1,"")</f>
        <v/>
      </c>
      <c r="M163" s="177">
        <f>IF(J163="","",IFERROR(VLOOKUP(LEFT(J163,7),'تبدیل تاریخ'!$A$2:$B$73,2,FALSE())+VALUE(RIGHT(J163,2))-1,""))</f>
        <v/>
      </c>
      <c r="N163" s="124">
        <f>IF(OR(K163="",M163=""),"",CEILING((K163-M163)/30,1))</f>
        <v/>
      </c>
      <c r="O163" s="124">
        <f>IF(OR(ISNUMBER(SEARCH("بدون مورد",G163)),ISNUMBER(SEARCH("غير گارانتي",G163)),ISNUMBER(SEARCH("غیر گارانتی",G163)),ISNUMBER(SEARCH("بدون اجرت",G163)),ISNUMBER(SEARCH("فيلتر",G163)),ISNUMBER(SEARCH("فیلتر",G163))),"غیرگارانتی/بدون قطعه",IF(OR(ISNUMBER(SEARCH("ريست",G163)),ISNUMBER(SEARCH("ریست",G163))),"ریست نرم‌افزاری (بدون قطعه)",IF(OR(ISNUMBER(SEARCH("تعویض محصول",G163)),ISNUMBER(SEARCH("تعویض دستگاه",G163))),"تعویض کامل دستگاه (Replacement)",IF(ISNUMBER(SEARCH("پمپ",G163)),IF(ISNUMBER(SEARCH("نشت",G163)),"نشتی - پمپ تخلیه (تعمیر/آب‌بندی)","خرابی - پمپ تخلیه (تعویض)"),IF(ISNUMBER(SEARCH("کمپرسور",G163)),"خرابی - کمپرسور (تعویض)",IF(ISNUMBER(SEARCH("کمک فنر",G163)),"خرابی - کمک فنر (تعویض)",IF(ISNUMBER(SEARCH("لولا",G163)),"مکانیزم درب - لولا (تعویض)",IF(OR(ISNUMBER(SEARCH("قلاب",G163)),ISNUMBER(SEARCH("ميکروسوئيچ",G163)),ISNUMBER(SEARCH("میکروسوئیچ",G163))),"مکانیزم درب - میکروسوئیچ/قلاب (تعویض/تنظیم)",IF(ISNUMBER(SEARCH("زبانه",G163)),"مکانیزم درب - زبانه (تعویض)",IF(OR(ISNUMBER(SEARCH("شيلنگ",G163)),ISNUMBER(SEARCH("شیلنگ",G163))),IF(OR(ISNUMBER(SEARCH("نشتی",G163)),ISNUMBER(SEARCH("نشتي",G163))),"نشتی - شیلنگ (تعمیر/آب‌بندی)",IF(OR(ISNUMBER(SEARCH("يخ",G163)),ISNUMBER(SEARCH("یخ",G163))),"شیلنگ یخساز - یخ‌زدگی (بازبینی)","شیلنگ - برخورد/لهیدگی (بازبینی)")),IF(OR(ISNUMBER(SEARCH("تنظيم ديسپل",G163)),ISNUMBER(SEARCH("تنظیم دیسپل",G163)),ISNUMBER(SEARCH("تنظيم صفحه نمايش",G163)),ISNUMBER(SEARCH("تنظیم صفحه نمایش",G163))),"تنظیم - تنظیمات دستگاه/دیسپلی (تعمیر)",IF(OR(ISNUMBER(SEARCH("برد",G163)),ISNUMBER(SEARCH("سوکت",G163)),ISNUMBER(SEARCH("ديسپل",G163)),ISNUMBER(SEARCH("دیسپل",G163))),"خرابی - برد الکترونیک (تعویض)",IF(OR(ISNUMBER(SEARCH("يخساز",G163)),ISNUMBER(SEARCH("یخساز",G163)),ISNUMBER(SEARCH("دمپر",G163))),IF(OR(ISNUMBER(SEARCH("خرابی",G163)),ISNUMBER(SEARCH("خراب",G163)),ISNUMBER(SEARCH("عدم کارکرد",G163)),ISNUMBER(SEARCH("عدم عملکرد",G163))),"یخساز - خرابی موتور/سنسور/برد (تعویض)","یخساز - تنظیم/عایق (تعمیر)"),IF(OR(ISNUMBER(SEARCH("لاستيک",G163)),ISNUMBER(SEARCH("لاستیک",G163))),"لاستیک درزگیر - دفرمگی/پارگی (تعویض)",IF(OR(ISNUMBER(SEARCH("گسکت",G163)),ISNUMBER(SEARCH("گسگت",G163))),"لاستیک درزگیر - دفرمگی/پارگی (تعویض)",IF(ISNUMBER(SEARCH("مخزن نمک",G163)),"نشتی - درب مخزن نمک (تعمیر/آب‌بندی)",IF(ISNUMBER(SEARCH("براکت",G163)),"نشتی - براکت ریل (تعمیر/آب‌بندی)",IF(ISNUMBER(SEARCH("جاپودر",G163)),"نشتی - جاپودری (تعمیر/آب‌بندی)",IF(ISNUMBER(SEARCH("مقسم",G163)),"نشتی - مقسم آب (تعمیر/آب‌بندی)",IF(OR(ISNUMBER(SEARCH("سنسور دما",G163)),ISNUMBER(SEARCH("ترموستات",G163))),"خرابی - ترموستات (تعویض)",IF(OR(ISNUMBER(SEARCH("هيدروستات",G163)),ISNUMBER(SEARCH("هیدروستات",G163))),"خرابی - هیدروستات (تعویض)",IF(OR(ISNUMBER(SEARCH("بلبرينگ",G163)),ISNUMBER(SEARCH("بلبرینگ",G163))),"خرابی - بلبرینگ (تعویض)",IF(OR(ISNUMBER(SEARCH("شيربرق",G163)),ISNUMBER(SEARCH("شیربرق",G163))),"خرابی - شیربرقی (تعویض)",IF(OR(ISNUMBER(SEARCH("واتر جت",G163)),ISNUMBER(SEARCH("واترجت",G163))),"خرابی - واترجت (تعویض)",IF(OR(ISNUMBER(SEARCH("سيم",G163)),ISNUMBER(SEARCH("سیم",G163)),ISNUMBER(SEARCH("اتصال",G163))),"سیم‌کشی/اتصالات (تعویض/بازبینی)",IF(OR(ISNUMBER(SEARCH("تصوير",G163)),ISNUMBER(SEARCH("تصویر",G163))),"برد نمایش تلویزیون (تعویض)",IF(OR(ISNUMBER(SEARCH("ريموت",G163)),ISNUMBER(SEARCH("ریموت",G163))),"ریموت کنترل (تعویض/تعمیر)",IF(OR(ISNUMBER(SEARCH("ال اي دي",G163)),ISNUMBER(SEARCH("ال ای دی",G163)),ISNUMBER(SEARCH("LED",G163))),"خرابی - لامپ/LED داخلی (تعویض)",IF(ISNUMBER(SEARCH("زنگ زدگ",G163)),"زنگ‌زدگی بدنه/قطعه (تعویض)",IF(OR(ISNUMBER(SEARCH("قطعات تزئين",G163)),ISNUMBER(SEARCH("قطعات تزئین",G163))),"قطعات تزئینی - شکستگی/کسری (تعویض)",IF(ISNUMBER(SEARCH("سبد",G163)),"سبد ظرفشویی - شکستگی (تعویض)",IF(ISNUMBER(SEARCH("تاب درام",G163)),"خرابی - تاب برداشتن درام (تعویض)",IF(ISNUMBER(SEARCH("درام",G163)),"خرابی - سایر ایراد درام (تعویض)",IF(ISNUMBER(SEARCH("موتور",G163)),"خرابی - موتور (تعویض)",IF(ISNUMBER(SEARCH("تسمه",G163)),"خرابی - تسمه (تعویض)",IF(OR(ISNUMBER(SEARCH("پيچ ولوم",G163)),ISNUMBER(SEARCH("پیچ ولوم",G163))),"تنظیم - پیچ ولوم/دکمه (تعمیر)",IF(OR(ISNUMBER(SEARCH("کسري قطعات",G163)),ISNUMBER(SEARCH("کسری قطعات",G163))),"کسری قطعات تزئینی (تعویض)",IF(ISNUMBER(SEARCH("پرچ",G163)),"پرچ/بدنه کابین(تعمیر)",IF(OR(ISNUMBER(SEARCH("نشت",G163)),ISNUMBER(SEARCH("آبريزش",G163)),ISNUMBER(SEARCH("آبریزش",G163))),"نشتی آب - محل نامشخص (نیازمند بازدید)",IF(ISNUMBER(SEARCH("درب",G163)),"سایر اجزای درب (بازبینی)",IF(ISNUMBER(SEARCH("ضربه",G163)),"بدنه/کابین - ضربه (بازبینی/تعویض پنل)",IF(ISNUMBER(SEARCH("تراز",G163)),"تراز/لرزش - نصب (رگلاژ پایه)",IF(OR(ISNUMBER(SEARCH("تعویض",G163)),ISNUMBER(SEARCH("تعويض",G163))),"تعویض کامل دستگاه (Replacement)","سایر (نیازمند بررسی دستی)")))))))))))))))))))))))))))))))))))))))))))</f>
        <v/>
      </c>
      <c r="P163" s="124" t="inlineStr">
        <is>
          <t>*</t>
        </is>
      </c>
      <c r="Q163" s="124">
        <f>IF(ISNUMBER(SEARCH("عهده شرکت",F163)),"شرکت",IF(ISNUMBER(SEARCH("عهده مشتري",F163)),"مشتری",IF(ISNUMBER(SEARCH("عهده مشتری",F163)),"مشتری","نامشخص")))</f>
        <v/>
      </c>
      <c r="R163" s="178">
        <f>IF(O163="تعویض کامل دستگاه (Replacement)",IF(SUMIF('قیمت‌ها و مفروضات'!$A$9:$A$13,C163,'قیمت‌ها و مفروضات'!$C$9:$C$13)&lt;&gt;0,SUMIF('قیمت‌ها و مفروضات'!$A$9:$A$13,C163,'قیمت‌ها و مفروضات'!$C$9:$C$13),SUMIF('قیمت‌ها و مفروضات'!$A$9:$A$13,C163,'قیمت‌ها و مفروضات'!$B$9:$B$13)),IF(SUMIF('قیمت‌ها و مفروضات'!$A$18:$A$63,O163,'قیمت‌ها و مفروضات'!$C$18:$C$63)&lt;&gt;0,SUMIF('قیمت‌ها و مفروضات'!$A$18:$A$63,O163,'قیمت‌ها و مفروضات'!$C$18:$C$63),SUMIF('قیمت‌ها و مفروضات'!$A$18:$A$63,O163,'قیمت‌ها و مفروضات'!$B$18:$B$63)))</f>
        <v/>
      </c>
      <c r="S163" s="178">
        <f>'قیمت‌ها و مفروضات'!$B$3+'قیمت‌ها و مفروضات'!$B$4</f>
        <v/>
      </c>
      <c r="T163" s="178">
        <f>R163+S163</f>
        <v/>
      </c>
      <c r="U163" s="178">
        <f>IF(COUNTIF($E$2:E163,E163)&gt;1,"بله (تکراری)","خیر")</f>
        <v/>
      </c>
      <c r="V163" s="178">
        <f>IF(U163="بله (تکراری)",S163,0)</f>
        <v/>
      </c>
      <c r="W163" s="208" t="inlineStr"/>
      <c r="X163" s="208" t="inlineStr"/>
    </row>
    <row r="164" ht="58.5" customHeight="1" s="151">
      <c r="A164" s="176" t="n">
        <v>210007178</v>
      </c>
      <c r="B164" s="124">
        <f>CHOOSE(_xlfn.NUMBERVALUE(MID(H164,6,2)),"فروردین","اردیبهشت","خرداد","تیر","مرداد","شهریور","مهر","آبان","آذر","دی","بهمن","اسفند")</f>
        <v/>
      </c>
      <c r="C164" s="176" t="inlineStr">
        <is>
          <t>ماشين لباسشويي</t>
        </is>
      </c>
      <c r="D164" s="176" t="inlineStr">
        <is>
          <t>CWM-BMW8T1</t>
        </is>
      </c>
      <c r="E164" s="176" t="inlineStr">
        <is>
          <t>52210006N00678</t>
        </is>
      </c>
      <c r="F164" s="173" t="inlineStr">
        <is>
          <t>خطاي F54 اياب و ذهاب به عهده مشتري</t>
        </is>
      </c>
      <c r="G164" s="173" t="inlineStr">
        <is>
          <t>نشتي از شيلنگ تخليه آب</t>
        </is>
      </c>
      <c r="H164" s="176" t="inlineStr">
        <is>
          <t>1405/03/20</t>
        </is>
      </c>
      <c r="I164" s="176" t="inlineStr">
        <is>
          <t>1403/02/02</t>
        </is>
      </c>
      <c r="J164" s="176" t="inlineStr">
        <is>
          <t>1403/02/24</t>
        </is>
      </c>
      <c r="K164" s="177">
        <f>IFERROR(VLOOKUP(LEFT(H164,7),'تبدیل تاریخ'!$A$2:$B$73,2,FALSE())+VALUE(RIGHT(H164,2))-1,"")</f>
        <v/>
      </c>
      <c r="L164" s="177">
        <f>IFERROR(VLOOKUP(LEFT(I164,7),'تبدیل تاریخ'!$A$2:$B$73,2,FALSE())+VALUE(RIGHT(I164,2))-1,"")</f>
        <v/>
      </c>
      <c r="M164" s="177">
        <f>IF(J164="","",IFERROR(VLOOKUP(LEFT(J164,7),'تبدیل تاریخ'!$A$2:$B$73,2,FALSE())+VALUE(RIGHT(J164,2))-1,""))</f>
        <v/>
      </c>
      <c r="N164" s="124">
        <f>IF(OR(K164="",M164=""),"",CEILING((K164-M164)/30,1))</f>
        <v/>
      </c>
      <c r="O164" s="124">
        <f>IF(OR(ISNUMBER(SEARCH("بدون مورد",G164)),ISNUMBER(SEARCH("غير گارانتي",G164)),ISNUMBER(SEARCH("غیر گارانتی",G164)),ISNUMBER(SEARCH("بدون اجرت",G164)),ISNUMBER(SEARCH("فيلتر",G164)),ISNUMBER(SEARCH("فیلتر",G164))),"غیرگارانتی/بدون قطعه",IF(OR(ISNUMBER(SEARCH("ريست",G164)),ISNUMBER(SEARCH("ریست",G164))),"ریست نرم‌افزاری (بدون قطعه)",IF(OR(ISNUMBER(SEARCH("تعویض محصول",G164)),ISNUMBER(SEARCH("تعویض دستگاه",G164))),"تعویض کامل دستگاه (Replacement)",IF(ISNUMBER(SEARCH("پمپ",G164)),IF(ISNUMBER(SEARCH("نشت",G164)),"نشتی - پمپ تخلیه (تعمیر/آب‌بندی)","خرابی - پمپ تخلیه (تعویض)"),IF(ISNUMBER(SEARCH("کمپرسور",G164)),"خرابی - کمپرسور (تعویض)",IF(ISNUMBER(SEARCH("کمک فنر",G164)),"خرابی - کمک فنر (تعویض)",IF(ISNUMBER(SEARCH("لولا",G164)),"مکانیزم درب - لولا (تعویض)",IF(OR(ISNUMBER(SEARCH("قلاب",G164)),ISNUMBER(SEARCH("ميکروسوئيچ",G164)),ISNUMBER(SEARCH("میکروسوئیچ",G164))),"مکانیزم درب - میکروسوئیچ/قلاب (تعویض/تنظیم)",IF(ISNUMBER(SEARCH("زبانه",G164)),"مکانیزم درب - زبانه (تعویض)",IF(OR(ISNUMBER(SEARCH("شيلنگ",G164)),ISNUMBER(SEARCH("شیلنگ",G164))),IF(OR(ISNUMBER(SEARCH("نشتی",G164)),ISNUMBER(SEARCH("نشتي",G164))),"نشتی - شیلنگ (تعمیر/آب‌بندی)",IF(OR(ISNUMBER(SEARCH("يخ",G164)),ISNUMBER(SEARCH("یخ",G164))),"شیلنگ یخساز - یخ‌زدگی (بازبینی)","شیلنگ - برخورد/لهیدگی (بازبینی)")),IF(OR(ISNUMBER(SEARCH("تنظيم ديسپل",G164)),ISNUMBER(SEARCH("تنظیم دیسپل",G164)),ISNUMBER(SEARCH("تنظيم صفحه نمايش",G164)),ISNUMBER(SEARCH("تنظیم صفحه نمایش",G164))),"تنظیم - تنظیمات دستگاه/دیسپلی (تعمیر)",IF(OR(ISNUMBER(SEARCH("برد",G164)),ISNUMBER(SEARCH("سوکت",G164)),ISNUMBER(SEARCH("ديسپل",G164)),ISNUMBER(SEARCH("دیسپل",G164))),"خرابی - برد الکترونیک (تعویض)",IF(OR(ISNUMBER(SEARCH("يخساز",G164)),ISNUMBER(SEARCH("یخساز",G164)),ISNUMBER(SEARCH("دمپر",G164))),IF(OR(ISNUMBER(SEARCH("خرابی",G164)),ISNUMBER(SEARCH("خراب",G164)),ISNUMBER(SEARCH("عدم کارکرد",G164)),ISNUMBER(SEARCH("عدم عملکرد",G164))),"یخساز - خرابی موتور/سنسور/برد (تعویض)","یخساز - تنظیم/عایق (تعمیر)"),IF(OR(ISNUMBER(SEARCH("لاستيک",G164)),ISNUMBER(SEARCH("لاستیک",G164))),"لاستیک درزگیر - دفرمگی/پارگی (تعویض)",IF(OR(ISNUMBER(SEARCH("گسکت",G164)),ISNUMBER(SEARCH("گسگت",G164))),"لاستیک درزگیر - دفرمگی/پارگی (تعویض)",IF(ISNUMBER(SEARCH("مخزن نمک",G164)),"نشتی - درب مخزن نمک (تعمیر/آب‌بندی)",IF(ISNUMBER(SEARCH("براکت",G164)),"نشتی - براکت ریل (تعمیر/آب‌بندی)",IF(ISNUMBER(SEARCH("جاپودر",G164)),"نشتی - جاپودری (تعمیر/آب‌بندی)",IF(ISNUMBER(SEARCH("مقسم",G164)),"نشتی - مقسم آب (تعمیر/آب‌بندی)",IF(OR(ISNUMBER(SEARCH("سنسور دما",G164)),ISNUMBER(SEARCH("ترموستات",G164))),"خرابی - ترموستات (تعویض)",IF(OR(ISNUMBER(SEARCH("هيدروستات",G164)),ISNUMBER(SEARCH("هیدروستات",G164))),"خرابی - هیدروستات (تعویض)",IF(OR(ISNUMBER(SEARCH("بلبرينگ",G164)),ISNUMBER(SEARCH("بلبرینگ",G164))),"خرابی - بلبرینگ (تعویض)",IF(OR(ISNUMBER(SEARCH("شيربرق",G164)),ISNUMBER(SEARCH("شیربرق",G164))),"خرابی - شیربرقی (تعویض)",IF(OR(ISNUMBER(SEARCH("واتر جت",G164)),ISNUMBER(SEARCH("واترجت",G164))),"خرابی - واترجت (تعویض)",IF(OR(ISNUMBER(SEARCH("سيم",G164)),ISNUMBER(SEARCH("سیم",G164)),ISNUMBER(SEARCH("اتصال",G164))),"سیم‌کشی/اتصالات (تعویض/بازبینی)",IF(OR(ISNUMBER(SEARCH("تصوير",G164)),ISNUMBER(SEARCH("تصویر",G164))),"برد نمایش تلویزیون (تعویض)",IF(OR(ISNUMBER(SEARCH("ريموت",G164)),ISNUMBER(SEARCH("ریموت",G164))),"ریموت کنترل (تعویض/تعمیر)",IF(OR(ISNUMBER(SEARCH("ال اي دي",G164)),ISNUMBER(SEARCH("ال ای دی",G164)),ISNUMBER(SEARCH("LED",G164))),"خرابی - لامپ/LED داخلی (تعویض)",IF(ISNUMBER(SEARCH("زنگ زدگ",G164)),"زنگ‌زدگی بدنه/قطعه (تعویض)",IF(OR(ISNUMBER(SEARCH("قطعات تزئين",G164)),ISNUMBER(SEARCH("قطعات تزئین",G164))),"قطعات تزئینی - شکستگی/کسری (تعویض)",IF(ISNUMBER(SEARCH("سبد",G164)),"سبد ظرفشویی - شکستگی (تعویض)",IF(ISNUMBER(SEARCH("تاب درام",G164)),"خرابی - تاب برداشتن درام (تعویض)",IF(ISNUMBER(SEARCH("درام",G164)),"خرابی - سایر ایراد درام (تعویض)",IF(ISNUMBER(SEARCH("موتور",G164)),"خرابی - موتور (تعویض)",IF(ISNUMBER(SEARCH("تسمه",G164)),"خرابی - تسمه (تعویض)",IF(OR(ISNUMBER(SEARCH("پيچ ولوم",G164)),ISNUMBER(SEARCH("پیچ ولوم",G164))),"تنظیم - پیچ ولوم/دکمه (تعمیر)",IF(OR(ISNUMBER(SEARCH("کسري قطعات",G164)),ISNUMBER(SEARCH("کسری قطعات",G164))),"کسری قطعات تزئینی (تعویض)",IF(ISNUMBER(SEARCH("پرچ",G164)),"پرچ/بدنه کابین(تعمیر)",IF(OR(ISNUMBER(SEARCH("نشت",G164)),ISNUMBER(SEARCH("آبريزش",G164)),ISNUMBER(SEARCH("آبریزش",G164))),"نشتی آب - محل نامشخص (نیازمند بازدید)",IF(ISNUMBER(SEARCH("درب",G164)),"سایر اجزای درب (بازبینی)",IF(ISNUMBER(SEARCH("ضربه",G164)),"بدنه/کابین - ضربه (بازبینی/تعویض پنل)",IF(ISNUMBER(SEARCH("تراز",G164)),"تراز/لرزش - نصب (رگلاژ پایه)",IF(OR(ISNUMBER(SEARCH("تعویض",G164)),ISNUMBER(SEARCH("تعويض",G164))),"تعویض کامل دستگاه (Replacement)","سایر (نیازمند بررسی دستی)")))))))))))))))))))))))))))))))))))))))))))</f>
        <v/>
      </c>
      <c r="P164" s="124" t="inlineStr">
        <is>
          <t>*</t>
        </is>
      </c>
      <c r="Q164" s="124">
        <f>IF(ISNUMBER(SEARCH("عهده شرکت",F164)),"شرکت",IF(ISNUMBER(SEARCH("عهده مشتري",F164)),"مشتری",IF(ISNUMBER(SEARCH("عهده مشتری",F164)),"مشتری","نامشخص")))</f>
        <v/>
      </c>
      <c r="R164" s="178">
        <f>IF(O164="تعویض کامل دستگاه (Replacement)",IF(SUMIF('قیمت‌ها و مفروضات'!$A$9:$A$13,C164,'قیمت‌ها و مفروضات'!$C$9:$C$13)&lt;&gt;0,SUMIF('قیمت‌ها و مفروضات'!$A$9:$A$13,C164,'قیمت‌ها و مفروضات'!$C$9:$C$13),SUMIF('قیمت‌ها و مفروضات'!$A$9:$A$13,C164,'قیمت‌ها و مفروضات'!$B$9:$B$13)),IF(SUMIF('قیمت‌ها و مفروضات'!$A$18:$A$63,O164,'قیمت‌ها و مفروضات'!$C$18:$C$63)&lt;&gt;0,SUMIF('قیمت‌ها و مفروضات'!$A$18:$A$63,O164,'قیمت‌ها و مفروضات'!$C$18:$C$63),SUMIF('قیمت‌ها و مفروضات'!$A$18:$A$63,O164,'قیمت‌ها و مفروضات'!$B$18:$B$63)))</f>
        <v/>
      </c>
      <c r="S164" s="178">
        <f>'قیمت‌ها و مفروضات'!$B$3+'قیمت‌ها و مفروضات'!$B$4</f>
        <v/>
      </c>
      <c r="T164" s="178">
        <f>R164+S164</f>
        <v/>
      </c>
      <c r="U164" s="178">
        <f>IF(COUNTIF($E$2:E164,E164)&gt;1,"بله (تکراری)","خیر")</f>
        <v/>
      </c>
      <c r="V164" s="178">
        <f>IF(U164="بله (تکراری)",S164,0)</f>
        <v/>
      </c>
      <c r="W164" s="208" t="inlineStr"/>
      <c r="X164" s="208" t="inlineStr"/>
    </row>
    <row r="165" ht="58.5" customHeight="1" s="151">
      <c r="A165" s="176" t="n">
        <v>210008929</v>
      </c>
      <c r="B165" s="124">
        <f>CHOOSE(_xlfn.NUMBERVALUE(MID(H165,6,2)),"فروردین","اردیبهشت","خرداد","تیر","مرداد","شهریور","مهر","آبان","آذر","دی","بهمن","اسفند")</f>
        <v/>
      </c>
      <c r="C165" s="176" t="inlineStr">
        <is>
          <t>ماشين ظرفشويي</t>
        </is>
      </c>
      <c r="D165" s="176" t="inlineStr">
        <is>
          <t>CDW-H16T</t>
        </is>
      </c>
      <c r="E165" s="176" t="inlineStr">
        <is>
          <t>52220005N02101</t>
        </is>
      </c>
      <c r="F165" s="173" t="inlineStr">
        <is>
          <t>عدم تخليه آب داخل ماشين ظرفشويي**اياب و ذهاب به عهده مشتري**خطاي F54</t>
        </is>
      </c>
      <c r="G165" s="173" t="inlineStr">
        <is>
          <t>نشتي از مقسم آب</t>
        </is>
      </c>
      <c r="H165" s="176" t="inlineStr">
        <is>
          <t>1405/03/23</t>
        </is>
      </c>
      <c r="I165" s="176" t="inlineStr">
        <is>
          <t>1404/01/08</t>
        </is>
      </c>
      <c r="J165" s="176" t="inlineStr">
        <is>
          <t>1404/06/01</t>
        </is>
      </c>
      <c r="K165" s="177">
        <f>IFERROR(VLOOKUP(LEFT(H165,7),'تبدیل تاریخ'!$A$2:$B$73,2,FALSE())+VALUE(RIGHT(H165,2))-1,"")</f>
        <v/>
      </c>
      <c r="L165" s="177">
        <f>IFERROR(VLOOKUP(LEFT(I165,7),'تبدیل تاریخ'!$A$2:$B$73,2,FALSE())+VALUE(RIGHT(I165,2))-1,"")</f>
        <v/>
      </c>
      <c r="M165" s="177">
        <f>IF(J165="","",IFERROR(VLOOKUP(LEFT(J165,7),'تبدیل تاریخ'!$A$2:$B$73,2,FALSE())+VALUE(RIGHT(J165,2))-1,""))</f>
        <v/>
      </c>
      <c r="N165" s="124">
        <f>IF(OR(K165="",M165=""),"",CEILING((K165-M165)/30,1))</f>
        <v/>
      </c>
      <c r="O165" s="124">
        <f>IF(OR(ISNUMBER(SEARCH("بدون مورد",G165)),ISNUMBER(SEARCH("غير گارانتي",G165)),ISNUMBER(SEARCH("غیر گارانتی",G165)),ISNUMBER(SEARCH("بدون اجرت",G165)),ISNUMBER(SEARCH("فيلتر",G165)),ISNUMBER(SEARCH("فیلتر",G165))),"غیرگارانتی/بدون قطعه",IF(OR(ISNUMBER(SEARCH("ريست",G165)),ISNUMBER(SEARCH("ریست",G165))),"ریست نرم‌افزاری (بدون قطعه)",IF(OR(ISNUMBER(SEARCH("تعویض محصول",G165)),ISNUMBER(SEARCH("تعویض دستگاه",G165))),"تعویض کامل دستگاه (Replacement)",IF(ISNUMBER(SEARCH("پمپ",G165)),IF(ISNUMBER(SEARCH("نشت",G165)),"نشتی - پمپ تخلیه (تعمیر/آب‌بندی)","خرابی - پمپ تخلیه (تعویض)"),IF(ISNUMBER(SEARCH("کمپرسور",G165)),"خرابی - کمپرسور (تعویض)",IF(ISNUMBER(SEARCH("کمک فنر",G165)),"خرابی - کمک فنر (تعویض)",IF(ISNUMBER(SEARCH("لولا",G165)),"مکانیزم درب - لولا (تعویض)",IF(OR(ISNUMBER(SEARCH("قلاب",G165)),ISNUMBER(SEARCH("ميکروسوئيچ",G165)),ISNUMBER(SEARCH("میکروسوئیچ",G165))),"مکانیزم درب - میکروسوئیچ/قلاب (تعویض/تنظیم)",IF(ISNUMBER(SEARCH("زبانه",G165)),"مکانیزم درب - زبانه (تعویض)",IF(OR(ISNUMBER(SEARCH("شيلنگ",G165)),ISNUMBER(SEARCH("شیلنگ",G165))),IF(OR(ISNUMBER(SEARCH("نشتی",G165)),ISNUMBER(SEARCH("نشتي",G165))),"نشتی - شیلنگ (تعمیر/آب‌بندی)",IF(OR(ISNUMBER(SEARCH("يخ",G165)),ISNUMBER(SEARCH("یخ",G165))),"شیلنگ یخساز - یخ‌زدگی (بازبینی)","شیلنگ - برخورد/لهیدگی (بازبینی)")),IF(OR(ISNUMBER(SEARCH("تنظيم ديسپل",G165)),ISNUMBER(SEARCH("تنظیم دیسپل",G165)),ISNUMBER(SEARCH("تنظيم صفحه نمايش",G165)),ISNUMBER(SEARCH("تنظیم صفحه نمایش",G165))),"تنظیم - تنظیمات دستگاه/دیسپلی (تعمیر)",IF(OR(ISNUMBER(SEARCH("برد",G165)),ISNUMBER(SEARCH("سوکت",G165)),ISNUMBER(SEARCH("ديسپل",G165)),ISNUMBER(SEARCH("دیسپل",G165))),"خرابی - برد الکترونیک (تعویض)",IF(OR(ISNUMBER(SEARCH("يخساز",G165)),ISNUMBER(SEARCH("یخساز",G165)),ISNUMBER(SEARCH("دمپر",G165))),IF(OR(ISNUMBER(SEARCH("خرابی",G165)),ISNUMBER(SEARCH("خراب",G165)),ISNUMBER(SEARCH("عدم کارکرد",G165)),ISNUMBER(SEARCH("عدم عملکرد",G165))),"یخساز - خرابی موتور/سنسور/برد (تعویض)","یخساز - تنظیم/عایق (تعمیر)"),IF(OR(ISNUMBER(SEARCH("لاستيک",G165)),ISNUMBER(SEARCH("لاستیک",G165))),"لاستیک درزگیر - دفرمگی/پارگی (تعویض)",IF(OR(ISNUMBER(SEARCH("گسکت",G165)),ISNUMBER(SEARCH("گسگت",G165))),"لاستیک درزگیر - دفرمگی/پارگی (تعویض)",IF(ISNUMBER(SEARCH("مخزن نمک",G165)),"نشتی - درب مخزن نمک (تعمیر/آب‌بندی)",IF(ISNUMBER(SEARCH("براکت",G165)),"نشتی - براکت ریل (تعمیر/آب‌بندی)",IF(ISNUMBER(SEARCH("جاپودر",G165)),"نشتی - جاپودری (تعمیر/آب‌بندی)",IF(ISNUMBER(SEARCH("مقسم",G165)),"نشتی - مقسم آب (تعمیر/آب‌بندی)",IF(OR(ISNUMBER(SEARCH("سنسور دما",G165)),ISNUMBER(SEARCH("ترموستات",G165))),"خرابی - ترموستات (تعویض)",IF(OR(ISNUMBER(SEARCH("هيدروستات",G165)),ISNUMBER(SEARCH("هیدروستات",G165))),"خرابی - هیدروستات (تعویض)",IF(OR(ISNUMBER(SEARCH("بلبرينگ",G165)),ISNUMBER(SEARCH("بلبرینگ",G165))),"خرابی - بلبرینگ (تعویض)",IF(OR(ISNUMBER(SEARCH("شيربرق",G165)),ISNUMBER(SEARCH("شیربرق",G165))),"خرابی - شیربرقی (تعویض)",IF(OR(ISNUMBER(SEARCH("واتر جت",G165)),ISNUMBER(SEARCH("واترجت",G165))),"خرابی - واترجت (تعویض)",IF(OR(ISNUMBER(SEARCH("سيم",G165)),ISNUMBER(SEARCH("سیم",G165)),ISNUMBER(SEARCH("اتصال",G165))),"سیم‌کشی/اتصالات (تعویض/بازبینی)",IF(OR(ISNUMBER(SEARCH("تصوير",G165)),ISNUMBER(SEARCH("تصویر",G165))),"برد نمایش تلویزیون (تعویض)",IF(OR(ISNUMBER(SEARCH("ريموت",G165)),ISNUMBER(SEARCH("ریموت",G165))),"ریموت کنترل (تعویض/تعمیر)",IF(OR(ISNUMBER(SEARCH("ال اي دي",G165)),ISNUMBER(SEARCH("ال ای دی",G165)),ISNUMBER(SEARCH("LED",G165))),"خرابی - لامپ/LED داخلی (تعویض)",IF(ISNUMBER(SEARCH("زنگ زدگ",G165)),"زنگ‌زدگی بدنه/قطعه (تعویض)",IF(OR(ISNUMBER(SEARCH("قطعات تزئين",G165)),ISNUMBER(SEARCH("قطعات تزئین",G165))),"قطعات تزئینی - شکستگی/کسری (تعویض)",IF(ISNUMBER(SEARCH("سبد",G165)),"سبد ظرفشویی - شکستگی (تعویض)",IF(ISNUMBER(SEARCH("تاب درام",G165)),"خرابی - تاب برداشتن درام (تعویض)",IF(ISNUMBER(SEARCH("درام",G165)),"خرابی - سایر ایراد درام (تعویض)",IF(ISNUMBER(SEARCH("موتور",G165)),"خرابی - موتور (تعویض)",IF(ISNUMBER(SEARCH("تسمه",G165)),"خرابی - تسمه (تعویض)",IF(OR(ISNUMBER(SEARCH("پيچ ولوم",G165)),ISNUMBER(SEARCH("پیچ ولوم",G165))),"تنظیم - پیچ ولوم/دکمه (تعمیر)",IF(OR(ISNUMBER(SEARCH("کسري قطعات",G165)),ISNUMBER(SEARCH("کسری قطعات",G165))),"کسری قطعات تزئینی (تعویض)",IF(ISNUMBER(SEARCH("پرچ",G165)),"پرچ/بدنه کابین(تعمیر)",IF(OR(ISNUMBER(SEARCH("نشت",G165)),ISNUMBER(SEARCH("آبريزش",G165)),ISNUMBER(SEARCH("آبریزش",G165))),"نشتی آب - محل نامشخص (نیازمند بازدید)",IF(ISNUMBER(SEARCH("درب",G165)),"سایر اجزای درب (بازبینی)",IF(ISNUMBER(SEARCH("ضربه",G165)),"بدنه/کابین - ضربه (بازبینی/تعویض پنل)",IF(ISNUMBER(SEARCH("تراز",G165)),"تراز/لرزش - نصب (رگلاژ پایه)",IF(OR(ISNUMBER(SEARCH("تعویض",G165)),ISNUMBER(SEARCH("تعويض",G165))),"تعویض کامل دستگاه (Replacement)","سایر (نیازمند بررسی دستی)")))))))))))))))))))))))))))))))))))))))))))</f>
        <v/>
      </c>
      <c r="P165" s="124" t="inlineStr">
        <is>
          <t>*</t>
        </is>
      </c>
      <c r="Q165" s="124">
        <f>IF(ISNUMBER(SEARCH("عهده شرکت",F165)),"شرکت",IF(ISNUMBER(SEARCH("عهده مشتري",F165)),"مشتری",IF(ISNUMBER(SEARCH("عهده مشتری",F165)),"مشتری","نامشخص")))</f>
        <v/>
      </c>
      <c r="R165" s="178">
        <f>IF(O165="تعویض کامل دستگاه (Replacement)",IF(SUMIF('قیمت‌ها و مفروضات'!$A$9:$A$13,C165,'قیمت‌ها و مفروضات'!$C$9:$C$13)&lt;&gt;0,SUMIF('قیمت‌ها و مفروضات'!$A$9:$A$13,C165,'قیمت‌ها و مفروضات'!$C$9:$C$13),SUMIF('قیمت‌ها و مفروضات'!$A$9:$A$13,C165,'قیمت‌ها و مفروضات'!$B$9:$B$13)),IF(SUMIF('قیمت‌ها و مفروضات'!$A$18:$A$63,O165,'قیمت‌ها و مفروضات'!$C$18:$C$63)&lt;&gt;0,SUMIF('قیمت‌ها و مفروضات'!$A$18:$A$63,O165,'قیمت‌ها و مفروضات'!$C$18:$C$63),SUMIF('قیمت‌ها و مفروضات'!$A$18:$A$63,O165,'قیمت‌ها و مفروضات'!$B$18:$B$63)))</f>
        <v/>
      </c>
      <c r="S165" s="178">
        <f>'قیمت‌ها و مفروضات'!$B$3+'قیمت‌ها و مفروضات'!$B$4</f>
        <v/>
      </c>
      <c r="T165" s="178">
        <f>R165+S165</f>
        <v/>
      </c>
      <c r="U165" s="178">
        <f>IF(COUNTIF($E$2:E165,E165)&gt;1,"بله (تکراری)","خیر")</f>
        <v/>
      </c>
      <c r="V165" s="178">
        <f>IF(U165="بله (تکراری)",S165,0)</f>
        <v/>
      </c>
      <c r="W165" s="208" t="inlineStr"/>
      <c r="X165" s="208" t="inlineStr"/>
    </row>
    <row r="166" ht="58.5" customHeight="1" s="151">
      <c r="A166" s="176" t="n">
        <v>710000346</v>
      </c>
      <c r="B166" s="124">
        <f>CHOOSE(_xlfn.NUMBERVALUE(MID(H166,6,2)),"فروردین","اردیبهشت","خرداد","تیر","مرداد","شهریور","مهر","آبان","آذر","دی","بهمن","اسفند")</f>
        <v/>
      </c>
      <c r="C166" s="176" t="inlineStr">
        <is>
          <t>ماشين لباسشويي</t>
        </is>
      </c>
      <c r="D166" s="176" t="inlineStr">
        <is>
          <t>CWM-BMW9T1</t>
        </is>
      </c>
      <c r="E166" s="176" t="inlineStr">
        <is>
          <t>52210007N01410</t>
        </is>
      </c>
      <c r="F166" s="173" t="inlineStr">
        <is>
          <t>لرزش و حرکت محصول**اياب و ذهاب به عهده شرکت</t>
        </is>
      </c>
      <c r="G166" s="173" t="inlineStr">
        <is>
          <t>تراز پايه تنظيم</t>
        </is>
      </c>
      <c r="H166" s="176" t="inlineStr">
        <is>
          <t>1405/03/12</t>
        </is>
      </c>
      <c r="I166" s="124" t="inlineStr">
        <is>
          <t>1404/05/18</t>
        </is>
      </c>
      <c r="J166" s="124" t="inlineStr">
        <is>
          <t>1405/03/02</t>
        </is>
      </c>
      <c r="K166" s="177">
        <f>IFERROR(VLOOKUP(LEFT(H166,7),'تبدیل تاریخ'!$A$2:$B$73,2,FALSE())+VALUE(RIGHT(H166,2))-1,"")</f>
        <v/>
      </c>
      <c r="L166" s="177">
        <f>IFERROR(VLOOKUP(LEFT(I166,7),'تبدیل تاریخ'!$A$2:$B$73,2,FALSE())+VALUE(RIGHT(I166,2))-1,"")</f>
        <v/>
      </c>
      <c r="M166" s="177">
        <f>IF(J166="","",IFERROR(VLOOKUP(LEFT(J166,7),'تبدیل تاریخ'!$A$2:$B$73,2,FALSE())+VALUE(RIGHT(J166,2))-1,""))</f>
        <v/>
      </c>
      <c r="N166" s="124">
        <f>IF(OR(K166="",M166=""),"",CEILING((K166-M166)/30,1))</f>
        <v/>
      </c>
      <c r="O166" s="124">
        <f>IF(OR(ISNUMBER(SEARCH("بدون مورد",G166)),ISNUMBER(SEARCH("غير گارانتي",G166)),ISNUMBER(SEARCH("غیر گارانتی",G166)),ISNUMBER(SEARCH("بدون اجرت",G166)),ISNUMBER(SEARCH("فيلتر",G166)),ISNUMBER(SEARCH("فیلتر",G166))),"غیرگارانتی/بدون قطعه",IF(OR(ISNUMBER(SEARCH("ريست",G166)),ISNUMBER(SEARCH("ریست",G166))),"ریست نرم‌افزاری (بدون قطعه)",IF(OR(ISNUMBER(SEARCH("تعویض محصول",G166)),ISNUMBER(SEARCH("تعویض دستگاه",G166))),"تعویض کامل دستگاه (Replacement)",IF(ISNUMBER(SEARCH("پمپ",G166)),IF(ISNUMBER(SEARCH("نشت",G166)),"نشتی - پمپ تخلیه (تعمیر/آب‌بندی)","خرابی - پمپ تخلیه (تعویض)"),IF(ISNUMBER(SEARCH("کمپرسور",G166)),"خرابی - کمپرسور (تعویض)",IF(ISNUMBER(SEARCH("کمک فنر",G166)),"خرابی - کمک فنر (تعویض)",IF(ISNUMBER(SEARCH("لولا",G166)),"مکانیزم درب - لولا (تعویض)",IF(OR(ISNUMBER(SEARCH("قلاب",G166)),ISNUMBER(SEARCH("ميکروسوئيچ",G166)),ISNUMBER(SEARCH("میکروسوئیچ",G166))),"مکانیزم درب - میکروسوئیچ/قلاب (تعویض/تنظیم)",IF(ISNUMBER(SEARCH("زبانه",G166)),"مکانیزم درب - زبانه (تعویض)",IF(OR(ISNUMBER(SEARCH("شيلنگ",G166)),ISNUMBER(SEARCH("شیلنگ",G166))),IF(OR(ISNUMBER(SEARCH("نشتی",G166)),ISNUMBER(SEARCH("نشتي",G166))),"نشتی - شیلنگ (تعمیر/آب‌بندی)",IF(OR(ISNUMBER(SEARCH("يخ",G166)),ISNUMBER(SEARCH("یخ",G166))),"شیلنگ یخساز - یخ‌زدگی (بازبینی)","شیلنگ - برخورد/لهیدگی (بازبینی)")),IF(OR(ISNUMBER(SEARCH("تنظيم ديسپل",G166)),ISNUMBER(SEARCH("تنظیم دیسپل",G166)),ISNUMBER(SEARCH("تنظيم صفحه نمايش",G166)),ISNUMBER(SEARCH("تنظیم صفحه نمایش",G166))),"تنظیم - تنظیمات دستگاه/دیسپلی (تعمیر)",IF(OR(ISNUMBER(SEARCH("برد",G166)),ISNUMBER(SEARCH("سوکت",G166)),ISNUMBER(SEARCH("ديسپل",G166)),ISNUMBER(SEARCH("دیسپل",G166))),"خرابی - برد الکترونیک (تعویض)",IF(OR(ISNUMBER(SEARCH("يخساز",G166)),ISNUMBER(SEARCH("یخساز",G166)),ISNUMBER(SEARCH("دمپر",G166))),IF(OR(ISNUMBER(SEARCH("خرابی",G166)),ISNUMBER(SEARCH("خراب",G166)),ISNUMBER(SEARCH("عدم کارکرد",G166)),ISNUMBER(SEARCH("عدم عملکرد",G166))),"یخساز - خرابی موتور/سنسور/برد (تعویض)","یخساز - تنظیم/عایق (تعمیر)"),IF(OR(ISNUMBER(SEARCH("لاستيک",G166)),ISNUMBER(SEARCH("لاستیک",G166))),"لاستیک درزگیر - دفرمگی/پارگی (تعویض)",IF(OR(ISNUMBER(SEARCH("گسکت",G166)),ISNUMBER(SEARCH("گسگت",G166))),"لاستیک درزگیر - دفرمگی/پارگی (تعویض)",IF(ISNUMBER(SEARCH("مخزن نمک",G166)),"نشتی - درب مخزن نمک (تعمیر/آب‌بندی)",IF(ISNUMBER(SEARCH("براکت",G166)),"نشتی - براکت ریل (تعمیر/آب‌بندی)",IF(ISNUMBER(SEARCH("جاپودر",G166)),"نشتی - جاپودری (تعمیر/آب‌بندی)",IF(ISNUMBER(SEARCH("مقسم",G166)),"نشتی - مقسم آب (تعمیر/آب‌بندی)",IF(OR(ISNUMBER(SEARCH("سنسور دما",G166)),ISNUMBER(SEARCH("ترموستات",G166))),"خرابی - ترموستات (تعویض)",IF(OR(ISNUMBER(SEARCH("هيدروستات",G166)),ISNUMBER(SEARCH("هیدروستات",G166))),"خرابی - هیدروستات (تعویض)",IF(OR(ISNUMBER(SEARCH("بلبرينگ",G166)),ISNUMBER(SEARCH("بلبرینگ",G166))),"خرابی - بلبرینگ (تعویض)",IF(OR(ISNUMBER(SEARCH("شيربرق",G166)),ISNUMBER(SEARCH("شیربرق",G166))),"خرابی - شیربرقی (تعویض)",IF(OR(ISNUMBER(SEARCH("واتر جت",G166)),ISNUMBER(SEARCH("واترجت",G166))),"خرابی - واترجت (تعویض)",IF(OR(ISNUMBER(SEARCH("سيم",G166)),ISNUMBER(SEARCH("سیم",G166)),ISNUMBER(SEARCH("اتصال",G166))),"سیم‌کشی/اتصالات (تعویض/بازبینی)",IF(OR(ISNUMBER(SEARCH("تصوير",G166)),ISNUMBER(SEARCH("تصویر",G166))),"برد نمایش تلویزیون (تعویض)",IF(OR(ISNUMBER(SEARCH("ريموت",G166)),ISNUMBER(SEARCH("ریموت",G166))),"ریموت کنترل (تعویض/تعمیر)",IF(OR(ISNUMBER(SEARCH("ال اي دي",G166)),ISNUMBER(SEARCH("ال ای دی",G166)),ISNUMBER(SEARCH("LED",G166))),"خرابی - لامپ/LED داخلی (تعویض)",IF(ISNUMBER(SEARCH("زنگ زدگ",G166)),"زنگ‌زدگی بدنه/قطعه (تعویض)",IF(OR(ISNUMBER(SEARCH("قطعات تزئين",G166)),ISNUMBER(SEARCH("قطعات تزئین",G166))),"قطعات تزئینی - شکستگی/کسری (تعویض)",IF(ISNUMBER(SEARCH("سبد",G166)),"سبد ظرفشویی - شکستگی (تعویض)",IF(ISNUMBER(SEARCH("تاب درام",G166)),"خرابی - تاب برداشتن درام (تعویض)",IF(ISNUMBER(SEARCH("درام",G166)),"خرابی - سایر ایراد درام (تعویض)",IF(ISNUMBER(SEARCH("موتور",G166)),"خرابی - موتور (تعویض)",IF(ISNUMBER(SEARCH("تسمه",G166)),"خرابی - تسمه (تعویض)",IF(OR(ISNUMBER(SEARCH("پيچ ولوم",G166)),ISNUMBER(SEARCH("پیچ ولوم",G166))),"تنظیم - پیچ ولوم/دکمه (تعمیر)",IF(OR(ISNUMBER(SEARCH("کسري قطعات",G166)),ISNUMBER(SEARCH("کسری قطعات",G166))),"کسری قطعات تزئینی (تعویض)",IF(ISNUMBER(SEARCH("پرچ",G166)),"پرچ/بدنه کابین(تعمیر)",IF(OR(ISNUMBER(SEARCH("نشت",G166)),ISNUMBER(SEARCH("آبريزش",G166)),ISNUMBER(SEARCH("آبریزش",G166))),"نشتی آب - محل نامشخص (نیازمند بازدید)",IF(ISNUMBER(SEARCH("درب",G166)),"سایر اجزای درب (بازبینی)",IF(ISNUMBER(SEARCH("ضربه",G166)),"بدنه/کابین - ضربه (بازبینی/تعویض پنل)",IF(ISNUMBER(SEARCH("تراز",G166)),"تراز/لرزش - نصب (رگلاژ پایه)",IF(OR(ISNUMBER(SEARCH("تعویض",G166)),ISNUMBER(SEARCH("تعويض",G166))),"تعویض کامل دستگاه (Replacement)","سایر (نیازمند بررسی دستی)")))))))))))))))))))))))))))))))))))))))))))</f>
        <v/>
      </c>
      <c r="P166" s="124" t="inlineStr">
        <is>
          <t>*</t>
        </is>
      </c>
      <c r="Q166" s="124">
        <f>IF(ISNUMBER(SEARCH("عهده شرکت",F166)),"شرکت",IF(ISNUMBER(SEARCH("عهده مشتري",F166)),"مشتری",IF(ISNUMBER(SEARCH("عهده مشتری",F166)),"مشتری","نامشخص")))</f>
        <v/>
      </c>
      <c r="R166" s="178">
        <f>IF(O166="تعویض کامل دستگاه (Replacement)",IF(SUMIF('قیمت‌ها و مفروضات'!$A$9:$A$13,C166,'قیمت‌ها و مفروضات'!$C$9:$C$13)&lt;&gt;0,SUMIF('قیمت‌ها و مفروضات'!$A$9:$A$13,C166,'قیمت‌ها و مفروضات'!$C$9:$C$13),SUMIF('قیمت‌ها و مفروضات'!$A$9:$A$13,C166,'قیمت‌ها و مفروضات'!$B$9:$B$13)),IF(SUMIF('قیمت‌ها و مفروضات'!$A$18:$A$63,O166,'قیمت‌ها و مفروضات'!$C$18:$C$63)&lt;&gt;0,SUMIF('قیمت‌ها و مفروضات'!$A$18:$A$63,O166,'قیمت‌ها و مفروضات'!$C$18:$C$63),SUMIF('قیمت‌ها و مفروضات'!$A$18:$A$63,O166,'قیمت‌ها و مفروضات'!$B$18:$B$63)))</f>
        <v/>
      </c>
      <c r="S166" s="178">
        <f>'قیمت‌ها و مفروضات'!$B$3+'قیمت‌ها و مفروضات'!$B$4</f>
        <v/>
      </c>
      <c r="T166" s="178">
        <f>R166+S166</f>
        <v/>
      </c>
      <c r="U166" s="178">
        <f>IF(COUNTIF($E$2:E166,E166)&gt;1,"بله (تکراری)","خیر")</f>
        <v/>
      </c>
      <c r="V166" s="178">
        <f>IF(U166="بله (تکراری)",S166,0)</f>
        <v/>
      </c>
      <c r="W166" s="208" t="inlineStr"/>
      <c r="X166" s="208" t="inlineStr"/>
    </row>
    <row r="167" ht="58.5" customHeight="1" s="151">
      <c r="A167" s="176" t="n">
        <v>210006821</v>
      </c>
      <c r="B167" s="124">
        <f>CHOOSE(_xlfn.NUMBERVALUE(MID(H167,6,2)),"فروردین","اردیبهشت","خرداد","تیر","مرداد","شهریور","مهر","آبان","آذر","دی","بهمن","اسفند")</f>
        <v/>
      </c>
      <c r="C167" s="176" t="inlineStr">
        <is>
          <t>یخچال ساید‌بای‌ساید</t>
        </is>
      </c>
      <c r="D167" s="176" t="inlineStr">
        <is>
          <t>C2S-29HS1</t>
        </is>
      </c>
      <c r="E167" s="176" t="inlineStr">
        <is>
          <t>52240001N01110</t>
        </is>
      </c>
      <c r="F167" s="173" t="inlineStr">
        <is>
          <t>تعويض فيلتر - غيرگارانتي</t>
        </is>
      </c>
      <c r="G167" s="173" t="inlineStr">
        <is>
          <t>تعويض فيلتر / غيرگارانتي - سايد باي سايد</t>
        </is>
      </c>
      <c r="H167" s="176" t="inlineStr">
        <is>
          <t>1405/03/18</t>
        </is>
      </c>
      <c r="I167" s="124" t="inlineStr">
        <is>
          <t>1403/05/03</t>
        </is>
      </c>
      <c r="J167" s="124" t="inlineStr">
        <is>
          <t>1404/03/27</t>
        </is>
      </c>
      <c r="K167" s="177">
        <f>IFERROR(VLOOKUP(LEFT(H167,7),'تبدیل تاریخ'!$A$2:$B$73,2,FALSE())+VALUE(RIGHT(H167,2))-1,"")</f>
        <v/>
      </c>
      <c r="L167" s="177">
        <f>IFERROR(VLOOKUP(LEFT(I167,7),'تبدیل تاریخ'!$A$2:$B$73,2,FALSE())+VALUE(RIGHT(I167,2))-1,"")</f>
        <v/>
      </c>
      <c r="M167" s="177">
        <f>IF(J167="","",IFERROR(VLOOKUP(LEFT(J167,7),'تبدیل تاریخ'!$A$2:$B$73,2,FALSE())+VALUE(RIGHT(J167,2))-1,""))</f>
        <v/>
      </c>
      <c r="N167" s="124">
        <f>IF(OR(K167="",M167=""),"",CEILING((K167-M167)/30,1))</f>
        <v/>
      </c>
      <c r="O167" s="124">
        <f>IF(OR(ISNUMBER(SEARCH("بدون مورد",G167)),ISNUMBER(SEARCH("غير گارانتي",G167)),ISNUMBER(SEARCH("غیر گارانتی",G167)),ISNUMBER(SEARCH("بدون اجرت",G167)),ISNUMBER(SEARCH("فيلتر",G167)),ISNUMBER(SEARCH("فیلتر",G167))),"غیرگارانتی/بدون قطعه",IF(OR(ISNUMBER(SEARCH("ريست",G167)),ISNUMBER(SEARCH("ریست",G167))),"ریست نرم‌افزاری (بدون قطعه)",IF(OR(ISNUMBER(SEARCH("تعویض محصول",G167)),ISNUMBER(SEARCH("تعویض دستگاه",G167))),"تعویض کامل دستگاه (Replacement)",IF(ISNUMBER(SEARCH("پمپ",G167)),IF(ISNUMBER(SEARCH("نشت",G167)),"نشتی - پمپ تخلیه (تعمیر/آب‌بندی)","خرابی - پمپ تخلیه (تعویض)"),IF(ISNUMBER(SEARCH("کمپرسور",G167)),"خرابی - کمپرسور (تعویض)",IF(ISNUMBER(SEARCH("کمک فنر",G167)),"خرابی - کمک فنر (تعویض)",IF(ISNUMBER(SEARCH("لولا",G167)),"مکانیزم درب - لولا (تعویض)",IF(OR(ISNUMBER(SEARCH("قلاب",G167)),ISNUMBER(SEARCH("ميکروسوئيچ",G167)),ISNUMBER(SEARCH("میکروسوئیچ",G167))),"مکانیزم درب - میکروسوئیچ/قلاب (تعویض/تنظیم)",IF(ISNUMBER(SEARCH("زبانه",G167)),"مکانیزم درب - زبانه (تعویض)",IF(OR(ISNUMBER(SEARCH("شيلنگ",G167)),ISNUMBER(SEARCH("شیلنگ",G167))),IF(OR(ISNUMBER(SEARCH("نشتی",G167)),ISNUMBER(SEARCH("نشتي",G167))),"نشتی - شیلنگ (تعمیر/آب‌بندی)",IF(OR(ISNUMBER(SEARCH("يخ",G167)),ISNUMBER(SEARCH("یخ",G167))),"شیلنگ یخساز - یخ‌زدگی (بازبینی)","شیلنگ - برخورد/لهیدگی (بازبینی)")),IF(OR(ISNUMBER(SEARCH("تنظيم ديسپل",G167)),ISNUMBER(SEARCH("تنظیم دیسپل",G167)),ISNUMBER(SEARCH("تنظيم صفحه نمايش",G167)),ISNUMBER(SEARCH("تنظیم صفحه نمایش",G167))),"تنظیم - تنظیمات دستگاه/دیسپلی (تعمیر)",IF(OR(ISNUMBER(SEARCH("برد",G167)),ISNUMBER(SEARCH("سوکت",G167)),ISNUMBER(SEARCH("ديسپل",G167)),ISNUMBER(SEARCH("دیسپل",G167))),"خرابی - برد الکترونیک (تعویض)",IF(OR(ISNUMBER(SEARCH("يخساز",G167)),ISNUMBER(SEARCH("یخساز",G167)),ISNUMBER(SEARCH("دمپر",G167))),IF(OR(ISNUMBER(SEARCH("خرابی",G167)),ISNUMBER(SEARCH("خراب",G167)),ISNUMBER(SEARCH("عدم کارکرد",G167)),ISNUMBER(SEARCH("عدم عملکرد",G167))),"یخساز - خرابی موتور/سنسور/برد (تعویض)","یخساز - تنظیم/عایق (تعمیر)"),IF(OR(ISNUMBER(SEARCH("لاستيک",G167)),ISNUMBER(SEARCH("لاستیک",G167))),"لاستیک درزگیر - دفرمگی/پارگی (تعویض)",IF(OR(ISNUMBER(SEARCH("گسکت",G167)),ISNUMBER(SEARCH("گسگت",G167))),"لاستیک درزگیر - دفرمگی/پارگی (تعویض)",IF(ISNUMBER(SEARCH("مخزن نمک",G167)),"نشتی - درب مخزن نمک (تعمیر/آب‌بندی)",IF(ISNUMBER(SEARCH("براکت",G167)),"نشتی - براکت ریل (تعمیر/آب‌بندی)",IF(ISNUMBER(SEARCH("جاپودر",G167)),"نشتی - جاپودری (تعمیر/آب‌بندی)",IF(ISNUMBER(SEARCH("مقسم",G167)),"نشتی - مقسم آب (تعمیر/آب‌بندی)",IF(OR(ISNUMBER(SEARCH("سنسور دما",G167)),ISNUMBER(SEARCH("ترموستات",G167))),"خرابی - ترموستات (تعویض)",IF(OR(ISNUMBER(SEARCH("هيدروستات",G167)),ISNUMBER(SEARCH("هیدروستات",G167))),"خرابی - هیدروستات (تعویض)",IF(OR(ISNUMBER(SEARCH("بلبرينگ",G167)),ISNUMBER(SEARCH("بلبرینگ",G167))),"خرابی - بلبرینگ (تعویض)",IF(OR(ISNUMBER(SEARCH("شيربرق",G167)),ISNUMBER(SEARCH("شیربرق",G167))),"خرابی - شیربرقی (تعویض)",IF(OR(ISNUMBER(SEARCH("واتر جت",G167)),ISNUMBER(SEARCH("واترجت",G167))),"خرابی - واترجت (تعویض)",IF(OR(ISNUMBER(SEARCH("سيم",G167)),ISNUMBER(SEARCH("سیم",G167)),ISNUMBER(SEARCH("اتصال",G167))),"سیم‌کشی/اتصالات (تعویض/بازبینی)",IF(OR(ISNUMBER(SEARCH("تصوير",G167)),ISNUMBER(SEARCH("تصویر",G167))),"برد نمایش تلویزیون (تعویض)",IF(OR(ISNUMBER(SEARCH("ريموت",G167)),ISNUMBER(SEARCH("ریموت",G167))),"ریموت کنترل (تعویض/تعمیر)",IF(OR(ISNUMBER(SEARCH("ال اي دي",G167)),ISNUMBER(SEARCH("ال ای دی",G167)),ISNUMBER(SEARCH("LED",G167))),"خرابی - لامپ/LED داخلی (تعویض)",IF(ISNUMBER(SEARCH("زنگ زدگ",G167)),"زنگ‌زدگی بدنه/قطعه (تعویض)",IF(OR(ISNUMBER(SEARCH("قطعات تزئين",G167)),ISNUMBER(SEARCH("قطعات تزئین",G167))),"قطعات تزئینی - شکستگی/کسری (تعویض)",IF(ISNUMBER(SEARCH("سبد",G167)),"سبد ظرفشویی - شکستگی (تعویض)",IF(ISNUMBER(SEARCH("تاب درام",G167)),"خرابی - تاب برداشتن درام (تعویض)",IF(ISNUMBER(SEARCH("درام",G167)),"خرابی - سایر ایراد درام (تعویض)",IF(ISNUMBER(SEARCH("موتور",G167)),"خرابی - موتور (تعویض)",IF(ISNUMBER(SEARCH("تسمه",G167)),"خرابی - تسمه (تعویض)",IF(OR(ISNUMBER(SEARCH("پيچ ولوم",G167)),ISNUMBER(SEARCH("پیچ ولوم",G167))),"تنظیم - پیچ ولوم/دکمه (تعمیر)",IF(OR(ISNUMBER(SEARCH("کسري قطعات",G167)),ISNUMBER(SEARCH("کسری قطعات",G167))),"کسری قطعات تزئینی (تعویض)",IF(ISNUMBER(SEARCH("پرچ",G167)),"پرچ/بدنه کابین(تعمیر)",IF(OR(ISNUMBER(SEARCH("نشت",G167)),ISNUMBER(SEARCH("آبريزش",G167)),ISNUMBER(SEARCH("آبریزش",G167))),"نشتی آب - محل نامشخص (نیازمند بازدید)",IF(ISNUMBER(SEARCH("درب",G167)),"سایر اجزای درب (بازبینی)",IF(ISNUMBER(SEARCH("ضربه",G167)),"بدنه/کابین - ضربه (بازبینی/تعویض پنل)",IF(ISNUMBER(SEARCH("تراز",G167)),"تراز/لرزش - نصب (رگلاژ پایه)",IF(OR(ISNUMBER(SEARCH("تعویض",G167)),ISNUMBER(SEARCH("تعويض",G167))),"تعویض کامل دستگاه (Replacement)","سایر (نیازمند بررسی دستی)")))))))))))))))))))))))))))))))))))))))))))</f>
        <v/>
      </c>
      <c r="P167" s="124" t="inlineStr">
        <is>
          <t>*</t>
        </is>
      </c>
      <c r="Q167" s="124">
        <f>IF(ISNUMBER(SEARCH("عهده شرکت",F167)),"شرکت",IF(ISNUMBER(SEARCH("عهده مشتري",F167)),"مشتری",IF(ISNUMBER(SEARCH("عهده مشتری",F167)),"مشتری","نامشخص")))</f>
        <v/>
      </c>
      <c r="R167" s="178">
        <f>IF(O167="تعویض کامل دستگاه (Replacement)",IF(SUMIF('قیمت‌ها و مفروضات'!$A$9:$A$13,C167,'قیمت‌ها و مفروضات'!$C$9:$C$13)&lt;&gt;0,SUMIF('قیمت‌ها و مفروضات'!$A$9:$A$13,C167,'قیمت‌ها و مفروضات'!$C$9:$C$13),SUMIF('قیمت‌ها و مفروضات'!$A$9:$A$13,C167,'قیمت‌ها و مفروضات'!$B$9:$B$13)),IF(SUMIF('قیمت‌ها و مفروضات'!$A$18:$A$63,O167,'قیمت‌ها و مفروضات'!$C$18:$C$63)&lt;&gt;0,SUMIF('قیمت‌ها و مفروضات'!$A$18:$A$63,O167,'قیمت‌ها و مفروضات'!$C$18:$C$63),SUMIF('قیمت‌ها و مفروضات'!$A$18:$A$63,O167,'قیمت‌ها و مفروضات'!$B$18:$B$63)))</f>
        <v/>
      </c>
      <c r="S167" s="178">
        <f>'قیمت‌ها و مفروضات'!$B$3+'قیمت‌ها و مفروضات'!$B$4</f>
        <v/>
      </c>
      <c r="T167" s="178">
        <f>R167+S167</f>
        <v/>
      </c>
      <c r="U167" s="178">
        <f>IF(COUNTIF($E$2:E167,E167)&gt;1,"بله (تکراری)","خیر")</f>
        <v/>
      </c>
      <c r="V167" s="178">
        <f>IF(U167="بله (تکراری)",S167,0)</f>
        <v/>
      </c>
      <c r="W167" s="208" t="inlineStr"/>
      <c r="X167" s="208" t="inlineStr"/>
    </row>
    <row r="168" ht="58.5" customHeight="1" s="151">
      <c r="A168" s="176" t="n">
        <v>210006953</v>
      </c>
      <c r="B168" s="124">
        <f>CHOOSE(_xlfn.NUMBERVALUE(MID(H168,6,2)),"فروردین","اردیبهشت","خرداد","تیر","مرداد","شهریور","مهر","آبان","آذر","دی","بهمن","اسفند")</f>
        <v/>
      </c>
      <c r="C168" s="176" t="inlineStr">
        <is>
          <t>یخچال ساید‌بای‌ساید</t>
        </is>
      </c>
      <c r="D168" s="176" t="inlineStr">
        <is>
          <t>C2S-29HS1</t>
        </is>
      </c>
      <c r="E168" s="176" t="inlineStr">
        <is>
          <t>52240001N00630</t>
        </is>
      </c>
      <c r="F168" s="173" t="inlineStr">
        <is>
          <t>تعويض فيلتر - غيرگارانتي</t>
        </is>
      </c>
      <c r="G168" s="173" t="inlineStr">
        <is>
          <t>تعويض فيلتر / غيرگارانتي - سايد باي سايد</t>
        </is>
      </c>
      <c r="H168" s="176" t="inlineStr">
        <is>
          <t>1405/03/19</t>
        </is>
      </c>
      <c r="I168" s="124" t="inlineStr">
        <is>
          <t>1403/04/06</t>
        </is>
      </c>
      <c r="J168" s="124" t="inlineStr">
        <is>
          <t>1403/07/01</t>
        </is>
      </c>
      <c r="K168" s="177">
        <f>IFERROR(VLOOKUP(LEFT(H168,7),'تبدیل تاریخ'!$A$2:$B$73,2,FALSE())+VALUE(RIGHT(H168,2))-1,"")</f>
        <v/>
      </c>
      <c r="L168" s="177">
        <f>IFERROR(VLOOKUP(LEFT(I168,7),'تبدیل تاریخ'!$A$2:$B$73,2,FALSE())+VALUE(RIGHT(I168,2))-1,"")</f>
        <v/>
      </c>
      <c r="M168" s="177">
        <f>IF(J168="","",IFERROR(VLOOKUP(LEFT(J168,7),'تبدیل تاریخ'!$A$2:$B$73,2,FALSE())+VALUE(RIGHT(J168,2))-1,""))</f>
        <v/>
      </c>
      <c r="N168" s="124">
        <f>IF(OR(K168="",M168=""),"",CEILING((K168-M168)/30,1))</f>
        <v/>
      </c>
      <c r="O168" s="124">
        <f>IF(OR(ISNUMBER(SEARCH("بدون مورد",G168)),ISNUMBER(SEARCH("غير گارانتي",G168)),ISNUMBER(SEARCH("غیر گارانتی",G168)),ISNUMBER(SEARCH("بدون اجرت",G168)),ISNUMBER(SEARCH("فيلتر",G168)),ISNUMBER(SEARCH("فیلتر",G168))),"غیرگارانتی/بدون قطعه",IF(OR(ISNUMBER(SEARCH("ريست",G168)),ISNUMBER(SEARCH("ریست",G168))),"ریست نرم‌افزاری (بدون قطعه)",IF(OR(ISNUMBER(SEARCH("تعویض محصول",G168)),ISNUMBER(SEARCH("تعویض دستگاه",G168))),"تعویض کامل دستگاه (Replacement)",IF(ISNUMBER(SEARCH("پمپ",G168)),IF(ISNUMBER(SEARCH("نشت",G168)),"نشتی - پمپ تخلیه (تعمیر/آب‌بندی)","خرابی - پمپ تخلیه (تعویض)"),IF(ISNUMBER(SEARCH("کمپرسور",G168)),"خرابی - کمپرسور (تعویض)",IF(ISNUMBER(SEARCH("کمک فنر",G168)),"خرابی - کمک فنر (تعویض)",IF(ISNUMBER(SEARCH("لولا",G168)),"مکانیزم درب - لولا (تعویض)",IF(OR(ISNUMBER(SEARCH("قلاب",G168)),ISNUMBER(SEARCH("ميکروسوئيچ",G168)),ISNUMBER(SEARCH("میکروسوئیچ",G168))),"مکانیزم درب - میکروسوئیچ/قلاب (تعویض/تنظیم)",IF(ISNUMBER(SEARCH("زبانه",G168)),"مکانیزم درب - زبانه (تعویض)",IF(OR(ISNUMBER(SEARCH("شيلنگ",G168)),ISNUMBER(SEARCH("شیلنگ",G168))),IF(OR(ISNUMBER(SEARCH("نشتی",G168)),ISNUMBER(SEARCH("نشتي",G168))),"نشتی - شیلنگ (تعمیر/آب‌بندی)",IF(OR(ISNUMBER(SEARCH("يخ",G168)),ISNUMBER(SEARCH("یخ",G168))),"شیلنگ یخساز - یخ‌زدگی (بازبینی)","شیلنگ - برخورد/لهیدگی (بازبینی)")),IF(OR(ISNUMBER(SEARCH("تنظيم ديسپل",G168)),ISNUMBER(SEARCH("تنظیم دیسپل",G168)),ISNUMBER(SEARCH("تنظيم صفحه نمايش",G168)),ISNUMBER(SEARCH("تنظیم صفحه نمایش",G168))),"تنظیم - تنظیمات دستگاه/دیسپلی (تعمیر)",IF(OR(ISNUMBER(SEARCH("برد",G168)),ISNUMBER(SEARCH("سوکت",G168)),ISNUMBER(SEARCH("ديسپل",G168)),ISNUMBER(SEARCH("دیسپل",G168))),"خرابی - برد الکترونیک (تعویض)",IF(OR(ISNUMBER(SEARCH("يخساز",G168)),ISNUMBER(SEARCH("یخساز",G168)),ISNUMBER(SEARCH("دمپر",G168))),IF(OR(ISNUMBER(SEARCH("خرابی",G168)),ISNUMBER(SEARCH("خراب",G168)),ISNUMBER(SEARCH("عدم کارکرد",G168)),ISNUMBER(SEARCH("عدم عملکرد",G168))),"یخساز - خرابی موتور/سنسور/برد (تعویض)","یخساز - تنظیم/عایق (تعمیر)"),IF(OR(ISNUMBER(SEARCH("لاستيک",G168)),ISNUMBER(SEARCH("لاستیک",G168))),"لاستیک درزگیر - دفرمگی/پارگی (تعویض)",IF(OR(ISNUMBER(SEARCH("گسکت",G168)),ISNUMBER(SEARCH("گسگت",G168))),"لاستیک درزگیر - دفرمگی/پارگی (تعویض)",IF(ISNUMBER(SEARCH("مخزن نمک",G168)),"نشتی - درب مخزن نمک (تعمیر/آب‌بندی)",IF(ISNUMBER(SEARCH("براکت",G168)),"نشتی - براکت ریل (تعمیر/آب‌بندی)",IF(ISNUMBER(SEARCH("جاپودر",G168)),"نشتی - جاپودری (تعمیر/آب‌بندی)",IF(ISNUMBER(SEARCH("مقسم",G168)),"نشتی - مقسم آب (تعمیر/آب‌بندی)",IF(OR(ISNUMBER(SEARCH("سنسور دما",G168)),ISNUMBER(SEARCH("ترموستات",G168))),"خرابی - ترموستات (تعویض)",IF(OR(ISNUMBER(SEARCH("هيدروستات",G168)),ISNUMBER(SEARCH("هیدروستات",G168))),"خرابی - هیدروستات (تعویض)",IF(OR(ISNUMBER(SEARCH("بلبرينگ",G168)),ISNUMBER(SEARCH("بلبرینگ",G168))),"خرابی - بلبرینگ (تعویض)",IF(OR(ISNUMBER(SEARCH("شيربرق",G168)),ISNUMBER(SEARCH("شیربرق",G168))),"خرابی - شیربرقی (تعویض)",IF(OR(ISNUMBER(SEARCH("واتر جت",G168)),ISNUMBER(SEARCH("واترجت",G168))),"خرابی - واترجت (تعویض)",IF(OR(ISNUMBER(SEARCH("سيم",G168)),ISNUMBER(SEARCH("سیم",G168)),ISNUMBER(SEARCH("اتصال",G168))),"سیم‌کشی/اتصالات (تعویض/بازبینی)",IF(OR(ISNUMBER(SEARCH("تصوير",G168)),ISNUMBER(SEARCH("تصویر",G168))),"برد نمایش تلویزیون (تعویض)",IF(OR(ISNUMBER(SEARCH("ريموت",G168)),ISNUMBER(SEARCH("ریموت",G168))),"ریموت کنترل (تعویض/تعمیر)",IF(OR(ISNUMBER(SEARCH("ال اي دي",G168)),ISNUMBER(SEARCH("ال ای دی",G168)),ISNUMBER(SEARCH("LED",G168))),"خرابی - لامپ/LED داخلی (تعویض)",IF(ISNUMBER(SEARCH("زنگ زدگ",G168)),"زنگ‌زدگی بدنه/قطعه (تعویض)",IF(OR(ISNUMBER(SEARCH("قطعات تزئين",G168)),ISNUMBER(SEARCH("قطعات تزئین",G168))),"قطعات تزئینی - شکستگی/کسری (تعویض)",IF(ISNUMBER(SEARCH("سبد",G168)),"سبد ظرفشویی - شکستگی (تعویض)",IF(ISNUMBER(SEARCH("تاب درام",G168)),"خرابی - تاب برداشتن درام (تعویض)",IF(ISNUMBER(SEARCH("درام",G168)),"خرابی - سایر ایراد درام (تعویض)",IF(ISNUMBER(SEARCH("موتور",G168)),"خرابی - موتور (تعویض)",IF(ISNUMBER(SEARCH("تسمه",G168)),"خرابی - تسمه (تعویض)",IF(OR(ISNUMBER(SEARCH("پيچ ولوم",G168)),ISNUMBER(SEARCH("پیچ ولوم",G168))),"تنظیم - پیچ ولوم/دکمه (تعمیر)",IF(OR(ISNUMBER(SEARCH("کسري قطعات",G168)),ISNUMBER(SEARCH("کسری قطعات",G168))),"کسری قطعات تزئینی (تعویض)",IF(ISNUMBER(SEARCH("پرچ",G168)),"پرچ/بدنه کابین(تعمیر)",IF(OR(ISNUMBER(SEARCH("نشت",G168)),ISNUMBER(SEARCH("آبريزش",G168)),ISNUMBER(SEARCH("آبریزش",G168))),"نشتی آب - محل نامشخص (نیازمند بازدید)",IF(ISNUMBER(SEARCH("درب",G168)),"سایر اجزای درب (بازبینی)",IF(ISNUMBER(SEARCH("ضربه",G168)),"بدنه/کابین - ضربه (بازبینی/تعویض پنل)",IF(ISNUMBER(SEARCH("تراز",G168)),"تراز/لرزش - نصب (رگلاژ پایه)",IF(OR(ISNUMBER(SEARCH("تعویض",G168)),ISNUMBER(SEARCH("تعويض",G168))),"تعویض کامل دستگاه (Replacement)","سایر (نیازمند بررسی دستی)")))))))))))))))))))))))))))))))))))))))))))</f>
        <v/>
      </c>
      <c r="P168" s="124" t="inlineStr">
        <is>
          <t>*</t>
        </is>
      </c>
      <c r="Q168" s="124">
        <f>IF(ISNUMBER(SEARCH("عهده شرکت",F168)),"شرکت",IF(ISNUMBER(SEARCH("عهده مشتري",F168)),"مشتری",IF(ISNUMBER(SEARCH("عهده مشتری",F168)),"مشتری","نامشخص")))</f>
        <v/>
      </c>
      <c r="R168" s="178">
        <f>IF(O168="تعویض کامل دستگاه (Replacement)",IF(SUMIF('قیمت‌ها و مفروضات'!$A$9:$A$13,C168,'قیمت‌ها و مفروضات'!$C$9:$C$13)&lt;&gt;0,SUMIF('قیمت‌ها و مفروضات'!$A$9:$A$13,C168,'قیمت‌ها و مفروضات'!$C$9:$C$13),SUMIF('قیمت‌ها و مفروضات'!$A$9:$A$13,C168,'قیمت‌ها و مفروضات'!$B$9:$B$13)),IF(SUMIF('قیمت‌ها و مفروضات'!$A$18:$A$63,O168,'قیمت‌ها و مفروضات'!$C$18:$C$63)&lt;&gt;0,SUMIF('قیمت‌ها و مفروضات'!$A$18:$A$63,O168,'قیمت‌ها و مفروضات'!$C$18:$C$63),SUMIF('قیمت‌ها و مفروضات'!$A$18:$A$63,O168,'قیمت‌ها و مفروضات'!$B$18:$B$63)))</f>
        <v/>
      </c>
      <c r="S168" s="178">
        <f>'قیمت‌ها و مفروضات'!$B$3+'قیمت‌ها و مفروضات'!$B$4</f>
        <v/>
      </c>
      <c r="T168" s="178">
        <f>R168+S168</f>
        <v/>
      </c>
      <c r="U168" s="178">
        <f>IF(COUNTIF($E$2:E168,E168)&gt;1,"بله (تکراری)","خیر")</f>
        <v/>
      </c>
      <c r="V168" s="178">
        <f>IF(U168="بله (تکراری)",S168,0)</f>
        <v/>
      </c>
      <c r="W168" s="208" t="inlineStr"/>
      <c r="X168" s="208" t="inlineStr"/>
    </row>
    <row r="169" ht="58.5" customHeight="1" s="151">
      <c r="A169" s="176" t="n">
        <v>210009082</v>
      </c>
      <c r="B169" s="124">
        <f>CHOOSE(_xlfn.NUMBERVALUE(MID(H169,6,2)),"فروردین","اردیبهشت","خرداد","تیر","مرداد","شهریور","مهر","آبان","آذر","دی","بهمن","اسفند")</f>
        <v/>
      </c>
      <c r="C169" s="176" t="inlineStr">
        <is>
          <t>یخچال ساید‌بای‌ساید</t>
        </is>
      </c>
      <c r="D169" s="176" t="inlineStr">
        <is>
          <t>C2S-29HS1</t>
        </is>
      </c>
      <c r="E169" s="176" t="inlineStr">
        <is>
          <t>52240001N01164</t>
        </is>
      </c>
      <c r="F169" s="173" t="inlineStr">
        <is>
          <t>عدم کارکرد يخساز**اياب و ذهاب به عهده شرکت</t>
        </is>
      </c>
      <c r="G169" s="173" t="inlineStr">
        <is>
          <t>اصلاح دمپر پلاستيکي پشت کابين - سايد باي سايد</t>
        </is>
      </c>
      <c r="H169" s="176" t="inlineStr">
        <is>
          <t>1405/03/22</t>
        </is>
      </c>
      <c r="I169" s="124" t="inlineStr">
        <is>
          <t>1403/04/24</t>
        </is>
      </c>
      <c r="J169" s="124" t="inlineStr">
        <is>
          <t>1404/09/29</t>
        </is>
      </c>
      <c r="K169" s="177">
        <f>IFERROR(VLOOKUP(LEFT(H169,7),'تبدیل تاریخ'!$A$2:$B$73,2,FALSE())+VALUE(RIGHT(H169,2))-1,"")</f>
        <v/>
      </c>
      <c r="L169" s="177">
        <f>IFERROR(VLOOKUP(LEFT(I169,7),'تبدیل تاریخ'!$A$2:$B$73,2,FALSE())+VALUE(RIGHT(I169,2))-1,"")</f>
        <v/>
      </c>
      <c r="M169" s="177">
        <f>IF(J169="","",IFERROR(VLOOKUP(LEFT(J169,7),'تبدیل تاریخ'!$A$2:$B$73,2,FALSE())+VALUE(RIGHT(J169,2))-1,""))</f>
        <v/>
      </c>
      <c r="N169" s="124">
        <f>IF(OR(K169="",M169=""),"",CEILING((K169-M169)/30,1))</f>
        <v/>
      </c>
      <c r="O169" s="124">
        <f>IF(OR(ISNUMBER(SEARCH("بدون مورد",G169)),ISNUMBER(SEARCH("غير گارانتي",G169)),ISNUMBER(SEARCH("غیر گارانتی",G169)),ISNUMBER(SEARCH("بدون اجرت",G169)),ISNUMBER(SEARCH("فيلتر",G169)),ISNUMBER(SEARCH("فیلتر",G169))),"غیرگارانتی/بدون قطعه",IF(OR(ISNUMBER(SEARCH("ريست",G169)),ISNUMBER(SEARCH("ریست",G169))),"ریست نرم‌افزاری (بدون قطعه)",IF(OR(ISNUMBER(SEARCH("تعویض محصول",G169)),ISNUMBER(SEARCH("تعویض دستگاه",G169))),"تعویض کامل دستگاه (Replacement)",IF(ISNUMBER(SEARCH("پمپ",G169)),IF(ISNUMBER(SEARCH("نشت",G169)),"نشتی - پمپ تخلیه (تعمیر/آب‌بندی)","خرابی - پمپ تخلیه (تعویض)"),IF(ISNUMBER(SEARCH("کمپرسور",G169)),"خرابی - کمپرسور (تعویض)",IF(ISNUMBER(SEARCH("کمک فنر",G169)),"خرابی - کمک فنر (تعویض)",IF(ISNUMBER(SEARCH("لولا",G169)),"مکانیزم درب - لولا (تعویض)",IF(OR(ISNUMBER(SEARCH("قلاب",G169)),ISNUMBER(SEARCH("ميکروسوئيچ",G169)),ISNUMBER(SEARCH("میکروسوئیچ",G169))),"مکانیزم درب - میکروسوئیچ/قلاب (تعویض/تنظیم)",IF(ISNUMBER(SEARCH("زبانه",G169)),"مکانیزم درب - زبانه (تعویض)",IF(OR(ISNUMBER(SEARCH("شيلنگ",G169)),ISNUMBER(SEARCH("شیلنگ",G169))),IF(OR(ISNUMBER(SEARCH("نشتی",G169)),ISNUMBER(SEARCH("نشتي",G169))),"نشتی - شیلنگ (تعمیر/آب‌بندی)",IF(OR(ISNUMBER(SEARCH("يخ",G169)),ISNUMBER(SEARCH("یخ",G169))),"شیلنگ یخساز - یخ‌زدگی (بازبینی)","شیلنگ - برخورد/لهیدگی (بازبینی)")),IF(OR(ISNUMBER(SEARCH("تنظيم ديسپل",G169)),ISNUMBER(SEARCH("تنظیم دیسپل",G169)),ISNUMBER(SEARCH("تنظيم صفحه نمايش",G169)),ISNUMBER(SEARCH("تنظیم صفحه نمایش",G169))),"تنظیم - تنظیمات دستگاه/دیسپلی (تعمیر)",IF(OR(ISNUMBER(SEARCH("برد",G169)),ISNUMBER(SEARCH("سوکت",G169)),ISNUMBER(SEARCH("ديسپل",G169)),ISNUMBER(SEARCH("دیسپل",G169))),"خرابی - برد الکترونیک (تعویض)",IF(OR(ISNUMBER(SEARCH("يخساز",G169)),ISNUMBER(SEARCH("یخساز",G169)),ISNUMBER(SEARCH("دمپر",G169))),IF(OR(ISNUMBER(SEARCH("خرابی",G169)),ISNUMBER(SEARCH("خراب",G169)),ISNUMBER(SEARCH("عدم کارکرد",G169)),ISNUMBER(SEARCH("عدم عملکرد",G169))),"یخساز - خرابی موتور/سنسور/برد (تعویض)","یخساز - تنظیم/عایق (تعمیر)"),IF(OR(ISNUMBER(SEARCH("لاستيک",G169)),ISNUMBER(SEARCH("لاستیک",G169))),"لاستیک درزگیر - دفرمگی/پارگی (تعویض)",IF(OR(ISNUMBER(SEARCH("گسکت",G169)),ISNUMBER(SEARCH("گسگت",G169))),"لاستیک درزگیر - دفرمگی/پارگی (تعویض)",IF(ISNUMBER(SEARCH("مخزن نمک",G169)),"نشتی - درب مخزن نمک (تعمیر/آب‌بندی)",IF(ISNUMBER(SEARCH("براکت",G169)),"نشتی - براکت ریل (تعمیر/آب‌بندی)",IF(ISNUMBER(SEARCH("جاپودر",G169)),"نشتی - جاپودری (تعمیر/آب‌بندی)",IF(ISNUMBER(SEARCH("مقسم",G169)),"نشتی - مقسم آب (تعمیر/آب‌بندی)",IF(OR(ISNUMBER(SEARCH("سنسور دما",G169)),ISNUMBER(SEARCH("ترموستات",G169))),"خرابی - ترموستات (تعویض)",IF(OR(ISNUMBER(SEARCH("هيدروستات",G169)),ISNUMBER(SEARCH("هیدروستات",G169))),"خرابی - هیدروستات (تعویض)",IF(OR(ISNUMBER(SEARCH("بلبرينگ",G169)),ISNUMBER(SEARCH("بلبرینگ",G169))),"خرابی - بلبرینگ (تعویض)",IF(OR(ISNUMBER(SEARCH("شيربرق",G169)),ISNUMBER(SEARCH("شیربرق",G169))),"خرابی - شیربرقی (تعویض)",IF(OR(ISNUMBER(SEARCH("واتر جت",G169)),ISNUMBER(SEARCH("واترجت",G169))),"خرابی - واترجت (تعویض)",IF(OR(ISNUMBER(SEARCH("سيم",G169)),ISNUMBER(SEARCH("سیم",G169)),ISNUMBER(SEARCH("اتصال",G169))),"سیم‌کشی/اتصالات (تعویض/بازبینی)",IF(OR(ISNUMBER(SEARCH("تصوير",G169)),ISNUMBER(SEARCH("تصویر",G169))),"برد نمایش تلویزیون (تعویض)",IF(OR(ISNUMBER(SEARCH("ريموت",G169)),ISNUMBER(SEARCH("ریموت",G169))),"ریموت کنترل (تعویض/تعمیر)",IF(OR(ISNUMBER(SEARCH("ال اي دي",G169)),ISNUMBER(SEARCH("ال ای دی",G169)),ISNUMBER(SEARCH("LED",G169))),"خرابی - لامپ/LED داخلی (تعویض)",IF(ISNUMBER(SEARCH("زنگ زدگ",G169)),"زنگ‌زدگی بدنه/قطعه (تعویض)",IF(OR(ISNUMBER(SEARCH("قطعات تزئين",G169)),ISNUMBER(SEARCH("قطعات تزئین",G169))),"قطعات تزئینی - شکستگی/کسری (تعویض)",IF(ISNUMBER(SEARCH("سبد",G169)),"سبد ظرفشویی - شکستگی (تعویض)",IF(ISNUMBER(SEARCH("تاب درام",G169)),"خرابی - تاب برداشتن درام (تعویض)",IF(ISNUMBER(SEARCH("درام",G169)),"خرابی - سایر ایراد درام (تعویض)",IF(ISNUMBER(SEARCH("موتور",G169)),"خرابی - موتور (تعویض)",IF(ISNUMBER(SEARCH("تسمه",G169)),"خرابی - تسمه (تعویض)",IF(OR(ISNUMBER(SEARCH("پيچ ولوم",G169)),ISNUMBER(SEARCH("پیچ ولوم",G169))),"تنظیم - پیچ ولوم/دکمه (تعمیر)",IF(OR(ISNUMBER(SEARCH("کسري قطعات",G169)),ISNUMBER(SEARCH("کسری قطعات",G169))),"کسری قطعات تزئینی (تعویض)",IF(ISNUMBER(SEARCH("پرچ",G169)),"پرچ/بدنه کابین(تعمیر)",IF(OR(ISNUMBER(SEARCH("نشت",G169)),ISNUMBER(SEARCH("آبريزش",G169)),ISNUMBER(SEARCH("آبریزش",G169))),"نشتی آب - محل نامشخص (نیازمند بازدید)",IF(ISNUMBER(SEARCH("درب",G169)),"سایر اجزای درب (بازبینی)",IF(ISNUMBER(SEARCH("ضربه",G169)),"بدنه/کابین - ضربه (بازبینی/تعویض پنل)",IF(ISNUMBER(SEARCH("تراز",G169)),"تراز/لرزش - نصب (رگلاژ پایه)",IF(OR(ISNUMBER(SEARCH("تعویض",G169)),ISNUMBER(SEARCH("تعويض",G169))),"تعویض کامل دستگاه (Replacement)","سایر (نیازمند بررسی دستی)")))))))))))))))))))))))))))))))))))))))))))</f>
        <v/>
      </c>
      <c r="P169" s="124" t="inlineStr">
        <is>
          <t>*</t>
        </is>
      </c>
      <c r="Q169" s="124">
        <f>IF(ISNUMBER(SEARCH("عهده شرکت",F169)),"شرکت",IF(ISNUMBER(SEARCH("عهده مشتري",F169)),"مشتری",IF(ISNUMBER(SEARCH("عهده مشتری",F169)),"مشتری","نامشخص")))</f>
        <v/>
      </c>
      <c r="R169" s="178">
        <f>IF(O169="تعویض کامل دستگاه (Replacement)",IF(SUMIF('قیمت‌ها و مفروضات'!$A$9:$A$13,C169,'قیمت‌ها و مفروضات'!$C$9:$C$13)&lt;&gt;0,SUMIF('قیمت‌ها و مفروضات'!$A$9:$A$13,C169,'قیمت‌ها و مفروضات'!$C$9:$C$13),SUMIF('قیمت‌ها و مفروضات'!$A$9:$A$13,C169,'قیمت‌ها و مفروضات'!$B$9:$B$13)),IF(SUMIF('قیمت‌ها و مفروضات'!$A$18:$A$63,O169,'قیمت‌ها و مفروضات'!$C$18:$C$63)&lt;&gt;0,SUMIF('قیمت‌ها و مفروضات'!$A$18:$A$63,O169,'قیمت‌ها و مفروضات'!$C$18:$C$63),SUMIF('قیمت‌ها و مفروضات'!$A$18:$A$63,O169,'قیمت‌ها و مفروضات'!$B$18:$B$63)))</f>
        <v/>
      </c>
      <c r="S169" s="178">
        <f>'قیمت‌ها و مفروضات'!$B$3+'قیمت‌ها و مفروضات'!$B$4</f>
        <v/>
      </c>
      <c r="T169" s="178">
        <f>R169+S169</f>
        <v/>
      </c>
      <c r="U169" s="178">
        <f>IF(COUNTIF($E$2:E169,E169)&gt;1,"بله (تکراری)","خیر")</f>
        <v/>
      </c>
      <c r="V169" s="178">
        <f>IF(U169="بله (تکراری)",S169,0)</f>
        <v/>
      </c>
      <c r="W169" s="208" t="inlineStr"/>
      <c r="X169" s="208" t="inlineStr"/>
    </row>
    <row r="170" ht="58.5" customHeight="1" s="151">
      <c r="A170" s="176" t="n">
        <v>210006091</v>
      </c>
      <c r="B170" s="124">
        <f>CHOOSE(_xlfn.NUMBERVALUE(MID(H170,6,2)),"فروردین","اردیبهشت","خرداد","تیر","مرداد","شهریور","مهر","آبان","آذر","دی","بهمن","اسفند")</f>
        <v/>
      </c>
      <c r="C170" s="176" t="inlineStr">
        <is>
          <t>ماشين ظرفشويي</t>
        </is>
      </c>
      <c r="D170" s="176" t="inlineStr">
        <is>
          <t>CDW-H16T</t>
        </is>
      </c>
      <c r="E170" s="176" t="inlineStr">
        <is>
          <t>52220004N02155</t>
        </is>
      </c>
      <c r="F170" s="173" t="inlineStr">
        <is>
          <t>اياب و ذهاب به عهده شرکت از کار افتادن محصول</t>
        </is>
      </c>
      <c r="G170" s="173" t="inlineStr">
        <is>
          <t>خرابي برد - از کار افتادن</t>
        </is>
      </c>
      <c r="H170" s="176" t="inlineStr">
        <is>
          <t>1405/03/17</t>
        </is>
      </c>
      <c r="I170" s="124" t="inlineStr">
        <is>
          <t>1404/01/19</t>
        </is>
      </c>
      <c r="J170" s="124" t="inlineStr">
        <is>
          <t>1404/06/13</t>
        </is>
      </c>
      <c r="K170" s="177">
        <f>IFERROR(VLOOKUP(LEFT(H170,7),'تبدیل تاریخ'!$A$2:$B$73,2,FALSE())+VALUE(RIGHT(H170,2))-1,"")</f>
        <v/>
      </c>
      <c r="L170" s="177">
        <f>IFERROR(VLOOKUP(LEFT(I170,7),'تبدیل تاریخ'!$A$2:$B$73,2,FALSE())+VALUE(RIGHT(I170,2))-1,"")</f>
        <v/>
      </c>
      <c r="M170" s="177">
        <f>IF(J170="","",IFERROR(VLOOKUP(LEFT(J170,7),'تبدیل تاریخ'!$A$2:$B$73,2,FALSE())+VALUE(RIGHT(J170,2))-1,""))</f>
        <v/>
      </c>
      <c r="N170" s="124">
        <f>IF(OR(K170="",M170=""),"",CEILING((K170-M170)/30,1))</f>
        <v/>
      </c>
      <c r="O170" s="124">
        <f>IF(OR(ISNUMBER(SEARCH("بدون مورد",G170)),ISNUMBER(SEARCH("غير گارانتي",G170)),ISNUMBER(SEARCH("غیر گارانتی",G170)),ISNUMBER(SEARCH("بدون اجرت",G170)),ISNUMBER(SEARCH("فيلتر",G170)),ISNUMBER(SEARCH("فیلتر",G170))),"غیرگارانتی/بدون قطعه",IF(OR(ISNUMBER(SEARCH("ريست",G170)),ISNUMBER(SEARCH("ریست",G170))),"ریست نرم‌افزاری (بدون قطعه)",IF(OR(ISNUMBER(SEARCH("تعویض محصول",G170)),ISNUMBER(SEARCH("تعویض دستگاه",G170))),"تعویض کامل دستگاه (Replacement)",IF(ISNUMBER(SEARCH("پمپ",G170)),IF(ISNUMBER(SEARCH("نشت",G170)),"نشتی - پمپ تخلیه (تعمیر/آب‌بندی)","خرابی - پمپ تخلیه (تعویض)"),IF(ISNUMBER(SEARCH("کمپرسور",G170)),"خرابی - کمپرسور (تعویض)",IF(ISNUMBER(SEARCH("کمک فنر",G170)),"خرابی - کمک فنر (تعویض)",IF(ISNUMBER(SEARCH("لولا",G170)),"مکانیزم درب - لولا (تعویض)",IF(OR(ISNUMBER(SEARCH("قلاب",G170)),ISNUMBER(SEARCH("ميکروسوئيچ",G170)),ISNUMBER(SEARCH("میکروسوئیچ",G170))),"مکانیزم درب - میکروسوئیچ/قلاب (تعویض/تنظیم)",IF(ISNUMBER(SEARCH("زبانه",G170)),"مکانیزم درب - زبانه (تعویض)",IF(OR(ISNUMBER(SEARCH("شيلنگ",G170)),ISNUMBER(SEARCH("شیلنگ",G170))),IF(OR(ISNUMBER(SEARCH("نشتی",G170)),ISNUMBER(SEARCH("نشتي",G170))),"نشتی - شیلنگ (تعمیر/آب‌بندی)",IF(OR(ISNUMBER(SEARCH("يخ",G170)),ISNUMBER(SEARCH("یخ",G170))),"شیلنگ یخساز - یخ‌زدگی (بازبینی)","شیلنگ - برخورد/لهیدگی (بازبینی)")),IF(OR(ISNUMBER(SEARCH("تنظيم ديسپل",G170)),ISNUMBER(SEARCH("تنظیم دیسپل",G170)),ISNUMBER(SEARCH("تنظيم صفحه نمايش",G170)),ISNUMBER(SEARCH("تنظیم صفحه نمایش",G170))),"تنظیم - تنظیمات دستگاه/دیسپلی (تعمیر)",IF(OR(ISNUMBER(SEARCH("برد",G170)),ISNUMBER(SEARCH("سوکت",G170)),ISNUMBER(SEARCH("ديسپل",G170)),ISNUMBER(SEARCH("دیسپل",G170))),"خرابی - برد الکترونیک (تعویض)",IF(OR(ISNUMBER(SEARCH("يخساز",G170)),ISNUMBER(SEARCH("یخساز",G170)),ISNUMBER(SEARCH("دمپر",G170))),IF(OR(ISNUMBER(SEARCH("خرابی",G170)),ISNUMBER(SEARCH("خراب",G170)),ISNUMBER(SEARCH("عدم کارکرد",G170)),ISNUMBER(SEARCH("عدم عملکرد",G170))),"یخساز - خرابی موتور/سنسور/برد (تعویض)","یخساز - تنظیم/عایق (تعمیر)"),IF(OR(ISNUMBER(SEARCH("لاستيک",G170)),ISNUMBER(SEARCH("لاستیک",G170))),"لاستیک درزگیر - دفرمگی/پارگی (تعویض)",IF(OR(ISNUMBER(SEARCH("گسکت",G170)),ISNUMBER(SEARCH("گسگت",G170))),"لاستیک درزگیر - دفرمگی/پارگی (تعویض)",IF(ISNUMBER(SEARCH("مخزن نمک",G170)),"نشتی - درب مخزن نمک (تعمیر/آب‌بندی)",IF(ISNUMBER(SEARCH("براکت",G170)),"نشتی - براکت ریل (تعمیر/آب‌بندی)",IF(ISNUMBER(SEARCH("جاپودر",G170)),"نشتی - جاپودری (تعمیر/آب‌بندی)",IF(ISNUMBER(SEARCH("مقسم",G170)),"نشتی - مقسم آب (تعمیر/آب‌بندی)",IF(OR(ISNUMBER(SEARCH("سنسور دما",G170)),ISNUMBER(SEARCH("ترموستات",G170))),"خرابی - ترموستات (تعویض)",IF(OR(ISNUMBER(SEARCH("هيدروستات",G170)),ISNUMBER(SEARCH("هیدروستات",G170))),"خرابی - هیدروستات (تعویض)",IF(OR(ISNUMBER(SEARCH("بلبرينگ",G170)),ISNUMBER(SEARCH("بلبرینگ",G170))),"خرابی - بلبرینگ (تعویض)",IF(OR(ISNUMBER(SEARCH("شيربرق",G170)),ISNUMBER(SEARCH("شیربرق",G170))),"خرابی - شیربرقی (تعویض)",IF(OR(ISNUMBER(SEARCH("واتر جت",G170)),ISNUMBER(SEARCH("واترجت",G170))),"خرابی - واترجت (تعویض)",IF(OR(ISNUMBER(SEARCH("سيم",G170)),ISNUMBER(SEARCH("سیم",G170)),ISNUMBER(SEARCH("اتصال",G170))),"سیم‌کشی/اتصالات (تعویض/بازبینی)",IF(OR(ISNUMBER(SEARCH("تصوير",G170)),ISNUMBER(SEARCH("تصویر",G170))),"برد نمایش تلویزیون (تعویض)",IF(OR(ISNUMBER(SEARCH("ريموت",G170)),ISNUMBER(SEARCH("ریموت",G170))),"ریموت کنترل (تعویض/تعمیر)",IF(OR(ISNUMBER(SEARCH("ال اي دي",G170)),ISNUMBER(SEARCH("ال ای دی",G170)),ISNUMBER(SEARCH("LED",G170))),"خرابی - لامپ/LED داخلی (تعویض)",IF(ISNUMBER(SEARCH("زنگ زدگ",G170)),"زنگ‌زدگی بدنه/قطعه (تعویض)",IF(OR(ISNUMBER(SEARCH("قطعات تزئين",G170)),ISNUMBER(SEARCH("قطعات تزئین",G170))),"قطعات تزئینی - شکستگی/کسری (تعویض)",IF(ISNUMBER(SEARCH("سبد",G170)),"سبد ظرفشویی - شکستگی (تعویض)",IF(ISNUMBER(SEARCH("تاب درام",G170)),"خرابی - تاب برداشتن درام (تعویض)",IF(ISNUMBER(SEARCH("درام",G170)),"خرابی - سایر ایراد درام (تعویض)",IF(ISNUMBER(SEARCH("موتور",G170)),"خرابی - موتور (تعویض)",IF(ISNUMBER(SEARCH("تسمه",G170)),"خرابی - تسمه (تعویض)",IF(OR(ISNUMBER(SEARCH("پيچ ولوم",G170)),ISNUMBER(SEARCH("پیچ ولوم",G170))),"تنظیم - پیچ ولوم/دکمه (تعمیر)",IF(OR(ISNUMBER(SEARCH("کسري قطعات",G170)),ISNUMBER(SEARCH("کسری قطعات",G170))),"کسری قطعات تزئینی (تعویض)",IF(ISNUMBER(SEARCH("پرچ",G170)),"پرچ/بدنه کابین(تعمیر)",IF(OR(ISNUMBER(SEARCH("نشت",G170)),ISNUMBER(SEARCH("آبريزش",G170)),ISNUMBER(SEARCH("آبریزش",G170))),"نشتی آب - محل نامشخص (نیازمند بازدید)",IF(ISNUMBER(SEARCH("درب",G170)),"سایر اجزای درب (بازبینی)",IF(ISNUMBER(SEARCH("ضربه",G170)),"بدنه/کابین - ضربه (بازبینی/تعویض پنل)",IF(ISNUMBER(SEARCH("تراز",G170)),"تراز/لرزش - نصب (رگلاژ پایه)",IF(OR(ISNUMBER(SEARCH("تعویض",G170)),ISNUMBER(SEARCH("تعويض",G170))),"تعویض کامل دستگاه (Replacement)","سایر (نیازمند بررسی دستی)")))))))))))))))))))))))))))))))))))))))))))</f>
        <v/>
      </c>
      <c r="P170" s="124" t="inlineStr">
        <is>
          <t>برد ظرفشویی</t>
        </is>
      </c>
      <c r="Q170" s="124">
        <f>IF(ISNUMBER(SEARCH("عهده شرکت",F170)),"شرکت",IF(ISNUMBER(SEARCH("عهده مشتري",F170)),"مشتری",IF(ISNUMBER(SEARCH("عهده مشتری",F170)),"مشتری","نامشخص")))</f>
        <v/>
      </c>
      <c r="R170" s="178">
        <f>IF(O170="تعویض کامل دستگاه (Replacement)",IF(SUMIF('قیمت‌ها و مفروضات'!$A$9:$A$13,C170,'قیمت‌ها و مفروضات'!$C$9:$C$13)&lt;&gt;0,SUMIF('قیمت‌ها و مفروضات'!$A$9:$A$13,C170,'قیمت‌ها و مفروضات'!$C$9:$C$13),SUMIF('قیمت‌ها و مفروضات'!$A$9:$A$13,C170,'قیمت‌ها و مفروضات'!$B$9:$B$13)),IF(SUMIF('قیمت‌ها و مفروضات'!$A$18:$A$63,O170,'قیمت‌ها و مفروضات'!$C$18:$C$63)&lt;&gt;0,SUMIF('قیمت‌ها و مفروضات'!$A$18:$A$63,O170,'قیمت‌ها و مفروضات'!$C$18:$C$63),SUMIF('قیمت‌ها و مفروضات'!$A$18:$A$63,O170,'قیمت‌ها و مفروضات'!$B$18:$B$63)))</f>
        <v/>
      </c>
      <c r="S170" s="178">
        <f>'قیمت‌ها و مفروضات'!$B$3+'قیمت‌ها و مفروضات'!$B$4</f>
        <v/>
      </c>
      <c r="T170" s="178">
        <f>R170+S170</f>
        <v/>
      </c>
      <c r="U170" s="178">
        <f>IF(COUNTIF($E$2:E170,E170)&gt;1,"بله (تکراری)","خیر")</f>
        <v/>
      </c>
      <c r="V170" s="178">
        <f>IF(U170="بله (تکراری)",S170,0)</f>
        <v/>
      </c>
      <c r="W170" s="208" t="inlineStr"/>
      <c r="X170" s="208" t="inlineStr"/>
    </row>
    <row r="171" ht="58.5" customHeight="1" s="151">
      <c r="A171" s="176" t="n">
        <v>210008839</v>
      </c>
      <c r="B171" s="124">
        <f>CHOOSE(_xlfn.NUMBERVALUE(MID(H171,6,2)),"فروردین","اردیبهشت","خرداد","تیر","مرداد","شهریور","مهر","آبان","آذر","دی","بهمن","اسفند")</f>
        <v/>
      </c>
      <c r="C171" s="176" t="inlineStr">
        <is>
          <t>ماشين ظرفشويي</t>
        </is>
      </c>
      <c r="D171" s="176" t="inlineStr">
        <is>
          <t>CDW-H15V</t>
        </is>
      </c>
      <c r="E171" s="176" t="inlineStr">
        <is>
          <t>52220003N00607</t>
        </is>
      </c>
      <c r="F171" s="173" t="inlineStr">
        <is>
          <t>از کار افتادن محصول**اياب و ذهاب به عهده مشتري</t>
        </is>
      </c>
      <c r="G171" s="173" t="inlineStr">
        <is>
          <t>نشتي از اورینگ  پمپ تخليه</t>
        </is>
      </c>
      <c r="H171" s="176" t="inlineStr">
        <is>
          <t>1405/03/23</t>
        </is>
      </c>
      <c r="I171" s="124" t="inlineStr">
        <is>
          <t>1403/03/26</t>
        </is>
      </c>
      <c r="J171" s="124" t="inlineStr">
        <is>
          <t>1403/04/16</t>
        </is>
      </c>
      <c r="K171" s="177">
        <f>IFERROR(VLOOKUP(LEFT(H171,7),'تبدیل تاریخ'!$A$2:$B$73,2,FALSE())+VALUE(RIGHT(H171,2))-1,"")</f>
        <v/>
      </c>
      <c r="L171" s="177">
        <f>IFERROR(VLOOKUP(LEFT(I171,7),'تبدیل تاریخ'!$A$2:$B$73,2,FALSE())+VALUE(RIGHT(I171,2))-1,"")</f>
        <v/>
      </c>
      <c r="M171" s="177">
        <f>IF(J171="","",IFERROR(VLOOKUP(LEFT(J171,7),'تبدیل تاریخ'!$A$2:$B$73,2,FALSE())+VALUE(RIGHT(J171,2))-1,""))</f>
        <v/>
      </c>
      <c r="N171" s="124">
        <f>IF(OR(K171="",M171=""),"",CEILING((K171-M171)/30,1))</f>
        <v/>
      </c>
      <c r="O171" s="124">
        <f>IF(OR(ISNUMBER(SEARCH("بدون مورد",G171)),ISNUMBER(SEARCH("غير گارانتي",G171)),ISNUMBER(SEARCH("غیر گارانتی",G171)),ISNUMBER(SEARCH("بدون اجرت",G171)),ISNUMBER(SEARCH("فيلتر",G171)),ISNUMBER(SEARCH("فیلتر",G171))),"غیرگارانتی/بدون قطعه",IF(OR(ISNUMBER(SEARCH("ريست",G171)),ISNUMBER(SEARCH("ریست",G171))),"ریست نرم‌افزاری (بدون قطعه)",IF(OR(ISNUMBER(SEARCH("تعویض محصول",G171)),ISNUMBER(SEARCH("تعویض دستگاه",G171))),"تعویض کامل دستگاه (Replacement)",IF(ISNUMBER(SEARCH("پمپ",G171)),IF(ISNUMBER(SEARCH("نشت",G171)),"نشتی - پمپ تخلیه (تعمیر/آب‌بندی)","خرابی - پمپ تخلیه (تعویض)"),IF(ISNUMBER(SEARCH("کمپرسور",G171)),"خرابی - کمپرسور (تعویض)",IF(ISNUMBER(SEARCH("کمک فنر",G171)),"خرابی - کمک فنر (تعویض)",IF(ISNUMBER(SEARCH("لولا",G171)),"مکانیزم درب - لولا (تعویض)",IF(OR(ISNUMBER(SEARCH("قلاب",G171)),ISNUMBER(SEARCH("ميکروسوئيچ",G171)),ISNUMBER(SEARCH("میکروسوئیچ",G171))),"مکانیزم درب - میکروسوئیچ/قلاب (تعویض/تنظیم)",IF(ISNUMBER(SEARCH("زبانه",G171)),"مکانیزم درب - زبانه (تعویض)",IF(OR(ISNUMBER(SEARCH("شيلنگ",G171)),ISNUMBER(SEARCH("شیلنگ",G171))),IF(OR(ISNUMBER(SEARCH("نشتی",G171)),ISNUMBER(SEARCH("نشتي",G171))),"نشتی - شیلنگ (تعمیر/آب‌بندی)",IF(OR(ISNUMBER(SEARCH("يخ",G171)),ISNUMBER(SEARCH("یخ",G171))),"شیلنگ یخساز - یخ‌زدگی (بازبینی)","شیلنگ - برخورد/لهیدگی (بازبینی)")),IF(OR(ISNUMBER(SEARCH("تنظيم ديسپل",G171)),ISNUMBER(SEARCH("تنظیم دیسپل",G171)),ISNUMBER(SEARCH("تنظيم صفحه نمايش",G171)),ISNUMBER(SEARCH("تنظیم صفحه نمایش",G171))),"تنظیم - تنظیمات دستگاه/دیسپلی (تعمیر)",IF(OR(ISNUMBER(SEARCH("برد",G171)),ISNUMBER(SEARCH("سوکت",G171)),ISNUMBER(SEARCH("ديسپل",G171)),ISNUMBER(SEARCH("دیسپل",G171))),"خرابی - برد الکترونیک (تعویض)",IF(OR(ISNUMBER(SEARCH("يخساز",G171)),ISNUMBER(SEARCH("یخساز",G171)),ISNUMBER(SEARCH("دمپر",G171))),IF(OR(ISNUMBER(SEARCH("خرابی",G171)),ISNUMBER(SEARCH("خراب",G171)),ISNUMBER(SEARCH("عدم کارکرد",G171)),ISNUMBER(SEARCH("عدم عملکرد",G171))),"یخساز - خرابی موتور/سنسور/برد (تعویض)","یخساز - تنظیم/عایق (تعمیر)"),IF(OR(ISNUMBER(SEARCH("لاستيک",G171)),ISNUMBER(SEARCH("لاستیک",G171))),"لاستیک درزگیر - دفرمگی/پارگی (تعویض)",IF(OR(ISNUMBER(SEARCH("گسکت",G171)),ISNUMBER(SEARCH("گسگت",G171))),"لاستیک درزگیر - دفرمگی/پارگی (تعویض)",IF(ISNUMBER(SEARCH("مخزن نمک",G171)),"نشتی - درب مخزن نمک (تعمیر/آب‌بندی)",IF(ISNUMBER(SEARCH("براکت",G171)),"نشتی - براکت ریل (تعمیر/آب‌بندی)",IF(ISNUMBER(SEARCH("جاپودر",G171)),"نشتی - جاپودری (تعمیر/آب‌بندی)",IF(ISNUMBER(SEARCH("مقسم",G171)),"نشتی - مقسم آب (تعمیر/آب‌بندی)",IF(OR(ISNUMBER(SEARCH("سنسور دما",G171)),ISNUMBER(SEARCH("ترموستات",G171))),"خرابی - ترموستات (تعویض)",IF(OR(ISNUMBER(SEARCH("هيدروستات",G171)),ISNUMBER(SEARCH("هیدروستات",G171))),"خرابی - هیدروستات (تعویض)",IF(OR(ISNUMBER(SEARCH("بلبرينگ",G171)),ISNUMBER(SEARCH("بلبرینگ",G171))),"خرابی - بلبرینگ (تعویض)",IF(OR(ISNUMBER(SEARCH("شيربرق",G171)),ISNUMBER(SEARCH("شیربرق",G171))),"خرابی - شیربرقی (تعویض)",IF(OR(ISNUMBER(SEARCH("واتر جت",G171)),ISNUMBER(SEARCH("واترجت",G171))),"خرابی - واترجت (تعویض)",IF(OR(ISNUMBER(SEARCH("سيم",G171)),ISNUMBER(SEARCH("سیم",G171)),ISNUMBER(SEARCH("اتصال",G171))),"سیم‌کشی/اتصالات (تعویض/بازبینی)",IF(OR(ISNUMBER(SEARCH("تصوير",G171)),ISNUMBER(SEARCH("تصویر",G171))),"برد نمایش تلویزیون (تعویض)",IF(OR(ISNUMBER(SEARCH("ريموت",G171)),ISNUMBER(SEARCH("ریموت",G171))),"ریموت کنترل (تعویض/تعمیر)",IF(OR(ISNUMBER(SEARCH("ال اي دي",G171)),ISNUMBER(SEARCH("ال ای دی",G171)),ISNUMBER(SEARCH("LED",G171))),"خرابی - لامپ/LED داخلی (تعویض)",IF(ISNUMBER(SEARCH("زنگ زدگ",G171)),"زنگ‌زدگی بدنه/قطعه (تعویض)",IF(OR(ISNUMBER(SEARCH("قطعات تزئين",G171)),ISNUMBER(SEARCH("قطعات تزئین",G171))),"قطعات تزئینی - شکستگی/کسری (تعویض)",IF(ISNUMBER(SEARCH("سبد",G171)),"سبد ظرفشویی - شکستگی (تعویض)",IF(ISNUMBER(SEARCH("تاب درام",G171)),"خرابی - تاب برداشتن درام (تعویض)",IF(ISNUMBER(SEARCH("درام",G171)),"خرابی - سایر ایراد درام (تعویض)",IF(ISNUMBER(SEARCH("موتور",G171)),"خرابی - موتور (تعویض)",IF(ISNUMBER(SEARCH("تسمه",G171)),"خرابی - تسمه (تعویض)",IF(OR(ISNUMBER(SEARCH("پيچ ولوم",G171)),ISNUMBER(SEARCH("پیچ ولوم",G171))),"تنظیم - پیچ ولوم/دکمه (تعمیر)",IF(OR(ISNUMBER(SEARCH("کسري قطعات",G171)),ISNUMBER(SEARCH("کسری قطعات",G171))),"کسری قطعات تزئینی (تعویض)",IF(ISNUMBER(SEARCH("پرچ",G171)),"پرچ/بدنه کابین(تعمیر)",IF(OR(ISNUMBER(SEARCH("نشت",G171)),ISNUMBER(SEARCH("آبريزش",G171)),ISNUMBER(SEARCH("آبریزش",G171))),"نشتی آب - محل نامشخص (نیازمند بازدید)",IF(ISNUMBER(SEARCH("درب",G171)),"سایر اجزای درب (بازبینی)",IF(ISNUMBER(SEARCH("ضربه",G171)),"بدنه/کابین - ضربه (بازبینی/تعویض پنل)",IF(ISNUMBER(SEARCH("تراز",G171)),"تراز/لرزش - نصب (رگلاژ پایه)",IF(OR(ISNUMBER(SEARCH("تعویض",G171)),ISNUMBER(SEARCH("تعويض",G171))),"تعویض کامل دستگاه (Replacement)","سایر (نیازمند بررسی دستی)")))))))))))))))))))))))))))))))))))))))))))</f>
        <v/>
      </c>
      <c r="P171" s="124" t="inlineStr">
        <is>
          <t>نشتی پمپ ظرفشویی</t>
        </is>
      </c>
      <c r="Q171" s="124">
        <f>IF(ISNUMBER(SEARCH("عهده شرکت",F171)),"شرکت",IF(ISNUMBER(SEARCH("عهده مشتري",F171)),"مشتری",IF(ISNUMBER(SEARCH("عهده مشتری",F171)),"مشتری","نامشخص")))</f>
        <v/>
      </c>
      <c r="R171" s="178">
        <f>IF(O171="تعویض کامل دستگاه (Replacement)",IF(SUMIF('قیمت‌ها و مفروضات'!$A$9:$A$13,C171,'قیمت‌ها و مفروضات'!$C$9:$C$13)&lt;&gt;0,SUMIF('قیمت‌ها و مفروضات'!$A$9:$A$13,C171,'قیمت‌ها و مفروضات'!$C$9:$C$13),SUMIF('قیمت‌ها و مفروضات'!$A$9:$A$13,C171,'قیمت‌ها و مفروضات'!$B$9:$B$13)),IF(SUMIF('قیمت‌ها و مفروضات'!$A$18:$A$63,O171,'قیمت‌ها و مفروضات'!$C$18:$C$63)&lt;&gt;0,SUMIF('قیمت‌ها و مفروضات'!$A$18:$A$63,O171,'قیمت‌ها و مفروضات'!$C$18:$C$63),SUMIF('قیمت‌ها و مفروضات'!$A$18:$A$63,O171,'قیمت‌ها و مفروضات'!$B$18:$B$63)))</f>
        <v/>
      </c>
      <c r="S171" s="178">
        <f>'قیمت‌ها و مفروضات'!$B$3+'قیمت‌ها و مفروضات'!$B$4</f>
        <v/>
      </c>
      <c r="T171" s="178">
        <f>R171+S171</f>
        <v/>
      </c>
      <c r="U171" s="178">
        <f>IF(COUNTIF($E$2:E171,E171)&gt;1,"بله (تکراری)","خیر")</f>
        <v/>
      </c>
      <c r="V171" s="178">
        <f>IF(U171="بله (تکراری)",S171,0)</f>
        <v/>
      </c>
      <c r="W171" s="208" t="inlineStr"/>
      <c r="X171" s="208" t="inlineStr"/>
    </row>
    <row r="172" ht="58.5" customHeight="1" s="151">
      <c r="A172" s="176" t="n">
        <v>210014173</v>
      </c>
      <c r="B172" s="124">
        <f>CHOOSE(_xlfn.NUMBERVALUE(MID(H172,6,2)),"فروردین","اردیبهشت","خرداد","تیر","مرداد","شهریور","مهر","آبان","آذر","دی","بهمن","اسفند")</f>
        <v/>
      </c>
      <c r="C172" s="176" t="inlineStr">
        <is>
          <t>يخچال ميني</t>
        </is>
      </c>
      <c r="D172" s="176" t="inlineStr">
        <is>
          <t>CM-RS5BK1</t>
        </is>
      </c>
      <c r="E172" s="176" t="inlineStr">
        <is>
          <t>52240002N01230</t>
        </is>
      </c>
      <c r="F172" s="173" t="inlineStr">
        <is>
          <t>خاموش و روشن شدن LED کاور / سقفي**مجدد**اياب و ذهاب به عهده شرکت</t>
        </is>
      </c>
      <c r="G172" s="173" t="inlineStr">
        <is>
          <t>خرابي ال اي دي داخل کابين - يخچال ميني</t>
        </is>
      </c>
      <c r="H172" s="176" t="inlineStr">
        <is>
          <t>1405/03/10</t>
        </is>
      </c>
      <c r="I172" s="124" t="inlineStr">
        <is>
          <t>1404/05/22</t>
        </is>
      </c>
      <c r="J172" s="124" t="inlineStr">
        <is>
          <t>1404/08/10</t>
        </is>
      </c>
      <c r="K172" s="177">
        <f>IFERROR(VLOOKUP(LEFT(H172,7),'تبدیل تاریخ'!$A$2:$B$73,2,FALSE())+VALUE(RIGHT(H172,2))-1,"")</f>
        <v/>
      </c>
      <c r="L172" s="177">
        <f>IFERROR(VLOOKUP(LEFT(I172,7),'تبدیل تاریخ'!$A$2:$B$73,2,FALSE())+VALUE(RIGHT(I172,2))-1,"")</f>
        <v/>
      </c>
      <c r="M172" s="177">
        <f>IF(J172="","",IFERROR(VLOOKUP(LEFT(J172,7),'تبدیل تاریخ'!$A$2:$B$73,2,FALSE())+VALUE(RIGHT(J172,2))-1,""))</f>
        <v/>
      </c>
      <c r="N172" s="124">
        <f>IF(OR(K172="",M172=""),"",CEILING((K172-M172)/30,1))</f>
        <v/>
      </c>
      <c r="O172" s="124">
        <f>IF(OR(ISNUMBER(SEARCH("بدون مورد",G172)),ISNUMBER(SEARCH("غير گارانتي",G172)),ISNUMBER(SEARCH("غیر گارانتی",G172)),ISNUMBER(SEARCH("بدون اجرت",G172)),ISNUMBER(SEARCH("فيلتر",G172)),ISNUMBER(SEARCH("فیلتر",G172))),"غیرگارانتی/بدون قطعه",IF(OR(ISNUMBER(SEARCH("ريست",G172)),ISNUMBER(SEARCH("ریست",G172))),"ریست نرم‌افزاری (بدون قطعه)",IF(OR(ISNUMBER(SEARCH("تعویض محصول",G172)),ISNUMBER(SEARCH("تعویض دستگاه",G172))),"تعویض کامل دستگاه (Replacement)",IF(ISNUMBER(SEARCH("پمپ",G172)),IF(ISNUMBER(SEARCH("نشت",G172)),"نشتی - پمپ تخلیه (تعمیر/آب‌بندی)","خرابی - پمپ تخلیه (تعویض)"),IF(ISNUMBER(SEARCH("کمپرسور",G172)),"خرابی - کمپرسور (تعویض)",IF(ISNUMBER(SEARCH("کمک فنر",G172)),"خرابی - کمک فنر (تعویض)",IF(ISNUMBER(SEARCH("لولا",G172)),"مکانیزم درب - لولا (تعویض)",IF(OR(ISNUMBER(SEARCH("قلاب",G172)),ISNUMBER(SEARCH("ميکروسوئيچ",G172)),ISNUMBER(SEARCH("میکروسوئیچ",G172))),"مکانیزم درب - میکروسوئیچ/قلاب (تعویض/تنظیم)",IF(ISNUMBER(SEARCH("زبانه",G172)),"مکانیزم درب - زبانه (تعویض)",IF(OR(ISNUMBER(SEARCH("شيلنگ",G172)),ISNUMBER(SEARCH("شیلنگ",G172))),IF(OR(ISNUMBER(SEARCH("نشتی",G172)),ISNUMBER(SEARCH("نشتي",G172))),"نشتی - شیلنگ (تعمیر/آب‌بندی)",IF(OR(ISNUMBER(SEARCH("يخ",G172)),ISNUMBER(SEARCH("یخ",G172))),"شیلنگ یخساز - یخ‌زدگی (بازبینی)","شیلنگ - برخورد/لهیدگی (بازبینی)")),IF(OR(ISNUMBER(SEARCH("تنظيم ديسپل",G172)),ISNUMBER(SEARCH("تنظیم دیسپل",G172)),ISNUMBER(SEARCH("تنظيم صفحه نمايش",G172)),ISNUMBER(SEARCH("تنظیم صفحه نمایش",G172))),"تنظیم - تنظیمات دستگاه/دیسپلی (تعمیر)",IF(OR(ISNUMBER(SEARCH("برد",G172)),ISNUMBER(SEARCH("سوکت",G172)),ISNUMBER(SEARCH("ديسپل",G172)),ISNUMBER(SEARCH("دیسپل",G172))),"خرابی - برد الکترونیک (تعویض)",IF(OR(ISNUMBER(SEARCH("يخساز",G172)),ISNUMBER(SEARCH("یخساز",G172)),ISNUMBER(SEARCH("دمپر",G172))),IF(OR(ISNUMBER(SEARCH("خرابی",G172)),ISNUMBER(SEARCH("خراب",G172)),ISNUMBER(SEARCH("عدم کارکرد",G172)),ISNUMBER(SEARCH("عدم عملکرد",G172))),"یخساز - خرابی موتور/سنسور/برد (تعویض)","یخساز - تنظیم/عایق (تعمیر)"),IF(OR(ISNUMBER(SEARCH("لاستيک",G172)),ISNUMBER(SEARCH("لاستیک",G172))),"لاستیک درزگیر - دفرمگی/پارگی (تعویض)",IF(OR(ISNUMBER(SEARCH("گسکت",G172)),ISNUMBER(SEARCH("گسگت",G172))),"لاستیک درزگیر - دفرمگی/پارگی (تعویض)",IF(ISNUMBER(SEARCH("مخزن نمک",G172)),"نشتی - درب مخزن نمک (تعمیر/آب‌بندی)",IF(ISNUMBER(SEARCH("براکت",G172)),"نشتی - براکت ریل (تعمیر/آب‌بندی)",IF(ISNUMBER(SEARCH("جاپودر",G172)),"نشتی - جاپودری (تعمیر/آب‌بندی)",IF(ISNUMBER(SEARCH("مقسم",G172)),"نشتی - مقسم آب (تعمیر/آب‌بندی)",IF(OR(ISNUMBER(SEARCH("سنسور دما",G172)),ISNUMBER(SEARCH("ترموستات",G172))),"خرابی - ترموستات (تعویض)",IF(OR(ISNUMBER(SEARCH("هيدروستات",G172)),ISNUMBER(SEARCH("هیدروستات",G172))),"خرابی - هیدروستات (تعویض)",IF(OR(ISNUMBER(SEARCH("بلبرينگ",G172)),ISNUMBER(SEARCH("بلبرینگ",G172))),"خرابی - بلبرینگ (تعویض)",IF(OR(ISNUMBER(SEARCH("شيربرق",G172)),ISNUMBER(SEARCH("شیربرق",G172))),"خرابی - شیربرقی (تعویض)",IF(OR(ISNUMBER(SEARCH("واتر جت",G172)),ISNUMBER(SEARCH("واترجت",G172))),"خرابی - واترجت (تعویض)",IF(OR(ISNUMBER(SEARCH("سيم",G172)),ISNUMBER(SEARCH("سیم",G172)),ISNUMBER(SEARCH("اتصال",G172))),"سیم‌کشی/اتصالات (تعویض/بازبینی)",IF(OR(ISNUMBER(SEARCH("تصوير",G172)),ISNUMBER(SEARCH("تصویر",G172))),"برد نمایش تلویزیون (تعویض)",IF(OR(ISNUMBER(SEARCH("ريموت",G172)),ISNUMBER(SEARCH("ریموت",G172))),"ریموت کنترل (تعویض/تعمیر)",IF(OR(ISNUMBER(SEARCH("ال اي دي",G172)),ISNUMBER(SEARCH("ال ای دی",G172)),ISNUMBER(SEARCH("LED",G172))),"خرابی - لامپ/LED داخلی (تعویض)",IF(ISNUMBER(SEARCH("زنگ زدگ",G172)),"زنگ‌زدگی بدنه/قطعه (تعویض)",IF(OR(ISNUMBER(SEARCH("قطعات تزئين",G172)),ISNUMBER(SEARCH("قطعات تزئین",G172))),"قطعات تزئینی - شکستگی/کسری (تعویض)",IF(ISNUMBER(SEARCH("سبد",G172)),"سبد ظرفشویی - شکستگی (تعویض)",IF(ISNUMBER(SEARCH("تاب درام",G172)),"خرابی - تاب برداشتن درام (تعویض)",IF(ISNUMBER(SEARCH("درام",G172)),"خرابی - سایر ایراد درام (تعویض)",IF(ISNUMBER(SEARCH("موتور",G172)),"خرابی - موتور (تعویض)",IF(ISNUMBER(SEARCH("تسمه",G172)),"خرابی - تسمه (تعویض)",IF(OR(ISNUMBER(SEARCH("پيچ ولوم",G172)),ISNUMBER(SEARCH("پیچ ولوم",G172))),"تنظیم - پیچ ولوم/دکمه (تعمیر)",IF(OR(ISNUMBER(SEARCH("کسري قطعات",G172)),ISNUMBER(SEARCH("کسری قطعات",G172))),"کسری قطعات تزئینی (تعویض)",IF(ISNUMBER(SEARCH("پرچ",G172)),"پرچ/بدنه کابین(تعمیر)",IF(OR(ISNUMBER(SEARCH("نشت",G172)),ISNUMBER(SEARCH("آبريزش",G172)),ISNUMBER(SEARCH("آبریزش",G172))),"نشتی آب - محل نامشخص (نیازمند بازدید)",IF(ISNUMBER(SEARCH("درب",G172)),"سایر اجزای درب (بازبینی)",IF(ISNUMBER(SEARCH("ضربه",G172)),"بدنه/کابین - ضربه (بازبینی/تعویض پنل)",IF(ISNUMBER(SEARCH("تراز",G172)),"تراز/لرزش - نصب (رگلاژ پایه)",IF(OR(ISNUMBER(SEARCH("تعویض",G172)),ISNUMBER(SEARCH("تعويض",G172))),"تعویض کامل دستگاه (Replacement)","سایر (نیازمند بررسی دستی)")))))))))))))))))))))))))))))))))))))))))))</f>
        <v/>
      </c>
      <c r="P172" s="124" t="inlineStr">
        <is>
          <t>*</t>
        </is>
      </c>
      <c r="Q172" s="124">
        <f>IF(ISNUMBER(SEARCH("عهده شرکت",F172)),"شرکت",IF(ISNUMBER(SEARCH("عهده مشتري",F172)),"مشتری",IF(ISNUMBER(SEARCH("عهده مشتری",F172)),"مشتری","نامشخص")))</f>
        <v/>
      </c>
      <c r="R172" s="178">
        <f>IF(O172="تعویض کامل دستگاه (Replacement)",IF(SUMIF('قیمت‌ها و مفروضات'!$A$9:$A$13,C172,'قیمت‌ها و مفروضات'!$C$9:$C$13)&lt;&gt;0,SUMIF('قیمت‌ها و مفروضات'!$A$9:$A$13,C172,'قیمت‌ها و مفروضات'!$C$9:$C$13),SUMIF('قیمت‌ها و مفروضات'!$A$9:$A$13,C172,'قیمت‌ها و مفروضات'!$B$9:$B$13)),IF(SUMIF('قیمت‌ها و مفروضات'!$A$18:$A$63,O172,'قیمت‌ها و مفروضات'!$C$18:$C$63)&lt;&gt;0,SUMIF('قیمت‌ها و مفروضات'!$A$18:$A$63,O172,'قیمت‌ها و مفروضات'!$C$18:$C$63),SUMIF('قیمت‌ها و مفروضات'!$A$18:$A$63,O172,'قیمت‌ها و مفروضات'!$B$18:$B$63)))</f>
        <v/>
      </c>
      <c r="S172" s="178">
        <f>'قیمت‌ها و مفروضات'!$B$3+'قیمت‌ها و مفروضات'!$B$4</f>
        <v/>
      </c>
      <c r="T172" s="178">
        <f>R172+S172</f>
        <v/>
      </c>
      <c r="U172" s="178">
        <f>IF(COUNTIF($E$2:E172,E172)&gt;1,"بله (تکراری)","خیر")</f>
        <v/>
      </c>
      <c r="V172" s="178">
        <f>IF(U172="بله (تکراری)",S172,0)</f>
        <v/>
      </c>
      <c r="W172" s="208" t="inlineStr"/>
      <c r="X172" s="208" t="inlineStr"/>
    </row>
    <row r="173" ht="58.5" customHeight="1" s="151">
      <c r="A173" s="176" t="n">
        <v>210008812</v>
      </c>
      <c r="B173" s="124">
        <f>CHOOSE(_xlfn.NUMBERVALUE(MID(H173,6,2)),"فروردین","اردیبهشت","خرداد","تیر","مرداد","شهریور","مهر","آبان","آذر","دی","بهمن","اسفند")</f>
        <v/>
      </c>
      <c r="C173" s="176" t="inlineStr">
        <is>
          <t>ماشين ظرفشويي</t>
        </is>
      </c>
      <c r="D173" s="176" t="inlineStr">
        <is>
          <t>CDW-H16T</t>
        </is>
      </c>
      <c r="E173" s="176" t="inlineStr">
        <is>
          <t>52220004N00440</t>
        </is>
      </c>
      <c r="F173" s="173" t="inlineStr">
        <is>
          <t>جمع شدن آب داخل محصول**اياب و ذهاب به عهده مشتري</t>
        </is>
      </c>
      <c r="G173" s="173" t="inlineStr">
        <is>
          <t>خرابي شيربرقي</t>
        </is>
      </c>
      <c r="H173" s="176" t="inlineStr">
        <is>
          <t>1405/03/11</t>
        </is>
      </c>
      <c r="I173" s="124" t="inlineStr">
        <is>
          <t>1403/07/24</t>
        </is>
      </c>
      <c r="J173" s="124" t="inlineStr">
        <is>
          <t>1403/08/22</t>
        </is>
      </c>
      <c r="K173" s="177">
        <f>IFERROR(VLOOKUP(LEFT(H173,7),'تبدیل تاریخ'!$A$2:$B$73,2,FALSE())+VALUE(RIGHT(H173,2))-1,"")</f>
        <v/>
      </c>
      <c r="L173" s="177">
        <f>IFERROR(VLOOKUP(LEFT(I173,7),'تبدیل تاریخ'!$A$2:$B$73,2,FALSE())+VALUE(RIGHT(I173,2))-1,"")</f>
        <v/>
      </c>
      <c r="M173" s="177">
        <f>IF(J173="","",IFERROR(VLOOKUP(LEFT(J173,7),'تبدیل تاریخ'!$A$2:$B$73,2,FALSE())+VALUE(RIGHT(J173,2))-1,""))</f>
        <v/>
      </c>
      <c r="N173" s="124">
        <f>IF(OR(K173="",M173=""),"",CEILING((K173-M173)/30,1))</f>
        <v/>
      </c>
      <c r="O173" s="124">
        <f>IF(OR(ISNUMBER(SEARCH("بدون مورد",G173)),ISNUMBER(SEARCH("غير گارانتي",G173)),ISNUMBER(SEARCH("غیر گارانتی",G173)),ISNUMBER(SEARCH("بدون اجرت",G173)),ISNUMBER(SEARCH("فيلتر",G173)),ISNUMBER(SEARCH("فیلتر",G173))),"غیرگارانتی/بدون قطعه",IF(OR(ISNUMBER(SEARCH("ريست",G173)),ISNUMBER(SEARCH("ریست",G173))),"ریست نرم‌افزاری (بدون قطعه)",IF(OR(ISNUMBER(SEARCH("تعویض محصول",G173)),ISNUMBER(SEARCH("تعویض دستگاه",G173))),"تعویض کامل دستگاه (Replacement)",IF(ISNUMBER(SEARCH("پمپ",G173)),IF(ISNUMBER(SEARCH("نشت",G173)),"نشتی - پمپ تخلیه (تعمیر/آب‌بندی)","خرابی - پمپ تخلیه (تعویض)"),IF(ISNUMBER(SEARCH("کمپرسور",G173)),"خرابی - کمپرسور (تعویض)",IF(ISNUMBER(SEARCH("کمک فنر",G173)),"خرابی - کمک فنر (تعویض)",IF(ISNUMBER(SEARCH("لولا",G173)),"مکانیزم درب - لولا (تعویض)",IF(OR(ISNUMBER(SEARCH("قلاب",G173)),ISNUMBER(SEARCH("ميکروسوئيچ",G173)),ISNUMBER(SEARCH("میکروسوئیچ",G173))),"مکانیزم درب - میکروسوئیچ/قلاب (تعویض/تنظیم)",IF(ISNUMBER(SEARCH("زبانه",G173)),"مکانیزم درب - زبانه (تعویض)",IF(OR(ISNUMBER(SEARCH("شيلنگ",G173)),ISNUMBER(SEARCH("شیلنگ",G173))),IF(OR(ISNUMBER(SEARCH("نشتی",G173)),ISNUMBER(SEARCH("نشتي",G173))),"نشتی - شیلنگ (تعمیر/آب‌بندی)",IF(OR(ISNUMBER(SEARCH("يخ",G173)),ISNUMBER(SEARCH("یخ",G173))),"شیلنگ یخساز - یخ‌زدگی (بازبینی)","شیلنگ - برخورد/لهیدگی (بازبینی)")),IF(OR(ISNUMBER(SEARCH("تنظيم ديسپل",G173)),ISNUMBER(SEARCH("تنظیم دیسپل",G173)),ISNUMBER(SEARCH("تنظيم صفحه نمايش",G173)),ISNUMBER(SEARCH("تنظیم صفحه نمایش",G173))),"تنظیم - تنظیمات دستگاه/دیسپلی (تعمیر)",IF(OR(ISNUMBER(SEARCH("برد",G173)),ISNUMBER(SEARCH("سوکت",G173)),ISNUMBER(SEARCH("ديسپل",G173)),ISNUMBER(SEARCH("دیسپل",G173))),"خرابی - برد الکترونیک (تعویض)",IF(OR(ISNUMBER(SEARCH("يخساز",G173)),ISNUMBER(SEARCH("یخساز",G173)),ISNUMBER(SEARCH("دمپر",G173))),IF(OR(ISNUMBER(SEARCH("خرابی",G173)),ISNUMBER(SEARCH("خراب",G173)),ISNUMBER(SEARCH("عدم کارکرد",G173)),ISNUMBER(SEARCH("عدم عملکرد",G173))),"یخساز - خرابی موتور/سنسور/برد (تعویض)","یخساز - تنظیم/عایق (تعمیر)"),IF(OR(ISNUMBER(SEARCH("لاستيک",G173)),ISNUMBER(SEARCH("لاستیک",G173))),"لاستیک درزگیر - دفرمگی/پارگی (تعویض)",IF(OR(ISNUMBER(SEARCH("گسکت",G173)),ISNUMBER(SEARCH("گسگت",G173))),"لاستیک درزگیر - دفرمگی/پارگی (تعویض)",IF(ISNUMBER(SEARCH("مخزن نمک",G173)),"نشتی - درب مخزن نمک (تعمیر/آب‌بندی)",IF(ISNUMBER(SEARCH("براکت",G173)),"نشتی - براکت ریل (تعمیر/آب‌بندی)",IF(ISNUMBER(SEARCH("جاپودر",G173)),"نشتی - جاپودری (تعمیر/آب‌بندی)",IF(ISNUMBER(SEARCH("مقسم",G173)),"نشتی - مقسم آب (تعمیر/آب‌بندی)",IF(OR(ISNUMBER(SEARCH("سنسور دما",G173)),ISNUMBER(SEARCH("ترموستات",G173))),"خرابی - ترموستات (تعویض)",IF(OR(ISNUMBER(SEARCH("هيدروستات",G173)),ISNUMBER(SEARCH("هیدروستات",G173))),"خرابی - هیدروستات (تعویض)",IF(OR(ISNUMBER(SEARCH("بلبرينگ",G173)),ISNUMBER(SEARCH("بلبرینگ",G173))),"خرابی - بلبرینگ (تعویض)",IF(OR(ISNUMBER(SEARCH("شيربرق",G173)),ISNUMBER(SEARCH("شیربرق",G173))),"خرابی - شیربرقی (تعویض)",IF(OR(ISNUMBER(SEARCH("واتر جت",G173)),ISNUMBER(SEARCH("واترجت",G173))),"خرابی - واترجت (تعویض)",IF(OR(ISNUMBER(SEARCH("سيم",G173)),ISNUMBER(SEARCH("سیم",G173)),ISNUMBER(SEARCH("اتصال",G173))),"سیم‌کشی/اتصالات (تعویض/بازبینی)",IF(OR(ISNUMBER(SEARCH("تصوير",G173)),ISNUMBER(SEARCH("تصویر",G173))),"برد نمایش تلویزیون (تعویض)",IF(OR(ISNUMBER(SEARCH("ريموت",G173)),ISNUMBER(SEARCH("ریموت",G173))),"ریموت کنترل (تعویض/تعمیر)",IF(OR(ISNUMBER(SEARCH("ال اي دي",G173)),ISNUMBER(SEARCH("ال ای دی",G173)),ISNUMBER(SEARCH("LED",G173))),"خرابی - لامپ/LED داخلی (تعویض)",IF(ISNUMBER(SEARCH("زنگ زدگ",G173)),"زنگ‌زدگی بدنه/قطعه (تعویض)",IF(OR(ISNUMBER(SEARCH("قطعات تزئين",G173)),ISNUMBER(SEARCH("قطعات تزئین",G173))),"قطعات تزئینی - شکستگی/کسری (تعویض)",IF(ISNUMBER(SEARCH("سبد",G173)),"سبد ظرفشویی - شکستگی (تعویض)",IF(ISNUMBER(SEARCH("تاب درام",G173)),"خرابی - تاب برداشتن درام (تعویض)",IF(ISNUMBER(SEARCH("درام",G173)),"خرابی - سایر ایراد درام (تعویض)",IF(ISNUMBER(SEARCH("موتور",G173)),"خرابی - موتور (تعویض)",IF(ISNUMBER(SEARCH("تسمه",G173)),"خرابی - تسمه (تعویض)",IF(OR(ISNUMBER(SEARCH("پيچ ولوم",G173)),ISNUMBER(SEARCH("پیچ ولوم",G173))),"تنظیم - پیچ ولوم/دکمه (تعمیر)",IF(OR(ISNUMBER(SEARCH("کسري قطعات",G173)),ISNUMBER(SEARCH("کسری قطعات",G173))),"کسری قطعات تزئینی (تعویض)",IF(ISNUMBER(SEARCH("پرچ",G173)),"پرچ/بدنه کابین(تعمیر)",IF(OR(ISNUMBER(SEARCH("نشت",G173)),ISNUMBER(SEARCH("آبريزش",G173)),ISNUMBER(SEARCH("آبریزش",G173))),"نشتی آب - محل نامشخص (نیازمند بازدید)",IF(ISNUMBER(SEARCH("درب",G173)),"سایر اجزای درب (بازبینی)",IF(ISNUMBER(SEARCH("ضربه",G173)),"بدنه/کابین - ضربه (بازبینی/تعویض پنل)",IF(ISNUMBER(SEARCH("تراز",G173)),"تراز/لرزش - نصب (رگلاژ پایه)",IF(OR(ISNUMBER(SEARCH("تعویض",G173)),ISNUMBER(SEARCH("تعويض",G173))),"تعویض کامل دستگاه (Replacement)","سایر (نیازمند بررسی دستی)")))))))))))))))))))))))))))))))))))))))))))</f>
        <v/>
      </c>
      <c r="P173" s="124" t="inlineStr">
        <is>
          <t>شیر برقی ظرفشویی</t>
        </is>
      </c>
      <c r="Q173" s="124">
        <f>IF(ISNUMBER(SEARCH("عهده شرکت",F173)),"شرکت",IF(ISNUMBER(SEARCH("عهده مشتري",F173)),"مشتری",IF(ISNUMBER(SEARCH("عهده مشتری",F173)),"مشتری","نامشخص")))</f>
        <v/>
      </c>
      <c r="R173" s="178">
        <f>IF(O173="تعویض کامل دستگاه (Replacement)",IF(SUMIF('قیمت‌ها و مفروضات'!$A$9:$A$13,C173,'قیمت‌ها و مفروضات'!$C$9:$C$13)&lt;&gt;0,SUMIF('قیمت‌ها و مفروضات'!$A$9:$A$13,C173,'قیمت‌ها و مفروضات'!$C$9:$C$13),SUMIF('قیمت‌ها و مفروضات'!$A$9:$A$13,C173,'قیمت‌ها و مفروضات'!$B$9:$B$13)),IF(SUMIF('قیمت‌ها و مفروضات'!$A$18:$A$63,O173,'قیمت‌ها و مفروضات'!$C$18:$C$63)&lt;&gt;0,SUMIF('قیمت‌ها و مفروضات'!$A$18:$A$63,O173,'قیمت‌ها و مفروضات'!$C$18:$C$63),SUMIF('قیمت‌ها و مفروضات'!$A$18:$A$63,O173,'قیمت‌ها و مفروضات'!$B$18:$B$63)))</f>
        <v/>
      </c>
      <c r="S173" s="178">
        <f>'قیمت‌ها و مفروضات'!$B$3+'قیمت‌ها و مفروضات'!$B$4</f>
        <v/>
      </c>
      <c r="T173" s="178">
        <f>R173+S173</f>
        <v/>
      </c>
      <c r="U173" s="178">
        <f>IF(COUNTIF($E$2:E173,E173)&gt;1,"بله (تکراری)","خیر")</f>
        <v/>
      </c>
      <c r="V173" s="178">
        <f>IF(U173="بله (تکراری)",S173,0)</f>
        <v/>
      </c>
      <c r="W173" s="208" t="inlineStr"/>
      <c r="X173" s="208" t="inlineStr"/>
    </row>
    <row r="174" ht="58.5" customHeight="1" s="151">
      <c r="A174" s="176" t="n">
        <v>310000351</v>
      </c>
      <c r="B174" s="124">
        <f>CHOOSE(_xlfn.NUMBERVALUE(MID(H174,6,2)),"فروردین","اردیبهشت","خرداد","تیر","مرداد","شهریور","مهر","آبان","آذر","دی","بهمن","اسفند")</f>
        <v/>
      </c>
      <c r="C174" s="176" t="inlineStr">
        <is>
          <t>ماشين ظرفشويي</t>
        </is>
      </c>
      <c r="D174" s="176" t="inlineStr">
        <is>
          <t>CDW-H16T</t>
        </is>
      </c>
      <c r="E174" s="176" t="inlineStr">
        <is>
          <t>52220005N02169</t>
        </is>
      </c>
      <c r="F174" s="173" t="inlineStr">
        <is>
          <t>بسته نشدن درب**ريزش آب از درب**اياب و ذهاب به عهده شرکت</t>
        </is>
      </c>
      <c r="G174" s="173" t="inlineStr">
        <is>
          <t>تنظيم ديسپلي ( مايع جلادهنده/ صداي ديسپلي/ باز شدن يا باز نشدن درب )</t>
        </is>
      </c>
      <c r="H174" s="176" t="inlineStr">
        <is>
          <t>1405/03/11</t>
        </is>
      </c>
      <c r="I174" s="124" t="inlineStr">
        <is>
          <t>1404/01/20</t>
        </is>
      </c>
      <c r="J174" s="124" t="inlineStr">
        <is>
          <t>1404/06/29</t>
        </is>
      </c>
      <c r="K174" s="177">
        <f>IFERROR(VLOOKUP(LEFT(H174,7),'تبدیل تاریخ'!$A$2:$B$73,2,FALSE())+VALUE(RIGHT(H174,2))-1,"")</f>
        <v/>
      </c>
      <c r="L174" s="177">
        <f>IFERROR(VLOOKUP(LEFT(I174,7),'تبدیل تاریخ'!$A$2:$B$73,2,FALSE())+VALUE(RIGHT(I174,2))-1,"")</f>
        <v/>
      </c>
      <c r="M174" s="177">
        <f>IF(J174="","",IFERROR(VLOOKUP(LEFT(J174,7),'تبدیل تاریخ'!$A$2:$B$73,2,FALSE())+VALUE(RIGHT(J174,2))-1,""))</f>
        <v/>
      </c>
      <c r="N174" s="124">
        <f>IF(OR(K174="",M174=""),"",CEILING((K174-M174)/30,1))</f>
        <v/>
      </c>
      <c r="O174" s="124">
        <f>IF(OR(ISNUMBER(SEARCH("بدون مورد",G174)),ISNUMBER(SEARCH("غير گارانتي",G174)),ISNUMBER(SEARCH("غیر گارانتی",G174)),ISNUMBER(SEARCH("بدون اجرت",G174)),ISNUMBER(SEARCH("فيلتر",G174)),ISNUMBER(SEARCH("فیلتر",G174))),"غیرگارانتی/بدون قطعه",IF(OR(ISNUMBER(SEARCH("ريست",G174)),ISNUMBER(SEARCH("ریست",G174))),"ریست نرم‌افزاری (بدون قطعه)",IF(OR(ISNUMBER(SEARCH("تعویض محصول",G174)),ISNUMBER(SEARCH("تعویض دستگاه",G174))),"تعویض کامل دستگاه (Replacement)",IF(ISNUMBER(SEARCH("پمپ",G174)),IF(ISNUMBER(SEARCH("نشت",G174)),"نشتی - پمپ تخلیه (تعمیر/آب‌بندی)","خرابی - پمپ تخلیه (تعویض)"),IF(ISNUMBER(SEARCH("کمپرسور",G174)),"خرابی - کمپرسور (تعویض)",IF(ISNUMBER(SEARCH("کمک فنر",G174)),"خرابی - کمک فنر (تعویض)",IF(ISNUMBER(SEARCH("لولا",G174)),"مکانیزم درب - لولا (تعویض)",IF(OR(ISNUMBER(SEARCH("قلاب",G174)),ISNUMBER(SEARCH("ميکروسوئيچ",G174)),ISNUMBER(SEARCH("میکروسوئیچ",G174))),"مکانیزم درب - میکروسوئیچ/قلاب (تعویض/تنظیم)",IF(ISNUMBER(SEARCH("زبانه",G174)),"مکانیزم درب - زبانه (تعویض)",IF(OR(ISNUMBER(SEARCH("شيلنگ",G174)),ISNUMBER(SEARCH("شیلنگ",G174))),IF(OR(ISNUMBER(SEARCH("نشتی",G174)),ISNUMBER(SEARCH("نشتي",G174))),"نشتی - شیلنگ (تعمیر/آب‌بندی)",IF(OR(ISNUMBER(SEARCH("يخ",G174)),ISNUMBER(SEARCH("یخ",G174))),"شیلنگ یخساز - یخ‌زدگی (بازبینی)","شیلنگ - برخورد/لهیدگی (بازبینی)")),IF(OR(ISNUMBER(SEARCH("تنظيم ديسپل",G174)),ISNUMBER(SEARCH("تنظیم دیسپل",G174)),ISNUMBER(SEARCH("تنظيم صفحه نمايش",G174)),ISNUMBER(SEARCH("تنظیم صفحه نمایش",G174))),"تنظیم - تنظیمات دستگاه/دیسپلی (تعمیر)",IF(OR(ISNUMBER(SEARCH("برد",G174)),ISNUMBER(SEARCH("سوکت",G174)),ISNUMBER(SEARCH("ديسپل",G174)),ISNUMBER(SEARCH("دیسپل",G174))),"خرابی - برد الکترونیک (تعویض)",IF(OR(ISNUMBER(SEARCH("يخساز",G174)),ISNUMBER(SEARCH("یخساز",G174)),ISNUMBER(SEARCH("دمپر",G174))),IF(OR(ISNUMBER(SEARCH("خرابی",G174)),ISNUMBER(SEARCH("خراب",G174)),ISNUMBER(SEARCH("عدم کارکرد",G174)),ISNUMBER(SEARCH("عدم عملکرد",G174))),"یخساز - خرابی موتور/سنسور/برد (تعویض)","یخساز - تنظیم/عایق (تعمیر)"),IF(OR(ISNUMBER(SEARCH("لاستيک",G174)),ISNUMBER(SEARCH("لاستیک",G174))),"لاستیک درزگیر - دفرمگی/پارگی (تعویض)",IF(OR(ISNUMBER(SEARCH("گسکت",G174)),ISNUMBER(SEARCH("گسگت",G174))),"لاستیک درزگیر - دفرمگی/پارگی (تعویض)",IF(ISNUMBER(SEARCH("مخزن نمک",G174)),"نشتی - درب مخزن نمک (تعمیر/آب‌بندی)",IF(ISNUMBER(SEARCH("براکت",G174)),"نشتی - براکت ریل (تعمیر/آب‌بندی)",IF(ISNUMBER(SEARCH("جاپودر",G174)),"نشتی - جاپودری (تعمیر/آب‌بندی)",IF(ISNUMBER(SEARCH("مقسم",G174)),"نشتی - مقسم آب (تعمیر/آب‌بندی)",IF(OR(ISNUMBER(SEARCH("سنسور دما",G174)),ISNUMBER(SEARCH("ترموستات",G174))),"خرابی - ترموستات (تعویض)",IF(OR(ISNUMBER(SEARCH("هيدروستات",G174)),ISNUMBER(SEARCH("هیدروستات",G174))),"خرابی - هیدروستات (تعویض)",IF(OR(ISNUMBER(SEARCH("بلبرينگ",G174)),ISNUMBER(SEARCH("بلبرینگ",G174))),"خرابی - بلبرینگ (تعویض)",IF(OR(ISNUMBER(SEARCH("شيربرق",G174)),ISNUMBER(SEARCH("شیربرق",G174))),"خرابی - شیربرقی (تعویض)",IF(OR(ISNUMBER(SEARCH("واتر جت",G174)),ISNUMBER(SEARCH("واترجت",G174))),"خرابی - واترجت (تعویض)",IF(OR(ISNUMBER(SEARCH("سيم",G174)),ISNUMBER(SEARCH("سیم",G174)),ISNUMBER(SEARCH("اتصال",G174))),"سیم‌کشی/اتصالات (تعویض/بازبینی)",IF(OR(ISNUMBER(SEARCH("تصوير",G174)),ISNUMBER(SEARCH("تصویر",G174))),"برد نمایش تلویزیون (تعویض)",IF(OR(ISNUMBER(SEARCH("ريموت",G174)),ISNUMBER(SEARCH("ریموت",G174))),"ریموت کنترل (تعویض/تعمیر)",IF(OR(ISNUMBER(SEARCH("ال اي دي",G174)),ISNUMBER(SEARCH("ال ای دی",G174)),ISNUMBER(SEARCH("LED",G174))),"خرابی - لامپ/LED داخلی (تعویض)",IF(ISNUMBER(SEARCH("زنگ زدگ",G174)),"زنگ‌زدگی بدنه/قطعه (تعویض)",IF(OR(ISNUMBER(SEARCH("قطعات تزئين",G174)),ISNUMBER(SEARCH("قطعات تزئین",G174))),"قطعات تزئینی - شکستگی/کسری (تعویض)",IF(ISNUMBER(SEARCH("سبد",G174)),"سبد ظرفشویی - شکستگی (تعویض)",IF(ISNUMBER(SEARCH("تاب درام",G174)),"خرابی - تاب برداشتن درام (تعویض)",IF(ISNUMBER(SEARCH("درام",G174)),"خرابی - سایر ایراد درام (تعویض)",IF(ISNUMBER(SEARCH("موتور",G174)),"خرابی - موتور (تعویض)",IF(ISNUMBER(SEARCH("تسمه",G174)),"خرابی - تسمه (تعویض)",IF(OR(ISNUMBER(SEARCH("پيچ ولوم",G174)),ISNUMBER(SEARCH("پیچ ولوم",G174))),"تنظیم - پیچ ولوم/دکمه (تعمیر)",IF(OR(ISNUMBER(SEARCH("کسري قطعات",G174)),ISNUMBER(SEARCH("کسری قطعات",G174))),"کسری قطعات تزئینی (تعویض)",IF(ISNUMBER(SEARCH("پرچ",G174)),"پرچ/بدنه کابین(تعمیر)",IF(OR(ISNUMBER(SEARCH("نشت",G174)),ISNUMBER(SEARCH("آبريزش",G174)),ISNUMBER(SEARCH("آبریزش",G174))),"نشتی آب - محل نامشخص (نیازمند بازدید)",IF(ISNUMBER(SEARCH("درب",G174)),"سایر اجزای درب (بازبینی)",IF(ISNUMBER(SEARCH("ضربه",G174)),"بدنه/کابین - ضربه (بازبینی/تعویض پنل)",IF(ISNUMBER(SEARCH("تراز",G174)),"تراز/لرزش - نصب (رگلاژ پایه)",IF(OR(ISNUMBER(SEARCH("تعویض",G174)),ISNUMBER(SEARCH("تعويض",G174))),"تعویض کامل دستگاه (Replacement)","سایر (نیازمند بررسی دستی)")))))))))))))))))))))))))))))))))))))))))))</f>
        <v/>
      </c>
      <c r="P174" s="124" t="inlineStr">
        <is>
          <t>*</t>
        </is>
      </c>
      <c r="Q174" s="124">
        <f>IF(ISNUMBER(SEARCH("عهده شرکت",F174)),"شرکت",IF(ISNUMBER(SEARCH("عهده مشتري",F174)),"مشتری",IF(ISNUMBER(SEARCH("عهده مشتری",F174)),"مشتری","نامشخص")))</f>
        <v/>
      </c>
      <c r="R174" s="178">
        <f>IF(O174="تعویض کامل دستگاه (Replacement)",IF(SUMIF('قیمت‌ها و مفروضات'!$A$9:$A$13,C174,'قیمت‌ها و مفروضات'!$C$9:$C$13)&lt;&gt;0,SUMIF('قیمت‌ها و مفروضات'!$A$9:$A$13,C174,'قیمت‌ها و مفروضات'!$C$9:$C$13),SUMIF('قیمت‌ها و مفروضات'!$A$9:$A$13,C174,'قیمت‌ها و مفروضات'!$B$9:$B$13)),IF(SUMIF('قیمت‌ها و مفروضات'!$A$18:$A$63,O174,'قیمت‌ها و مفروضات'!$C$18:$C$63)&lt;&gt;0,SUMIF('قیمت‌ها و مفروضات'!$A$18:$A$63,O174,'قیمت‌ها و مفروضات'!$C$18:$C$63),SUMIF('قیمت‌ها و مفروضات'!$A$18:$A$63,O174,'قیمت‌ها و مفروضات'!$B$18:$B$63)))</f>
        <v/>
      </c>
      <c r="S174" s="178">
        <f>'قیمت‌ها و مفروضات'!$B$3+'قیمت‌ها و مفروضات'!$B$4</f>
        <v/>
      </c>
      <c r="T174" s="178">
        <f>R174+S174</f>
        <v/>
      </c>
      <c r="U174" s="178">
        <f>IF(COUNTIF($E$2:E174,E174)&gt;1,"بله (تکراری)","خیر")</f>
        <v/>
      </c>
      <c r="V174" s="178">
        <f>IF(U174="بله (تکراری)",S174,0)</f>
        <v/>
      </c>
      <c r="W174" s="208" t="inlineStr"/>
      <c r="X174" s="208" t="inlineStr"/>
    </row>
    <row r="175" ht="58.5" customHeight="1" s="151">
      <c r="A175" s="176" t="n">
        <v>310000805</v>
      </c>
      <c r="B175" s="124">
        <f>CHOOSE(_xlfn.NUMBERVALUE(MID(H175,6,2)),"فروردین","اردیبهشت","خرداد","تیر","مرداد","شهریور","مهر","آبان","آذر","دی","بهمن","اسفند")</f>
        <v/>
      </c>
      <c r="C175" s="176" t="inlineStr">
        <is>
          <t>ماشين ظرفشويي</t>
        </is>
      </c>
      <c r="D175" s="176" t="inlineStr">
        <is>
          <t>CDW-H16T</t>
        </is>
      </c>
      <c r="E175" s="176" t="inlineStr">
        <is>
          <t>52220004N04922</t>
        </is>
      </c>
      <c r="F175" s="173" t="inlineStr">
        <is>
          <t>خطاي F54**اياب و ذهاب به عهده شرکت</t>
        </is>
      </c>
      <c r="G175" s="173" t="inlineStr">
        <is>
          <t>نشتي اورينگ مخزن نمک</t>
        </is>
      </c>
      <c r="H175" s="176" t="inlineStr">
        <is>
          <t>1405/03/16</t>
        </is>
      </c>
      <c r="I175" s="124" t="inlineStr">
        <is>
          <t>1404/08/25</t>
        </is>
      </c>
      <c r="J175" s="124" t="inlineStr">
        <is>
          <t>1404/10/02</t>
        </is>
      </c>
      <c r="K175" s="177">
        <f>IFERROR(VLOOKUP(LEFT(H175,7),'تبدیل تاریخ'!$A$2:$B$73,2,FALSE())+VALUE(RIGHT(H175,2))-1,"")</f>
        <v/>
      </c>
      <c r="L175" s="177">
        <f>IFERROR(VLOOKUP(LEFT(I175,7),'تبدیل تاریخ'!$A$2:$B$73,2,FALSE())+VALUE(RIGHT(I175,2))-1,"")</f>
        <v/>
      </c>
      <c r="M175" s="177">
        <f>IF(J175="","",IFERROR(VLOOKUP(LEFT(J175,7),'تبدیل تاریخ'!$A$2:$B$73,2,FALSE())+VALUE(RIGHT(J175,2))-1,""))</f>
        <v/>
      </c>
      <c r="N175" s="124">
        <f>IF(OR(K175="",M175=""),"",CEILING((K175-M175)/30,1))</f>
        <v/>
      </c>
      <c r="O175" s="124">
        <f>IF(OR(ISNUMBER(SEARCH("بدون مورد",G175)),ISNUMBER(SEARCH("غير گارانتي",G175)),ISNUMBER(SEARCH("غیر گارانتی",G175)),ISNUMBER(SEARCH("بدون اجرت",G175)),ISNUMBER(SEARCH("فيلتر",G175)),ISNUMBER(SEARCH("فیلتر",G175))),"غیرگارانتی/بدون قطعه",IF(OR(ISNUMBER(SEARCH("ريست",G175)),ISNUMBER(SEARCH("ریست",G175))),"ریست نرم‌افزاری (بدون قطعه)",IF(OR(ISNUMBER(SEARCH("تعویض محصول",G175)),ISNUMBER(SEARCH("تعویض دستگاه",G175))),"تعویض کامل دستگاه (Replacement)",IF(ISNUMBER(SEARCH("پمپ",G175)),IF(ISNUMBER(SEARCH("نشت",G175)),"نشتی - پمپ تخلیه (تعمیر/آب‌بندی)","خرابی - پمپ تخلیه (تعویض)"),IF(ISNUMBER(SEARCH("کمپرسور",G175)),"خرابی - کمپرسور (تعویض)",IF(ISNUMBER(SEARCH("کمک فنر",G175)),"خرابی - کمک فنر (تعویض)",IF(ISNUMBER(SEARCH("لولا",G175)),"مکانیزم درب - لولا (تعویض)",IF(OR(ISNUMBER(SEARCH("قلاب",G175)),ISNUMBER(SEARCH("ميکروسوئيچ",G175)),ISNUMBER(SEARCH("میکروسوئیچ",G175))),"مکانیزم درب - میکروسوئیچ/قلاب (تعویض/تنظیم)",IF(ISNUMBER(SEARCH("زبانه",G175)),"مکانیزم درب - زبانه (تعویض)",IF(OR(ISNUMBER(SEARCH("شيلنگ",G175)),ISNUMBER(SEARCH("شیلنگ",G175))),IF(OR(ISNUMBER(SEARCH("نشتی",G175)),ISNUMBER(SEARCH("نشتي",G175))),"نشتی - شیلنگ (تعمیر/آب‌بندی)",IF(OR(ISNUMBER(SEARCH("يخ",G175)),ISNUMBER(SEARCH("یخ",G175))),"شیلنگ یخساز - یخ‌زدگی (بازبینی)","شیلنگ - برخورد/لهیدگی (بازبینی)")),IF(OR(ISNUMBER(SEARCH("تنظيم ديسپل",G175)),ISNUMBER(SEARCH("تنظیم دیسپل",G175)),ISNUMBER(SEARCH("تنظيم صفحه نمايش",G175)),ISNUMBER(SEARCH("تنظیم صفحه نمایش",G175))),"تنظیم - تنظیمات دستگاه/دیسپلی (تعمیر)",IF(OR(ISNUMBER(SEARCH("برد",G175)),ISNUMBER(SEARCH("سوکت",G175)),ISNUMBER(SEARCH("ديسپل",G175)),ISNUMBER(SEARCH("دیسپل",G175))),"خرابی - برد الکترونیک (تعویض)",IF(OR(ISNUMBER(SEARCH("يخساز",G175)),ISNUMBER(SEARCH("یخساز",G175)),ISNUMBER(SEARCH("دمپر",G175))),IF(OR(ISNUMBER(SEARCH("خرابی",G175)),ISNUMBER(SEARCH("خراب",G175)),ISNUMBER(SEARCH("عدم کارکرد",G175)),ISNUMBER(SEARCH("عدم عملکرد",G175))),"یخساز - خرابی موتور/سنسور/برد (تعویض)","یخساز - تنظیم/عایق (تعمیر)"),IF(OR(ISNUMBER(SEARCH("لاستيک",G175)),ISNUMBER(SEARCH("لاستیک",G175))),"لاستیک درزگیر - دفرمگی/پارگی (تعویض)",IF(OR(ISNUMBER(SEARCH("گسکت",G175)),ISNUMBER(SEARCH("گسگت",G175))),"لاستیک درزگیر - دفرمگی/پارگی (تعویض)",IF(ISNUMBER(SEARCH("مخزن نمک",G175)),"نشتی - درب مخزن نمک (تعمیر/آب‌بندی)",IF(ISNUMBER(SEARCH("براکت",G175)),"نشتی - براکت ریل (تعمیر/آب‌بندی)",IF(ISNUMBER(SEARCH("جاپودر",G175)),"نشتی - جاپودری (تعمیر/آب‌بندی)",IF(ISNUMBER(SEARCH("مقسم",G175)),"نشتی - مقسم آب (تعمیر/آب‌بندی)",IF(OR(ISNUMBER(SEARCH("سنسور دما",G175)),ISNUMBER(SEARCH("ترموستات",G175))),"خرابی - ترموستات (تعویض)",IF(OR(ISNUMBER(SEARCH("هيدروستات",G175)),ISNUMBER(SEARCH("هیدروستات",G175))),"خرابی - هیدروستات (تعویض)",IF(OR(ISNUMBER(SEARCH("بلبرينگ",G175)),ISNUMBER(SEARCH("بلبرینگ",G175))),"خرابی - بلبرینگ (تعویض)",IF(OR(ISNUMBER(SEARCH("شيربرق",G175)),ISNUMBER(SEARCH("شیربرق",G175))),"خرابی - شیربرقی (تعویض)",IF(OR(ISNUMBER(SEARCH("واتر جت",G175)),ISNUMBER(SEARCH("واترجت",G175))),"خرابی - واترجت (تعویض)",IF(OR(ISNUMBER(SEARCH("سيم",G175)),ISNUMBER(SEARCH("سیم",G175)),ISNUMBER(SEARCH("اتصال",G175))),"سیم‌کشی/اتصالات (تعویض/بازبینی)",IF(OR(ISNUMBER(SEARCH("تصوير",G175)),ISNUMBER(SEARCH("تصویر",G175))),"برد نمایش تلویزیون (تعویض)",IF(OR(ISNUMBER(SEARCH("ريموت",G175)),ISNUMBER(SEARCH("ریموت",G175))),"ریموت کنترل (تعویض/تعمیر)",IF(OR(ISNUMBER(SEARCH("ال اي دي",G175)),ISNUMBER(SEARCH("ال ای دی",G175)),ISNUMBER(SEARCH("LED",G175))),"خرابی - لامپ/LED داخلی (تعویض)",IF(ISNUMBER(SEARCH("زنگ زدگ",G175)),"زنگ‌زدگی بدنه/قطعه (تعویض)",IF(OR(ISNUMBER(SEARCH("قطعات تزئين",G175)),ISNUMBER(SEARCH("قطعات تزئین",G175))),"قطعات تزئینی - شکستگی/کسری (تعویض)",IF(ISNUMBER(SEARCH("سبد",G175)),"سبد ظرفشویی - شکستگی (تعویض)",IF(ISNUMBER(SEARCH("تاب درام",G175)),"خرابی - تاب برداشتن درام (تعویض)",IF(ISNUMBER(SEARCH("درام",G175)),"خرابی - سایر ایراد درام (تعویض)",IF(ISNUMBER(SEARCH("موتور",G175)),"خرابی - موتور (تعویض)",IF(ISNUMBER(SEARCH("تسمه",G175)),"خرابی - تسمه (تعویض)",IF(OR(ISNUMBER(SEARCH("پيچ ولوم",G175)),ISNUMBER(SEARCH("پیچ ولوم",G175))),"تنظیم - پیچ ولوم/دکمه (تعمیر)",IF(OR(ISNUMBER(SEARCH("کسري قطعات",G175)),ISNUMBER(SEARCH("کسری قطعات",G175))),"کسری قطعات تزئینی (تعویض)",IF(ISNUMBER(SEARCH("پرچ",G175)),"پرچ/بدنه کابین(تعمیر)",IF(OR(ISNUMBER(SEARCH("نشت",G175)),ISNUMBER(SEARCH("آبريزش",G175)),ISNUMBER(SEARCH("آبریزش",G175))),"نشتی آب - محل نامشخص (نیازمند بازدید)",IF(ISNUMBER(SEARCH("درب",G175)),"سایر اجزای درب (بازبینی)",IF(ISNUMBER(SEARCH("ضربه",G175)),"بدنه/کابین - ضربه (بازبینی/تعویض پنل)",IF(ISNUMBER(SEARCH("تراز",G175)),"تراز/لرزش - نصب (رگلاژ پایه)",IF(OR(ISNUMBER(SEARCH("تعویض",G175)),ISNUMBER(SEARCH("تعويض",G175))),"تعویض کامل دستگاه (Replacement)","سایر (نیازمند بررسی دستی)")))))))))))))))))))))))))))))))))))))))))))</f>
        <v/>
      </c>
      <c r="P175" s="124" t="inlineStr">
        <is>
          <t>*</t>
        </is>
      </c>
      <c r="Q175" s="124">
        <f>IF(ISNUMBER(SEARCH("عهده شرکت",F175)),"شرکت",IF(ISNUMBER(SEARCH("عهده مشتري",F175)),"مشتری",IF(ISNUMBER(SEARCH("عهده مشتری",F175)),"مشتری","نامشخص")))</f>
        <v/>
      </c>
      <c r="R175" s="178">
        <f>IF(O175="تعویض کامل دستگاه (Replacement)",IF(SUMIF('قیمت‌ها و مفروضات'!$A$9:$A$13,C175,'قیمت‌ها و مفروضات'!$C$9:$C$13)&lt;&gt;0,SUMIF('قیمت‌ها و مفروضات'!$A$9:$A$13,C175,'قیمت‌ها و مفروضات'!$C$9:$C$13),SUMIF('قیمت‌ها و مفروضات'!$A$9:$A$13,C175,'قیمت‌ها و مفروضات'!$B$9:$B$13)),IF(SUMIF('قیمت‌ها و مفروضات'!$A$18:$A$63,O175,'قیمت‌ها و مفروضات'!$C$18:$C$63)&lt;&gt;0,SUMIF('قیمت‌ها و مفروضات'!$A$18:$A$63,O175,'قیمت‌ها و مفروضات'!$C$18:$C$63),SUMIF('قیمت‌ها و مفروضات'!$A$18:$A$63,O175,'قیمت‌ها و مفروضات'!$B$18:$B$63)))</f>
        <v/>
      </c>
      <c r="S175" s="178">
        <f>'قیمت‌ها و مفروضات'!$B$3+'قیمت‌ها و مفروضات'!$B$4</f>
        <v/>
      </c>
      <c r="T175" s="178">
        <f>R175+S175</f>
        <v/>
      </c>
      <c r="U175" s="178">
        <f>IF(COUNTIF($E$2:E175,E175)&gt;1,"بله (تکراری)","خیر")</f>
        <v/>
      </c>
      <c r="V175" s="178">
        <f>IF(U175="بله (تکراری)",S175,0)</f>
        <v/>
      </c>
      <c r="W175" s="208" t="inlineStr"/>
      <c r="X175" s="208" t="inlineStr"/>
    </row>
    <row r="176" ht="58.5" customHeight="1" s="151">
      <c r="A176" s="176" t="n">
        <v>510017943</v>
      </c>
      <c r="B176" s="124">
        <f>CHOOSE(_xlfn.NUMBERVALUE(MID(H176,6,2)),"فروردین","اردیبهشت","خرداد","تیر","مرداد","شهریور","مهر","آبان","آذر","دی","بهمن","اسفند")</f>
        <v/>
      </c>
      <c r="C176" s="176" t="inlineStr">
        <is>
          <t>یخچال ساید‌بای‌ساید</t>
        </is>
      </c>
      <c r="D176" s="176" t="inlineStr">
        <is>
          <t>C2S-29HS1</t>
        </is>
      </c>
      <c r="E176" s="176" t="inlineStr">
        <is>
          <t>210120001N00335</t>
        </is>
      </c>
      <c r="F176" s="173" t="inlineStr">
        <is>
          <t>عدم کارکرد يخساز**اياب و ذهاب به عهده شرکت</t>
        </is>
      </c>
      <c r="G176" s="173" t="inlineStr">
        <is>
          <t>اصلاح دمپر پلاستيکي پشت کابين - سايد باي سايد</t>
        </is>
      </c>
      <c r="H176" s="176" t="inlineStr">
        <is>
          <t>1405/03/11</t>
        </is>
      </c>
      <c r="I176" s="124" t="inlineStr">
        <is>
          <t>1403/03/17</t>
        </is>
      </c>
      <c r="J176" s="124" t="inlineStr">
        <is>
          <t>1404/12/18</t>
        </is>
      </c>
      <c r="K176" s="177">
        <f>IFERROR(VLOOKUP(LEFT(H176,7),'تبدیل تاریخ'!$A$2:$B$73,2,FALSE())+VALUE(RIGHT(H176,2))-1,"")</f>
        <v/>
      </c>
      <c r="L176" s="177">
        <f>IFERROR(VLOOKUP(LEFT(I176,7),'تبدیل تاریخ'!$A$2:$B$73,2,FALSE())+VALUE(RIGHT(I176,2))-1,"")</f>
        <v/>
      </c>
      <c r="M176" s="177">
        <f>IF(J176="","",IFERROR(VLOOKUP(LEFT(J176,7),'تبدیل تاریخ'!$A$2:$B$73,2,FALSE())+VALUE(RIGHT(J176,2))-1,""))</f>
        <v/>
      </c>
      <c r="N176" s="124">
        <f>IF(OR(K176="",M176=""),"",CEILING((K176-M176)/30,1))</f>
        <v/>
      </c>
      <c r="O176" s="124">
        <f>IF(OR(ISNUMBER(SEARCH("بدون مورد",G176)),ISNUMBER(SEARCH("غير گارانتي",G176)),ISNUMBER(SEARCH("غیر گارانتی",G176)),ISNUMBER(SEARCH("بدون اجرت",G176)),ISNUMBER(SEARCH("فيلتر",G176)),ISNUMBER(SEARCH("فیلتر",G176))),"غیرگارانتی/بدون قطعه",IF(OR(ISNUMBER(SEARCH("ريست",G176)),ISNUMBER(SEARCH("ریست",G176))),"ریست نرم‌افزاری (بدون قطعه)",IF(OR(ISNUMBER(SEARCH("تعویض محصول",G176)),ISNUMBER(SEARCH("تعویض دستگاه",G176))),"تعویض کامل دستگاه (Replacement)",IF(ISNUMBER(SEARCH("پمپ",G176)),IF(ISNUMBER(SEARCH("نشت",G176)),"نشتی - پمپ تخلیه (تعمیر/آب‌بندی)","خرابی - پمپ تخلیه (تعویض)"),IF(ISNUMBER(SEARCH("کمپرسور",G176)),"خرابی - کمپرسور (تعویض)",IF(ISNUMBER(SEARCH("کمک فنر",G176)),"خرابی - کمک فنر (تعویض)",IF(ISNUMBER(SEARCH("لولا",G176)),"مکانیزم درب - لولا (تعویض)",IF(OR(ISNUMBER(SEARCH("قلاب",G176)),ISNUMBER(SEARCH("ميکروسوئيچ",G176)),ISNUMBER(SEARCH("میکروسوئیچ",G176))),"مکانیزم درب - میکروسوئیچ/قلاب (تعویض/تنظیم)",IF(ISNUMBER(SEARCH("زبانه",G176)),"مکانیزم درب - زبانه (تعویض)",IF(OR(ISNUMBER(SEARCH("شيلنگ",G176)),ISNUMBER(SEARCH("شیلنگ",G176))),IF(OR(ISNUMBER(SEARCH("نشتی",G176)),ISNUMBER(SEARCH("نشتي",G176))),"نشتی - شیلنگ (تعمیر/آب‌بندی)",IF(OR(ISNUMBER(SEARCH("يخ",G176)),ISNUMBER(SEARCH("یخ",G176))),"شیلنگ یخساز - یخ‌زدگی (بازبینی)","شیلنگ - برخورد/لهیدگی (بازبینی)")),IF(OR(ISNUMBER(SEARCH("تنظيم ديسپل",G176)),ISNUMBER(SEARCH("تنظیم دیسپل",G176)),ISNUMBER(SEARCH("تنظيم صفحه نمايش",G176)),ISNUMBER(SEARCH("تنظیم صفحه نمایش",G176))),"تنظیم - تنظیمات دستگاه/دیسپلی (تعمیر)",IF(OR(ISNUMBER(SEARCH("برد",G176)),ISNUMBER(SEARCH("سوکت",G176)),ISNUMBER(SEARCH("ديسپل",G176)),ISNUMBER(SEARCH("دیسپل",G176))),"خرابی - برد الکترونیک (تعویض)",IF(OR(ISNUMBER(SEARCH("يخساز",G176)),ISNUMBER(SEARCH("یخساز",G176)),ISNUMBER(SEARCH("دمپر",G176))),IF(OR(ISNUMBER(SEARCH("خرابی",G176)),ISNUMBER(SEARCH("خراب",G176)),ISNUMBER(SEARCH("عدم کارکرد",G176)),ISNUMBER(SEARCH("عدم عملکرد",G176))),"یخساز - خرابی موتور/سنسور/برد (تعویض)","یخساز - تنظیم/عایق (تعمیر)"),IF(OR(ISNUMBER(SEARCH("لاستيک",G176)),ISNUMBER(SEARCH("لاستیک",G176))),"لاستیک درزگیر - دفرمگی/پارگی (تعویض)",IF(OR(ISNUMBER(SEARCH("گسکت",G176)),ISNUMBER(SEARCH("گسگت",G176))),"لاستیک درزگیر - دفرمگی/پارگی (تعویض)",IF(ISNUMBER(SEARCH("مخزن نمک",G176)),"نشتی - درب مخزن نمک (تعمیر/آب‌بندی)",IF(ISNUMBER(SEARCH("براکت",G176)),"نشتی - براکت ریل (تعمیر/آب‌بندی)",IF(ISNUMBER(SEARCH("جاپودر",G176)),"نشتی - جاپودری (تعمیر/آب‌بندی)",IF(ISNUMBER(SEARCH("مقسم",G176)),"نشتی - مقسم آب (تعمیر/آب‌بندی)",IF(OR(ISNUMBER(SEARCH("سنسور دما",G176)),ISNUMBER(SEARCH("ترموستات",G176))),"خرابی - ترموستات (تعویض)",IF(OR(ISNUMBER(SEARCH("هيدروستات",G176)),ISNUMBER(SEARCH("هیدروستات",G176))),"خرابی - هیدروستات (تعویض)",IF(OR(ISNUMBER(SEARCH("بلبرينگ",G176)),ISNUMBER(SEARCH("بلبرینگ",G176))),"خرابی - بلبرینگ (تعویض)",IF(OR(ISNUMBER(SEARCH("شيربرق",G176)),ISNUMBER(SEARCH("شیربرق",G176))),"خرابی - شیربرقی (تعویض)",IF(OR(ISNUMBER(SEARCH("واتر جت",G176)),ISNUMBER(SEARCH("واترجت",G176))),"خرابی - واترجت (تعویض)",IF(OR(ISNUMBER(SEARCH("سيم",G176)),ISNUMBER(SEARCH("سیم",G176)),ISNUMBER(SEARCH("اتصال",G176))),"سیم‌کشی/اتصالات (تعویض/بازبینی)",IF(OR(ISNUMBER(SEARCH("تصوير",G176)),ISNUMBER(SEARCH("تصویر",G176))),"برد نمایش تلویزیون (تعویض)",IF(OR(ISNUMBER(SEARCH("ريموت",G176)),ISNUMBER(SEARCH("ریموت",G176))),"ریموت کنترل (تعویض/تعمیر)",IF(OR(ISNUMBER(SEARCH("ال اي دي",G176)),ISNUMBER(SEARCH("ال ای دی",G176)),ISNUMBER(SEARCH("LED",G176))),"خرابی - لامپ/LED داخلی (تعویض)",IF(ISNUMBER(SEARCH("زنگ زدگ",G176)),"زنگ‌زدگی بدنه/قطعه (تعویض)",IF(OR(ISNUMBER(SEARCH("قطعات تزئين",G176)),ISNUMBER(SEARCH("قطعات تزئین",G176))),"قطعات تزئینی - شکستگی/کسری (تعویض)",IF(ISNUMBER(SEARCH("سبد",G176)),"سبد ظرفشویی - شکستگی (تعویض)",IF(ISNUMBER(SEARCH("تاب درام",G176)),"خرابی - تاب برداشتن درام (تعویض)",IF(ISNUMBER(SEARCH("درام",G176)),"خرابی - سایر ایراد درام (تعویض)",IF(ISNUMBER(SEARCH("موتور",G176)),"خرابی - موتور (تعویض)",IF(ISNUMBER(SEARCH("تسمه",G176)),"خرابی - تسمه (تعویض)",IF(OR(ISNUMBER(SEARCH("پيچ ولوم",G176)),ISNUMBER(SEARCH("پیچ ولوم",G176))),"تنظیم - پیچ ولوم/دکمه (تعمیر)",IF(OR(ISNUMBER(SEARCH("کسري قطعات",G176)),ISNUMBER(SEARCH("کسری قطعات",G176))),"کسری قطعات تزئینی (تعویض)",IF(ISNUMBER(SEARCH("پرچ",G176)),"پرچ/بدنه کابین(تعمیر)",IF(OR(ISNUMBER(SEARCH("نشت",G176)),ISNUMBER(SEARCH("آبريزش",G176)),ISNUMBER(SEARCH("آبریزش",G176))),"نشتی آب - محل نامشخص (نیازمند بازدید)",IF(ISNUMBER(SEARCH("درب",G176)),"سایر اجزای درب (بازبینی)",IF(ISNUMBER(SEARCH("ضربه",G176)),"بدنه/کابین - ضربه (بازبینی/تعویض پنل)",IF(ISNUMBER(SEARCH("تراز",G176)),"تراز/لرزش - نصب (رگلاژ پایه)",IF(OR(ISNUMBER(SEARCH("تعویض",G176)),ISNUMBER(SEARCH("تعويض",G176))),"تعویض کامل دستگاه (Replacement)","سایر (نیازمند بررسی دستی)")))))))))))))))))))))))))))))))))))))))))))</f>
        <v/>
      </c>
      <c r="P176" s="124" t="inlineStr">
        <is>
          <t>*</t>
        </is>
      </c>
      <c r="Q176" s="124">
        <f>IF(ISNUMBER(SEARCH("عهده شرکت",F176)),"شرکت",IF(ISNUMBER(SEARCH("عهده مشتري",F176)),"مشتری",IF(ISNUMBER(SEARCH("عهده مشتری",F176)),"مشتری","نامشخص")))</f>
        <v/>
      </c>
      <c r="R176" s="178">
        <f>IF(O176="تعویض کامل دستگاه (Replacement)",IF(SUMIF('قیمت‌ها و مفروضات'!$A$9:$A$13,C176,'قیمت‌ها و مفروضات'!$C$9:$C$13)&lt;&gt;0,SUMIF('قیمت‌ها و مفروضات'!$A$9:$A$13,C176,'قیمت‌ها و مفروضات'!$C$9:$C$13),SUMIF('قیمت‌ها و مفروضات'!$A$9:$A$13,C176,'قیمت‌ها و مفروضات'!$B$9:$B$13)),IF(SUMIF('قیمت‌ها و مفروضات'!$A$18:$A$63,O176,'قیمت‌ها و مفروضات'!$C$18:$C$63)&lt;&gt;0,SUMIF('قیمت‌ها و مفروضات'!$A$18:$A$63,O176,'قیمت‌ها و مفروضات'!$C$18:$C$63),SUMIF('قیمت‌ها و مفروضات'!$A$18:$A$63,O176,'قیمت‌ها و مفروضات'!$B$18:$B$63)))</f>
        <v/>
      </c>
      <c r="S176" s="178">
        <f>'قیمت‌ها و مفروضات'!$B$3+'قیمت‌ها و مفروضات'!$B$4</f>
        <v/>
      </c>
      <c r="T176" s="178">
        <f>R176+S176</f>
        <v/>
      </c>
      <c r="U176" s="178">
        <f>IF(COUNTIF($E$2:E176,E176)&gt;1,"بله (تکراری)","خیر")</f>
        <v/>
      </c>
      <c r="V176" s="178">
        <f>IF(U176="بله (تکراری)",S176,0)</f>
        <v/>
      </c>
      <c r="W176" s="208" t="inlineStr"/>
      <c r="X176" s="208" t="inlineStr"/>
    </row>
    <row r="177" ht="58.5" customHeight="1" s="151">
      <c r="A177" s="176" t="n">
        <v>210006874</v>
      </c>
      <c r="B177" s="124">
        <f>CHOOSE(_xlfn.NUMBERVALUE(MID(H177,6,2)),"فروردین","اردیبهشت","خرداد","تیر","مرداد","شهریور","مهر","آبان","آذر","دی","بهمن","اسفند")</f>
        <v/>
      </c>
      <c r="C177" s="176" t="inlineStr">
        <is>
          <t>ماشين ظرفشويي</t>
        </is>
      </c>
      <c r="D177" s="176" t="inlineStr">
        <is>
          <t>CDW-H16T</t>
        </is>
      </c>
      <c r="E177" s="176" t="inlineStr">
        <is>
          <t>52220004N04701</t>
        </is>
      </c>
      <c r="F177" s="173" t="inlineStr">
        <is>
          <t>اياب و ذهاب به عهده شرکت از کار افتادن محصول</t>
        </is>
      </c>
      <c r="G177" s="173" t="inlineStr">
        <is>
          <t>خرابي برد - از کار افتادن</t>
        </is>
      </c>
      <c r="H177" s="176" t="inlineStr">
        <is>
          <t>1405/03/19</t>
        </is>
      </c>
      <c r="I177" s="124" t="inlineStr">
        <is>
          <t>1404/08/21</t>
        </is>
      </c>
      <c r="J177" s="124" t="inlineStr">
        <is>
          <t>1405/01/27</t>
        </is>
      </c>
      <c r="K177" s="177">
        <f>IFERROR(VLOOKUP(LEFT(H177,7),'تبدیل تاریخ'!$A$2:$B$73,2,FALSE())+VALUE(RIGHT(H177,2))-1,"")</f>
        <v/>
      </c>
      <c r="L177" s="177">
        <f>IFERROR(VLOOKUP(LEFT(I177,7),'تبدیل تاریخ'!$A$2:$B$73,2,FALSE())+VALUE(RIGHT(I177,2))-1,"")</f>
        <v/>
      </c>
      <c r="M177" s="177">
        <f>IF(J177="","",IFERROR(VLOOKUP(LEFT(J177,7),'تبدیل تاریخ'!$A$2:$B$73,2,FALSE())+VALUE(RIGHT(J177,2))-1,""))</f>
        <v/>
      </c>
      <c r="N177" s="124">
        <f>IF(OR(K177="",M177=""),"",CEILING((K177-M177)/30,1))</f>
        <v/>
      </c>
      <c r="O177" s="124">
        <f>IF(OR(ISNUMBER(SEARCH("بدون مورد",G177)),ISNUMBER(SEARCH("غير گارانتي",G177)),ISNUMBER(SEARCH("غیر گارانتی",G177)),ISNUMBER(SEARCH("بدون اجرت",G177)),ISNUMBER(SEARCH("فيلتر",G177)),ISNUMBER(SEARCH("فیلتر",G177))),"غیرگارانتی/بدون قطعه",IF(OR(ISNUMBER(SEARCH("ريست",G177)),ISNUMBER(SEARCH("ریست",G177))),"ریست نرم‌افزاری (بدون قطعه)",IF(OR(ISNUMBER(SEARCH("تعویض محصول",G177)),ISNUMBER(SEARCH("تعویض دستگاه",G177))),"تعویض کامل دستگاه (Replacement)",IF(ISNUMBER(SEARCH("پمپ",G177)),IF(ISNUMBER(SEARCH("نشت",G177)),"نشتی - پمپ تخلیه (تعمیر/آب‌بندی)","خرابی - پمپ تخلیه (تعویض)"),IF(ISNUMBER(SEARCH("کمپرسور",G177)),"خرابی - کمپرسور (تعویض)",IF(ISNUMBER(SEARCH("کمک فنر",G177)),"خرابی - کمک فنر (تعویض)",IF(ISNUMBER(SEARCH("لولا",G177)),"مکانیزم درب - لولا (تعویض)",IF(OR(ISNUMBER(SEARCH("قلاب",G177)),ISNUMBER(SEARCH("ميکروسوئيچ",G177)),ISNUMBER(SEARCH("میکروسوئیچ",G177))),"مکانیزم درب - میکروسوئیچ/قلاب (تعویض/تنظیم)",IF(ISNUMBER(SEARCH("زبانه",G177)),"مکانیزم درب - زبانه (تعویض)",IF(OR(ISNUMBER(SEARCH("شيلنگ",G177)),ISNUMBER(SEARCH("شیلنگ",G177))),IF(OR(ISNUMBER(SEARCH("نشتی",G177)),ISNUMBER(SEARCH("نشتي",G177))),"نشتی - شیلنگ (تعمیر/آب‌بندی)",IF(OR(ISNUMBER(SEARCH("يخ",G177)),ISNUMBER(SEARCH("یخ",G177))),"شیلنگ یخساز - یخ‌زدگی (بازبینی)","شیلنگ - برخورد/لهیدگی (بازبینی)")),IF(OR(ISNUMBER(SEARCH("تنظيم ديسپل",G177)),ISNUMBER(SEARCH("تنظیم دیسپل",G177)),ISNUMBER(SEARCH("تنظيم صفحه نمايش",G177)),ISNUMBER(SEARCH("تنظیم صفحه نمایش",G177))),"تنظیم - تنظیمات دستگاه/دیسپلی (تعمیر)",IF(OR(ISNUMBER(SEARCH("برد",G177)),ISNUMBER(SEARCH("سوکت",G177)),ISNUMBER(SEARCH("ديسپل",G177)),ISNUMBER(SEARCH("دیسپل",G177))),"خرابی - برد الکترونیک (تعویض)",IF(OR(ISNUMBER(SEARCH("يخساز",G177)),ISNUMBER(SEARCH("یخساز",G177)),ISNUMBER(SEARCH("دمپر",G177))),IF(OR(ISNUMBER(SEARCH("خرابی",G177)),ISNUMBER(SEARCH("خراب",G177)),ISNUMBER(SEARCH("عدم کارکرد",G177)),ISNUMBER(SEARCH("عدم عملکرد",G177))),"یخساز - خرابی موتور/سنسور/برد (تعویض)","یخساز - تنظیم/عایق (تعمیر)"),IF(OR(ISNUMBER(SEARCH("لاستيک",G177)),ISNUMBER(SEARCH("لاستیک",G177))),"لاستیک درزگیر - دفرمگی/پارگی (تعویض)",IF(OR(ISNUMBER(SEARCH("گسکت",G177)),ISNUMBER(SEARCH("گسگت",G177))),"لاستیک درزگیر - دفرمگی/پارگی (تعویض)",IF(ISNUMBER(SEARCH("مخزن نمک",G177)),"نشتی - درب مخزن نمک (تعمیر/آب‌بندی)",IF(ISNUMBER(SEARCH("براکت",G177)),"نشتی - براکت ریل (تعمیر/آب‌بندی)",IF(ISNUMBER(SEARCH("جاپودر",G177)),"نشتی - جاپودری (تعمیر/آب‌بندی)",IF(ISNUMBER(SEARCH("مقسم",G177)),"نشتی - مقسم آب (تعمیر/آب‌بندی)",IF(OR(ISNUMBER(SEARCH("سنسور دما",G177)),ISNUMBER(SEARCH("ترموستات",G177))),"خرابی - ترموستات (تعویض)",IF(OR(ISNUMBER(SEARCH("هيدروستات",G177)),ISNUMBER(SEARCH("هیدروستات",G177))),"خرابی - هیدروستات (تعویض)",IF(OR(ISNUMBER(SEARCH("بلبرينگ",G177)),ISNUMBER(SEARCH("بلبرینگ",G177))),"خرابی - بلبرینگ (تعویض)",IF(OR(ISNUMBER(SEARCH("شيربرق",G177)),ISNUMBER(SEARCH("شیربرق",G177))),"خرابی - شیربرقی (تعویض)",IF(OR(ISNUMBER(SEARCH("واتر جت",G177)),ISNUMBER(SEARCH("واترجت",G177))),"خرابی - واترجت (تعویض)",IF(OR(ISNUMBER(SEARCH("سيم",G177)),ISNUMBER(SEARCH("سیم",G177)),ISNUMBER(SEARCH("اتصال",G177))),"سیم‌کشی/اتصالات (تعویض/بازبینی)",IF(OR(ISNUMBER(SEARCH("تصوير",G177)),ISNUMBER(SEARCH("تصویر",G177))),"برد نمایش تلویزیون (تعویض)",IF(OR(ISNUMBER(SEARCH("ريموت",G177)),ISNUMBER(SEARCH("ریموت",G177))),"ریموت کنترل (تعویض/تعمیر)",IF(OR(ISNUMBER(SEARCH("ال اي دي",G177)),ISNUMBER(SEARCH("ال ای دی",G177)),ISNUMBER(SEARCH("LED",G177))),"خرابی - لامپ/LED داخلی (تعویض)",IF(ISNUMBER(SEARCH("زنگ زدگ",G177)),"زنگ‌زدگی بدنه/قطعه (تعویض)",IF(OR(ISNUMBER(SEARCH("قطعات تزئين",G177)),ISNUMBER(SEARCH("قطعات تزئین",G177))),"قطعات تزئینی - شکستگی/کسری (تعویض)",IF(ISNUMBER(SEARCH("سبد",G177)),"سبد ظرفشویی - شکستگی (تعویض)",IF(ISNUMBER(SEARCH("تاب درام",G177)),"خرابی - تاب برداشتن درام (تعویض)",IF(ISNUMBER(SEARCH("درام",G177)),"خرابی - سایر ایراد درام (تعویض)",IF(ISNUMBER(SEARCH("موتور",G177)),"خرابی - موتور (تعویض)",IF(ISNUMBER(SEARCH("تسمه",G177)),"خرابی - تسمه (تعویض)",IF(OR(ISNUMBER(SEARCH("پيچ ولوم",G177)),ISNUMBER(SEARCH("پیچ ولوم",G177))),"تنظیم - پیچ ولوم/دکمه (تعمیر)",IF(OR(ISNUMBER(SEARCH("کسري قطعات",G177)),ISNUMBER(SEARCH("کسری قطعات",G177))),"کسری قطعات تزئینی (تعویض)",IF(ISNUMBER(SEARCH("پرچ",G177)),"پرچ/بدنه کابین(تعمیر)",IF(OR(ISNUMBER(SEARCH("نشت",G177)),ISNUMBER(SEARCH("آبريزش",G177)),ISNUMBER(SEARCH("آبریزش",G177))),"نشتی آب - محل نامشخص (نیازمند بازدید)",IF(ISNUMBER(SEARCH("درب",G177)),"سایر اجزای درب (بازبینی)",IF(ISNUMBER(SEARCH("ضربه",G177)),"بدنه/کابین - ضربه (بازبینی/تعویض پنل)",IF(ISNUMBER(SEARCH("تراز",G177)),"تراز/لرزش - نصب (رگلاژ پایه)",IF(OR(ISNUMBER(SEARCH("تعویض",G177)),ISNUMBER(SEARCH("تعويض",G177))),"تعویض کامل دستگاه (Replacement)","سایر (نیازمند بررسی دستی)")))))))))))))))))))))))))))))))))))))))))))</f>
        <v/>
      </c>
      <c r="P177" s="124" t="inlineStr">
        <is>
          <t>برد ظرفشویی</t>
        </is>
      </c>
      <c r="Q177" s="124">
        <f>IF(ISNUMBER(SEARCH("عهده شرکت",F177)),"شرکت",IF(ISNUMBER(SEARCH("عهده مشتري",F177)),"مشتری",IF(ISNUMBER(SEARCH("عهده مشتری",F177)),"مشتری","نامشخص")))</f>
        <v/>
      </c>
      <c r="R177" s="178">
        <f>IF(O177="تعویض کامل دستگاه (Replacement)",IF(SUMIF('قیمت‌ها و مفروضات'!$A$9:$A$13,C177,'قیمت‌ها و مفروضات'!$C$9:$C$13)&lt;&gt;0,SUMIF('قیمت‌ها و مفروضات'!$A$9:$A$13,C177,'قیمت‌ها و مفروضات'!$C$9:$C$13),SUMIF('قیمت‌ها و مفروضات'!$A$9:$A$13,C177,'قیمت‌ها و مفروضات'!$B$9:$B$13)),IF(SUMIF('قیمت‌ها و مفروضات'!$A$18:$A$63,O177,'قیمت‌ها و مفروضات'!$C$18:$C$63)&lt;&gt;0,SUMIF('قیمت‌ها و مفروضات'!$A$18:$A$63,O177,'قیمت‌ها و مفروضات'!$C$18:$C$63),SUMIF('قیمت‌ها و مفروضات'!$A$18:$A$63,O177,'قیمت‌ها و مفروضات'!$B$18:$B$63)))</f>
        <v/>
      </c>
      <c r="S177" s="178">
        <f>'قیمت‌ها و مفروضات'!$B$3+'قیمت‌ها و مفروضات'!$B$4</f>
        <v/>
      </c>
      <c r="T177" s="178">
        <f>R177+S177</f>
        <v/>
      </c>
      <c r="U177" s="178">
        <f>IF(COUNTIF($E$2:E177,E177)&gt;1,"بله (تکراری)","خیر")</f>
        <v/>
      </c>
      <c r="V177" s="178">
        <f>IF(U177="بله (تکراری)",S177,0)</f>
        <v/>
      </c>
      <c r="W177" s="208" t="inlineStr"/>
      <c r="X177" s="208" t="inlineStr"/>
    </row>
    <row r="178" ht="58.5" customHeight="1" s="151">
      <c r="A178" s="176" t="n">
        <v>210008506</v>
      </c>
      <c r="B178" s="124">
        <f>CHOOSE(_xlfn.NUMBERVALUE(MID(H178,6,2)),"فروردین","اردیبهشت","خرداد","تیر","مرداد","شهریور","مهر","آبان","آذر","دی","بهمن","اسفند")</f>
        <v/>
      </c>
      <c r="C178" s="176" t="inlineStr">
        <is>
          <t>یخچال ساید‌بای‌ساید</t>
        </is>
      </c>
      <c r="D178" s="176" t="inlineStr">
        <is>
          <t>C2S-29HS1</t>
        </is>
      </c>
      <c r="E178" s="176" t="inlineStr">
        <is>
          <t>52240001N00773</t>
        </is>
      </c>
      <c r="F178" s="173" t="inlineStr">
        <is>
          <t>آلارم خودبخودي محصول**اختلاف ارتفاع درب يخچال و فريزر**اياب و ذهاب به عهده مشتري</t>
        </is>
      </c>
      <c r="G178" s="173" t="inlineStr">
        <is>
          <t>خرابي برد - آلارم خود بخودي محصول - سايد باي سايد</t>
        </is>
      </c>
      <c r="H178" s="176" t="inlineStr">
        <is>
          <t>1405/03/21</t>
        </is>
      </c>
      <c r="I178" s="124" t="inlineStr">
        <is>
          <t>1403/04/09</t>
        </is>
      </c>
      <c r="J178" s="124" t="inlineStr">
        <is>
          <t>1403/10/27</t>
        </is>
      </c>
      <c r="K178" s="177">
        <f>IFERROR(VLOOKUP(LEFT(H178,7),'تبدیل تاریخ'!$A$2:$B$73,2,FALSE())+VALUE(RIGHT(H178,2))-1,"")</f>
        <v/>
      </c>
      <c r="L178" s="177">
        <f>IFERROR(VLOOKUP(LEFT(I178,7),'تبدیل تاریخ'!$A$2:$B$73,2,FALSE())+VALUE(RIGHT(I178,2))-1,"")</f>
        <v/>
      </c>
      <c r="M178" s="177">
        <f>IF(J178="","",IFERROR(VLOOKUP(LEFT(J178,7),'تبدیل تاریخ'!$A$2:$B$73,2,FALSE())+VALUE(RIGHT(J178,2))-1,""))</f>
        <v/>
      </c>
      <c r="N178" s="124">
        <f>IF(OR(K178="",M178=""),"",CEILING((K178-M178)/30,1))</f>
        <v/>
      </c>
      <c r="O178" s="124">
        <f>IF(OR(ISNUMBER(SEARCH("بدون مورد",G178)),ISNUMBER(SEARCH("غير گارانتي",G178)),ISNUMBER(SEARCH("غیر گارانتی",G178)),ISNUMBER(SEARCH("بدون اجرت",G178)),ISNUMBER(SEARCH("فيلتر",G178)),ISNUMBER(SEARCH("فیلتر",G178))),"غیرگارانتی/بدون قطعه",IF(OR(ISNUMBER(SEARCH("ريست",G178)),ISNUMBER(SEARCH("ریست",G178))),"ریست نرم‌افزاری (بدون قطعه)",IF(OR(ISNUMBER(SEARCH("تعویض محصول",G178)),ISNUMBER(SEARCH("تعویض دستگاه",G178))),"تعویض کامل دستگاه (Replacement)",IF(ISNUMBER(SEARCH("پمپ",G178)),IF(ISNUMBER(SEARCH("نشت",G178)),"نشتی - پمپ تخلیه (تعمیر/آب‌بندی)","خرابی - پمپ تخلیه (تعویض)"),IF(ISNUMBER(SEARCH("کمپرسور",G178)),"خرابی - کمپرسور (تعویض)",IF(ISNUMBER(SEARCH("کمک فنر",G178)),"خرابی - کمک فنر (تعویض)",IF(ISNUMBER(SEARCH("لولا",G178)),"مکانیزم درب - لولا (تعویض)",IF(OR(ISNUMBER(SEARCH("قلاب",G178)),ISNUMBER(SEARCH("ميکروسوئيچ",G178)),ISNUMBER(SEARCH("میکروسوئیچ",G178))),"مکانیزم درب - میکروسوئیچ/قلاب (تعویض/تنظیم)",IF(ISNUMBER(SEARCH("زبانه",G178)),"مکانیزم درب - زبانه (تعویض)",IF(OR(ISNUMBER(SEARCH("شيلنگ",G178)),ISNUMBER(SEARCH("شیلنگ",G178))),IF(OR(ISNUMBER(SEARCH("نشتی",G178)),ISNUMBER(SEARCH("نشتي",G178))),"نشتی - شیلنگ (تعمیر/آب‌بندی)",IF(OR(ISNUMBER(SEARCH("يخ",G178)),ISNUMBER(SEARCH("یخ",G178))),"شیلنگ یخساز - یخ‌زدگی (بازبینی)","شیلنگ - برخورد/لهیدگی (بازبینی)")),IF(OR(ISNUMBER(SEARCH("تنظيم ديسپل",G178)),ISNUMBER(SEARCH("تنظیم دیسپل",G178)),ISNUMBER(SEARCH("تنظيم صفحه نمايش",G178)),ISNUMBER(SEARCH("تنظیم صفحه نمایش",G178))),"تنظیم - تنظیمات دستگاه/دیسپلی (تعمیر)",IF(OR(ISNUMBER(SEARCH("برد",G178)),ISNUMBER(SEARCH("سوکت",G178)),ISNUMBER(SEARCH("ديسپل",G178)),ISNUMBER(SEARCH("دیسپل",G178))),"خرابی - برد الکترونیک (تعویض)",IF(OR(ISNUMBER(SEARCH("يخساز",G178)),ISNUMBER(SEARCH("یخساز",G178)),ISNUMBER(SEARCH("دمپر",G178))),IF(OR(ISNUMBER(SEARCH("خرابی",G178)),ISNUMBER(SEARCH("خراب",G178)),ISNUMBER(SEARCH("عدم کارکرد",G178)),ISNUMBER(SEARCH("عدم عملکرد",G178))),"یخساز - خرابی موتور/سنسور/برد (تعویض)","یخساز - تنظیم/عایق (تعمیر)"),IF(OR(ISNUMBER(SEARCH("لاستيک",G178)),ISNUMBER(SEARCH("لاستیک",G178))),"لاستیک درزگیر - دفرمگی/پارگی (تعویض)",IF(OR(ISNUMBER(SEARCH("گسکت",G178)),ISNUMBER(SEARCH("گسگت",G178))),"لاستیک درزگیر - دفرمگی/پارگی (تعویض)",IF(ISNUMBER(SEARCH("مخزن نمک",G178)),"نشتی - درب مخزن نمک (تعمیر/آب‌بندی)",IF(ISNUMBER(SEARCH("براکت",G178)),"نشتی - براکت ریل (تعمیر/آب‌بندی)",IF(ISNUMBER(SEARCH("جاپودر",G178)),"نشتی - جاپودری (تعمیر/آب‌بندی)",IF(ISNUMBER(SEARCH("مقسم",G178)),"نشتی - مقسم آب (تعمیر/آب‌بندی)",IF(OR(ISNUMBER(SEARCH("سنسور دما",G178)),ISNUMBER(SEARCH("ترموستات",G178))),"خرابی - ترموستات (تعویض)",IF(OR(ISNUMBER(SEARCH("هيدروستات",G178)),ISNUMBER(SEARCH("هیدروستات",G178))),"خرابی - هیدروستات (تعویض)",IF(OR(ISNUMBER(SEARCH("بلبرينگ",G178)),ISNUMBER(SEARCH("بلبرینگ",G178))),"خرابی - بلبرینگ (تعویض)",IF(OR(ISNUMBER(SEARCH("شيربرق",G178)),ISNUMBER(SEARCH("شیربرق",G178))),"خرابی - شیربرقی (تعویض)",IF(OR(ISNUMBER(SEARCH("واتر جت",G178)),ISNUMBER(SEARCH("واترجت",G178))),"خرابی - واترجت (تعویض)",IF(OR(ISNUMBER(SEARCH("سيم",G178)),ISNUMBER(SEARCH("سیم",G178)),ISNUMBER(SEARCH("اتصال",G178))),"سیم‌کشی/اتصالات (تعویض/بازبینی)",IF(OR(ISNUMBER(SEARCH("تصوير",G178)),ISNUMBER(SEARCH("تصویر",G178))),"برد نمایش تلویزیون (تعویض)",IF(OR(ISNUMBER(SEARCH("ريموت",G178)),ISNUMBER(SEARCH("ریموت",G178))),"ریموت کنترل (تعویض/تعمیر)",IF(OR(ISNUMBER(SEARCH("ال اي دي",G178)),ISNUMBER(SEARCH("ال ای دی",G178)),ISNUMBER(SEARCH("LED",G178))),"خرابی - لامپ/LED داخلی (تعویض)",IF(ISNUMBER(SEARCH("زنگ زدگ",G178)),"زنگ‌زدگی بدنه/قطعه (تعویض)",IF(OR(ISNUMBER(SEARCH("قطعات تزئين",G178)),ISNUMBER(SEARCH("قطعات تزئین",G178))),"قطعات تزئینی - شکستگی/کسری (تعویض)",IF(ISNUMBER(SEARCH("سبد",G178)),"سبد ظرفشویی - شکستگی (تعویض)",IF(ISNUMBER(SEARCH("تاب درام",G178)),"خرابی - تاب برداشتن درام (تعویض)",IF(ISNUMBER(SEARCH("درام",G178)),"خرابی - سایر ایراد درام (تعویض)",IF(ISNUMBER(SEARCH("موتور",G178)),"خرابی - موتور (تعویض)",IF(ISNUMBER(SEARCH("تسمه",G178)),"خرابی - تسمه (تعویض)",IF(OR(ISNUMBER(SEARCH("پيچ ولوم",G178)),ISNUMBER(SEARCH("پیچ ولوم",G178))),"تنظیم - پیچ ولوم/دکمه (تعمیر)",IF(OR(ISNUMBER(SEARCH("کسري قطعات",G178)),ISNUMBER(SEARCH("کسری قطعات",G178))),"کسری قطعات تزئینی (تعویض)",IF(ISNUMBER(SEARCH("پرچ",G178)),"پرچ/بدنه کابین(تعمیر)",IF(OR(ISNUMBER(SEARCH("نشت",G178)),ISNUMBER(SEARCH("آبريزش",G178)),ISNUMBER(SEARCH("آبریزش",G178))),"نشتی آب - محل نامشخص (نیازمند بازدید)",IF(ISNUMBER(SEARCH("درب",G178)),"سایر اجزای درب (بازبینی)",IF(ISNUMBER(SEARCH("ضربه",G178)),"بدنه/کابین - ضربه (بازبینی/تعویض پنل)",IF(ISNUMBER(SEARCH("تراز",G178)),"تراز/لرزش - نصب (رگلاژ پایه)",IF(OR(ISNUMBER(SEARCH("تعویض",G178)),ISNUMBER(SEARCH("تعويض",G178))),"تعویض کامل دستگاه (Replacement)","سایر (نیازمند بررسی دستی)")))))))))))))))))))))))))))))))))))))))))))</f>
        <v/>
      </c>
      <c r="P178" s="124" t="inlineStr">
        <is>
          <t>برد ساید بای ساید</t>
        </is>
      </c>
      <c r="Q178" s="124">
        <f>IF(ISNUMBER(SEARCH("عهده شرکت",F178)),"شرکت",IF(ISNUMBER(SEARCH("عهده مشتري",F178)),"مشتری",IF(ISNUMBER(SEARCH("عهده مشتری",F178)),"مشتری","نامشخص")))</f>
        <v/>
      </c>
      <c r="R178" s="178">
        <f>IF(O178="تعویض کامل دستگاه (Replacement)",IF(SUMIF('قیمت‌ها و مفروضات'!$A$9:$A$13,C178,'قیمت‌ها و مفروضات'!$C$9:$C$13)&lt;&gt;0,SUMIF('قیمت‌ها و مفروضات'!$A$9:$A$13,C178,'قیمت‌ها و مفروضات'!$C$9:$C$13),SUMIF('قیمت‌ها و مفروضات'!$A$9:$A$13,C178,'قیمت‌ها و مفروضات'!$B$9:$B$13)),IF(SUMIF('قیمت‌ها و مفروضات'!$A$18:$A$63,O178,'قیمت‌ها و مفروضات'!$C$18:$C$63)&lt;&gt;0,SUMIF('قیمت‌ها و مفروضات'!$A$18:$A$63,O178,'قیمت‌ها و مفروضات'!$C$18:$C$63),SUMIF('قیمت‌ها و مفروضات'!$A$18:$A$63,O178,'قیمت‌ها و مفروضات'!$B$18:$B$63)))</f>
        <v/>
      </c>
      <c r="S178" s="178">
        <f>'قیمت‌ها و مفروضات'!$B$3+'قیمت‌ها و مفروضات'!$B$4</f>
        <v/>
      </c>
      <c r="T178" s="178">
        <f>R178+S178</f>
        <v/>
      </c>
      <c r="U178" s="178">
        <f>IF(COUNTIF($E$2:E178,E178)&gt;1,"بله (تکراری)","خیر")</f>
        <v/>
      </c>
      <c r="V178" s="178">
        <f>IF(U178="بله (تکراری)",S178,0)</f>
        <v/>
      </c>
      <c r="W178" s="208" t="inlineStr"/>
      <c r="X178" s="208" t="inlineStr"/>
    </row>
    <row r="179" ht="58.5" customHeight="1" s="151">
      <c r="A179" s="176" t="n">
        <v>210007876</v>
      </c>
      <c r="B179" s="124">
        <f>CHOOSE(_xlfn.NUMBERVALUE(MID(H179,6,2)),"فروردین","اردیبهشت","خرداد","تیر","مرداد","شهریور","مهر","آبان","آذر","دی","بهمن","اسفند")</f>
        <v/>
      </c>
      <c r="C179" s="176" t="inlineStr">
        <is>
          <t>یخچال ساید‌بای‌ساید</t>
        </is>
      </c>
      <c r="D179" s="176" t="inlineStr">
        <is>
          <t>C2S-29HS1</t>
        </is>
      </c>
      <c r="E179" s="176" t="inlineStr">
        <is>
          <t>52240001N01143</t>
        </is>
      </c>
      <c r="F179" s="173" t="inlineStr">
        <is>
          <t>صداي غيرعادي درب**اياب و ذهاب به عهده مشتري</t>
        </is>
      </c>
      <c r="G179" s="173" t="inlineStr">
        <is>
          <t>گريسکاري درب - سايد باي سايد</t>
        </is>
      </c>
      <c r="H179" s="176" t="inlineStr">
        <is>
          <t>1405/03/03</t>
        </is>
      </c>
      <c r="I179" s="124" t="inlineStr">
        <is>
          <t>1403/04/24</t>
        </is>
      </c>
      <c r="J179" s="124" t="inlineStr">
        <is>
          <t>1403/10/24</t>
        </is>
      </c>
      <c r="K179" s="177">
        <f>IFERROR(VLOOKUP(LEFT(H179,7),'تبدیل تاریخ'!$A$2:$B$73,2,FALSE())+VALUE(RIGHT(H179,2))-1,"")</f>
        <v/>
      </c>
      <c r="L179" s="177">
        <f>IFERROR(VLOOKUP(LEFT(I179,7),'تبدیل تاریخ'!$A$2:$B$73,2,FALSE())+VALUE(RIGHT(I179,2))-1,"")</f>
        <v/>
      </c>
      <c r="M179" s="177">
        <f>IF(J179="","",IFERROR(VLOOKUP(LEFT(J179,7),'تبدیل تاریخ'!$A$2:$B$73,2,FALSE())+VALUE(RIGHT(J179,2))-1,""))</f>
        <v/>
      </c>
      <c r="N179" s="124">
        <f>IF(OR(K179="",M179=""),"",CEILING((K179-M179)/30,1))</f>
        <v/>
      </c>
      <c r="O179" s="124">
        <f>IF(OR(ISNUMBER(SEARCH("بدون مورد",G179)),ISNUMBER(SEARCH("غير گارانتي",G179)),ISNUMBER(SEARCH("غیر گارانتی",G179)),ISNUMBER(SEARCH("بدون اجرت",G179)),ISNUMBER(SEARCH("فيلتر",G179)),ISNUMBER(SEARCH("فیلتر",G179))),"غیرگارانتی/بدون قطعه",IF(OR(ISNUMBER(SEARCH("ريست",G179)),ISNUMBER(SEARCH("ریست",G179))),"ریست نرم‌افزاری (بدون قطعه)",IF(OR(ISNUMBER(SEARCH("تعویض محصول",G179)),ISNUMBER(SEARCH("تعویض دستگاه",G179))),"تعویض کامل دستگاه (Replacement)",IF(ISNUMBER(SEARCH("پمپ",G179)),IF(ISNUMBER(SEARCH("نشت",G179)),"نشتی - پمپ تخلیه (تعمیر/آب‌بندی)","خرابی - پمپ تخلیه (تعویض)"),IF(ISNUMBER(SEARCH("کمپرسور",G179)),"خرابی - کمپرسور (تعویض)",IF(ISNUMBER(SEARCH("کمک فنر",G179)),"خرابی - کمک فنر (تعویض)",IF(ISNUMBER(SEARCH("لولا",G179)),"مکانیزم درب - لولا (تعویض)",IF(OR(ISNUMBER(SEARCH("قلاب",G179)),ISNUMBER(SEARCH("ميکروسوئيچ",G179)),ISNUMBER(SEARCH("میکروسوئیچ",G179))),"مکانیزم درب - میکروسوئیچ/قلاب (تعویض/تنظیم)",IF(ISNUMBER(SEARCH("زبانه",G179)),"مکانیزم درب - زبانه (تعویض)",IF(OR(ISNUMBER(SEARCH("شيلنگ",G179)),ISNUMBER(SEARCH("شیلنگ",G179))),IF(OR(ISNUMBER(SEARCH("نشتی",G179)),ISNUMBER(SEARCH("نشتي",G179))),"نشتی - شیلنگ (تعمیر/آب‌بندی)",IF(OR(ISNUMBER(SEARCH("يخ",G179)),ISNUMBER(SEARCH("یخ",G179))),"شیلنگ یخساز - یخ‌زدگی (بازبینی)","شیلنگ - برخورد/لهیدگی (بازبینی)")),IF(OR(ISNUMBER(SEARCH("تنظيم ديسپل",G179)),ISNUMBER(SEARCH("تنظیم دیسپل",G179)),ISNUMBER(SEARCH("تنظيم صفحه نمايش",G179)),ISNUMBER(SEARCH("تنظیم صفحه نمایش",G179))),"تنظیم - تنظیمات دستگاه/دیسپلی (تعمیر)",IF(OR(ISNUMBER(SEARCH("برد",G179)),ISNUMBER(SEARCH("سوکت",G179)),ISNUMBER(SEARCH("ديسپل",G179)),ISNUMBER(SEARCH("دیسپل",G179))),"خرابی - برد الکترونیک (تعویض)",IF(OR(ISNUMBER(SEARCH("يخساز",G179)),ISNUMBER(SEARCH("یخساز",G179)),ISNUMBER(SEARCH("دمپر",G179))),IF(OR(ISNUMBER(SEARCH("خرابی",G179)),ISNUMBER(SEARCH("خراب",G179)),ISNUMBER(SEARCH("عدم کارکرد",G179)),ISNUMBER(SEARCH("عدم عملکرد",G179))),"یخساز - خرابی موتور/سنسور/برد (تعویض)","یخساز - تنظیم/عایق (تعمیر)"),IF(OR(ISNUMBER(SEARCH("لاستيک",G179)),ISNUMBER(SEARCH("لاستیک",G179))),"لاستیک درزگیر - دفرمگی/پارگی (تعویض)",IF(OR(ISNUMBER(SEARCH("گسکت",G179)),ISNUMBER(SEARCH("گسگت",G179))),"لاستیک درزگیر - دفرمگی/پارگی (تعویض)",IF(ISNUMBER(SEARCH("مخزن نمک",G179)),"نشتی - درب مخزن نمک (تعمیر/آب‌بندی)",IF(ISNUMBER(SEARCH("براکت",G179)),"نشتی - براکت ریل (تعمیر/آب‌بندی)",IF(ISNUMBER(SEARCH("جاپودر",G179)),"نشتی - جاپودری (تعمیر/آب‌بندی)",IF(ISNUMBER(SEARCH("مقسم",G179)),"نشتی - مقسم آب (تعمیر/آب‌بندی)",IF(OR(ISNUMBER(SEARCH("سنسور دما",G179)),ISNUMBER(SEARCH("ترموستات",G179))),"خرابی - ترموستات (تعویض)",IF(OR(ISNUMBER(SEARCH("هيدروستات",G179)),ISNUMBER(SEARCH("هیدروستات",G179))),"خرابی - هیدروستات (تعویض)",IF(OR(ISNUMBER(SEARCH("بلبرينگ",G179)),ISNUMBER(SEARCH("بلبرینگ",G179))),"خرابی - بلبرینگ (تعویض)",IF(OR(ISNUMBER(SEARCH("شيربرق",G179)),ISNUMBER(SEARCH("شیربرق",G179))),"خرابی - شیربرقی (تعویض)",IF(OR(ISNUMBER(SEARCH("واتر جت",G179)),ISNUMBER(SEARCH("واترجت",G179))),"خرابی - واترجت (تعویض)",IF(OR(ISNUMBER(SEARCH("سيم",G179)),ISNUMBER(SEARCH("سیم",G179)),ISNUMBER(SEARCH("اتصال",G179))),"سیم‌کشی/اتصالات (تعویض/بازبینی)",IF(OR(ISNUMBER(SEARCH("تصوير",G179)),ISNUMBER(SEARCH("تصویر",G179))),"برد نمایش تلویزیون (تعویض)",IF(OR(ISNUMBER(SEARCH("ريموت",G179)),ISNUMBER(SEARCH("ریموت",G179))),"ریموت کنترل (تعویض/تعمیر)",IF(OR(ISNUMBER(SEARCH("ال اي دي",G179)),ISNUMBER(SEARCH("ال ای دی",G179)),ISNUMBER(SEARCH("LED",G179))),"خرابی - لامپ/LED داخلی (تعویض)",IF(ISNUMBER(SEARCH("زنگ زدگ",G179)),"زنگ‌زدگی بدنه/قطعه (تعویض)",IF(OR(ISNUMBER(SEARCH("قطعات تزئين",G179)),ISNUMBER(SEARCH("قطعات تزئین",G179))),"قطعات تزئینی - شکستگی/کسری (تعویض)",IF(ISNUMBER(SEARCH("سبد",G179)),"سبد ظرفشویی - شکستگی (تعویض)",IF(ISNUMBER(SEARCH("تاب درام",G179)),"خرابی - تاب برداشتن درام (تعویض)",IF(ISNUMBER(SEARCH("درام",G179)),"خرابی - سایر ایراد درام (تعویض)",IF(ISNUMBER(SEARCH("موتور",G179)),"خرابی - موتور (تعویض)",IF(ISNUMBER(SEARCH("تسمه",G179)),"خرابی - تسمه (تعویض)",IF(OR(ISNUMBER(SEARCH("پيچ ولوم",G179)),ISNUMBER(SEARCH("پیچ ولوم",G179))),"تنظیم - پیچ ولوم/دکمه (تعمیر)",IF(OR(ISNUMBER(SEARCH("کسري قطعات",G179)),ISNUMBER(SEARCH("کسری قطعات",G179))),"کسری قطعات تزئینی (تعویض)",IF(ISNUMBER(SEARCH("پرچ",G179)),"پرچ/بدنه کابین(تعمیر)",IF(OR(ISNUMBER(SEARCH("نشت",G179)),ISNUMBER(SEARCH("آبريزش",G179)),ISNUMBER(SEARCH("آبریزش",G179))),"نشتی آب - محل نامشخص (نیازمند بازدید)",IF(ISNUMBER(SEARCH("درب",G179)),"سایر اجزای درب (بازبینی)",IF(ISNUMBER(SEARCH("ضربه",G179)),"بدنه/کابین - ضربه (بازبینی/تعویض پنل)",IF(ISNUMBER(SEARCH("تراز",G179)),"تراز/لرزش - نصب (رگلاژ پایه)",IF(OR(ISNUMBER(SEARCH("تعویض",G179)),ISNUMBER(SEARCH("تعويض",G179))),"تعویض کامل دستگاه (Replacement)","سایر (نیازمند بررسی دستی)")))))))))))))))))))))))))))))))))))))))))))</f>
        <v/>
      </c>
      <c r="P179" s="124" t="inlineStr">
        <is>
          <t>*</t>
        </is>
      </c>
      <c r="Q179" s="124">
        <f>IF(ISNUMBER(SEARCH("عهده شرکت",F179)),"شرکت",IF(ISNUMBER(SEARCH("عهده مشتري",F179)),"مشتری",IF(ISNUMBER(SEARCH("عهده مشتری",F179)),"مشتری","نامشخص")))</f>
        <v/>
      </c>
      <c r="R179" s="178">
        <f>IF(O179="تعویض کامل دستگاه (Replacement)",IF(SUMIF('قیمت‌ها و مفروضات'!$A$9:$A$13,C179,'قیمت‌ها و مفروضات'!$C$9:$C$13)&lt;&gt;0,SUMIF('قیمت‌ها و مفروضات'!$A$9:$A$13,C179,'قیمت‌ها و مفروضات'!$C$9:$C$13),SUMIF('قیمت‌ها و مفروضات'!$A$9:$A$13,C179,'قیمت‌ها و مفروضات'!$B$9:$B$13)),IF(SUMIF('قیمت‌ها و مفروضات'!$A$18:$A$63,O179,'قیمت‌ها و مفروضات'!$C$18:$C$63)&lt;&gt;0,SUMIF('قیمت‌ها و مفروضات'!$A$18:$A$63,O179,'قیمت‌ها و مفروضات'!$C$18:$C$63),SUMIF('قیمت‌ها و مفروضات'!$A$18:$A$63,O179,'قیمت‌ها و مفروضات'!$B$18:$B$63)))</f>
        <v/>
      </c>
      <c r="S179" s="178">
        <f>'قیمت‌ها و مفروضات'!$B$3+'قیمت‌ها و مفروضات'!$B$4</f>
        <v/>
      </c>
      <c r="T179" s="178">
        <f>R179+S179</f>
        <v/>
      </c>
      <c r="U179" s="178">
        <f>IF(COUNTIF($E$2:E179,E179)&gt;1,"بله (تکراری)","خیر")</f>
        <v/>
      </c>
      <c r="V179" s="178">
        <f>IF(U179="بله (تکراری)",S179,0)</f>
        <v/>
      </c>
      <c r="W179" s="208" t="inlineStr"/>
      <c r="X179" s="208" t="inlineStr"/>
    </row>
    <row r="180" ht="58.5" customHeight="1" s="151">
      <c r="A180" s="176" t="n">
        <v>210013253</v>
      </c>
      <c r="B180" s="124">
        <f>CHOOSE(_xlfn.NUMBERVALUE(MID(H180,6,2)),"فروردین","اردیبهشت","خرداد","تیر","مرداد","شهریور","مهر","آبان","آذر","دی","بهمن","اسفند")</f>
        <v/>
      </c>
      <c r="C180" s="176" t="inlineStr">
        <is>
          <t>يخچال ميني</t>
        </is>
      </c>
      <c r="D180" s="176" t="inlineStr">
        <is>
          <t>CM-RS5RE1</t>
        </is>
      </c>
      <c r="E180" s="176" t="inlineStr">
        <is>
          <t>52240003N01957</t>
        </is>
      </c>
      <c r="F180" s="173" t="inlineStr">
        <is>
          <t>خاموش بودن LED کاور / سقفي**اياب و ذهاب به عهده شرکت</t>
        </is>
      </c>
      <c r="G180" s="173" t="inlineStr">
        <is>
          <t>خرابي ال اي دي داخل کابين - يخچال ميني</t>
        </is>
      </c>
      <c r="H180" s="176" t="inlineStr">
        <is>
          <t>1405/03/09</t>
        </is>
      </c>
      <c r="I180" s="124" t="inlineStr">
        <is>
          <t>1405/03/04</t>
        </is>
      </c>
      <c r="J180" s="124" t="inlineStr">
        <is>
          <t>1405/03/04</t>
        </is>
      </c>
      <c r="K180" s="177">
        <f>IFERROR(VLOOKUP(LEFT(H180,7),'تبدیل تاریخ'!$A$2:$B$73,2,FALSE())+VALUE(RIGHT(H180,2))-1,"")</f>
        <v/>
      </c>
      <c r="L180" s="177">
        <f>IFERROR(VLOOKUP(LEFT(I180,7),'تبدیل تاریخ'!$A$2:$B$73,2,FALSE())+VALUE(RIGHT(I180,2))-1,"")</f>
        <v/>
      </c>
      <c r="M180" s="177">
        <f>IF(J180="","",IFERROR(VLOOKUP(LEFT(J180,7),'تبدیل تاریخ'!$A$2:$B$73,2,FALSE())+VALUE(RIGHT(J180,2))-1,""))</f>
        <v/>
      </c>
      <c r="N180" s="124">
        <f>IF(OR(K180="",M180=""),"",CEILING((K180-M180)/30,1))</f>
        <v/>
      </c>
      <c r="O180" s="124">
        <f>IF(OR(ISNUMBER(SEARCH("بدون مورد",G180)),ISNUMBER(SEARCH("غير گارانتي",G180)),ISNUMBER(SEARCH("غیر گارانتی",G180)),ISNUMBER(SEARCH("بدون اجرت",G180)),ISNUMBER(SEARCH("فيلتر",G180)),ISNUMBER(SEARCH("فیلتر",G180))),"غیرگارانتی/بدون قطعه",IF(OR(ISNUMBER(SEARCH("ريست",G180)),ISNUMBER(SEARCH("ریست",G180))),"ریست نرم‌افزاری (بدون قطعه)",IF(OR(ISNUMBER(SEARCH("تعویض محصول",G180)),ISNUMBER(SEARCH("تعویض دستگاه",G180))),"تعویض کامل دستگاه (Replacement)",IF(ISNUMBER(SEARCH("پمپ",G180)),IF(ISNUMBER(SEARCH("نشت",G180)),"نشتی - پمپ تخلیه (تعمیر/آب‌بندی)","خرابی - پمپ تخلیه (تعویض)"),IF(ISNUMBER(SEARCH("کمپرسور",G180)),"خرابی - کمپرسور (تعویض)",IF(ISNUMBER(SEARCH("کمک فنر",G180)),"خرابی - کمک فنر (تعویض)",IF(ISNUMBER(SEARCH("لولا",G180)),"مکانیزم درب - لولا (تعویض)",IF(OR(ISNUMBER(SEARCH("قلاب",G180)),ISNUMBER(SEARCH("ميکروسوئيچ",G180)),ISNUMBER(SEARCH("میکروسوئیچ",G180))),"مکانیزم درب - میکروسوئیچ/قلاب (تعویض/تنظیم)",IF(ISNUMBER(SEARCH("زبانه",G180)),"مکانیزم درب - زبانه (تعویض)",IF(OR(ISNUMBER(SEARCH("شيلنگ",G180)),ISNUMBER(SEARCH("شیلنگ",G180))),IF(OR(ISNUMBER(SEARCH("نشتی",G180)),ISNUMBER(SEARCH("نشتي",G180))),"نشتی - شیلنگ (تعمیر/آب‌بندی)",IF(OR(ISNUMBER(SEARCH("يخ",G180)),ISNUMBER(SEARCH("یخ",G180))),"شیلنگ یخساز - یخ‌زدگی (بازبینی)","شیلنگ - برخورد/لهیدگی (بازبینی)")),IF(OR(ISNUMBER(SEARCH("تنظيم ديسپل",G180)),ISNUMBER(SEARCH("تنظیم دیسپل",G180)),ISNUMBER(SEARCH("تنظيم صفحه نمايش",G180)),ISNUMBER(SEARCH("تنظیم صفحه نمایش",G180))),"تنظیم - تنظیمات دستگاه/دیسپلی (تعمیر)",IF(OR(ISNUMBER(SEARCH("برد",G180)),ISNUMBER(SEARCH("سوکت",G180)),ISNUMBER(SEARCH("ديسپل",G180)),ISNUMBER(SEARCH("دیسپل",G180))),"خرابی - برد الکترونیک (تعویض)",IF(OR(ISNUMBER(SEARCH("يخساز",G180)),ISNUMBER(SEARCH("یخساز",G180)),ISNUMBER(SEARCH("دمپر",G180))),IF(OR(ISNUMBER(SEARCH("خرابی",G180)),ISNUMBER(SEARCH("خراب",G180)),ISNUMBER(SEARCH("عدم کارکرد",G180)),ISNUMBER(SEARCH("عدم عملکرد",G180))),"یخساز - خرابی موتور/سنسور/برد (تعویض)","یخساز - تنظیم/عایق (تعمیر)"),IF(OR(ISNUMBER(SEARCH("لاستيک",G180)),ISNUMBER(SEARCH("لاستیک",G180))),"لاستیک درزگیر - دفرمگی/پارگی (تعویض)",IF(OR(ISNUMBER(SEARCH("گسکت",G180)),ISNUMBER(SEARCH("گسگت",G180))),"لاستیک درزگیر - دفرمگی/پارگی (تعویض)",IF(ISNUMBER(SEARCH("مخزن نمک",G180)),"نشتی - درب مخزن نمک (تعمیر/آب‌بندی)",IF(ISNUMBER(SEARCH("براکت",G180)),"نشتی - براکت ریل (تعمیر/آب‌بندی)",IF(ISNUMBER(SEARCH("جاپودر",G180)),"نشتی - جاپودری (تعمیر/آب‌بندی)",IF(ISNUMBER(SEARCH("مقسم",G180)),"نشتی - مقسم آب (تعمیر/آب‌بندی)",IF(OR(ISNUMBER(SEARCH("سنسور دما",G180)),ISNUMBER(SEARCH("ترموستات",G180))),"خرابی - ترموستات (تعویض)",IF(OR(ISNUMBER(SEARCH("هيدروستات",G180)),ISNUMBER(SEARCH("هیدروستات",G180))),"خرابی - هیدروستات (تعویض)",IF(OR(ISNUMBER(SEARCH("بلبرينگ",G180)),ISNUMBER(SEARCH("بلبرینگ",G180))),"خرابی - بلبرینگ (تعویض)",IF(OR(ISNUMBER(SEARCH("شيربرق",G180)),ISNUMBER(SEARCH("شیربرق",G180))),"خرابی - شیربرقی (تعویض)",IF(OR(ISNUMBER(SEARCH("واتر جت",G180)),ISNUMBER(SEARCH("واترجت",G180))),"خرابی - واترجت (تعویض)",IF(OR(ISNUMBER(SEARCH("سيم",G180)),ISNUMBER(SEARCH("سیم",G180)),ISNUMBER(SEARCH("اتصال",G180))),"سیم‌کشی/اتصالات (تعویض/بازبینی)",IF(OR(ISNUMBER(SEARCH("تصوير",G180)),ISNUMBER(SEARCH("تصویر",G180))),"برد نمایش تلویزیون (تعویض)",IF(OR(ISNUMBER(SEARCH("ريموت",G180)),ISNUMBER(SEARCH("ریموت",G180))),"ریموت کنترل (تعویض/تعمیر)",IF(OR(ISNUMBER(SEARCH("ال اي دي",G180)),ISNUMBER(SEARCH("ال ای دی",G180)),ISNUMBER(SEARCH("LED",G180))),"خرابی - لامپ/LED داخلی (تعویض)",IF(ISNUMBER(SEARCH("زنگ زدگ",G180)),"زنگ‌زدگی بدنه/قطعه (تعویض)",IF(OR(ISNUMBER(SEARCH("قطعات تزئين",G180)),ISNUMBER(SEARCH("قطعات تزئین",G180))),"قطعات تزئینی - شکستگی/کسری (تعویض)",IF(ISNUMBER(SEARCH("سبد",G180)),"سبد ظرفشویی - شکستگی (تعویض)",IF(ISNUMBER(SEARCH("تاب درام",G180)),"خرابی - تاب برداشتن درام (تعویض)",IF(ISNUMBER(SEARCH("درام",G180)),"خرابی - سایر ایراد درام (تعویض)",IF(ISNUMBER(SEARCH("موتور",G180)),"خرابی - موتور (تعویض)",IF(ISNUMBER(SEARCH("تسمه",G180)),"خرابی - تسمه (تعویض)",IF(OR(ISNUMBER(SEARCH("پيچ ولوم",G180)),ISNUMBER(SEARCH("پیچ ولوم",G180))),"تنظیم - پیچ ولوم/دکمه (تعمیر)",IF(OR(ISNUMBER(SEARCH("کسري قطعات",G180)),ISNUMBER(SEARCH("کسری قطعات",G180))),"کسری قطعات تزئینی (تعویض)",IF(ISNUMBER(SEARCH("پرچ",G180)),"پرچ/بدنه کابین(تعمیر)",IF(OR(ISNUMBER(SEARCH("نشت",G180)),ISNUMBER(SEARCH("آبريزش",G180)),ISNUMBER(SEARCH("آبریزش",G180))),"نشتی آب - محل نامشخص (نیازمند بازدید)",IF(ISNUMBER(SEARCH("درب",G180)),"سایر اجزای درب (بازبینی)",IF(ISNUMBER(SEARCH("ضربه",G180)),"بدنه/کابین - ضربه (بازبینی/تعویض پنل)",IF(ISNUMBER(SEARCH("تراز",G180)),"تراز/لرزش - نصب (رگلاژ پایه)",IF(OR(ISNUMBER(SEARCH("تعویض",G180)),ISNUMBER(SEARCH("تعويض",G180))),"تعویض کامل دستگاه (Replacement)","سایر (نیازمند بررسی دستی)")))))))))))))))))))))))))))))))))))))))))))</f>
        <v/>
      </c>
      <c r="P180" s="124" t="inlineStr">
        <is>
          <t>لامپ مینی</t>
        </is>
      </c>
      <c r="Q180" s="124">
        <f>IF(ISNUMBER(SEARCH("عهده شرکت",F180)),"شرکت",IF(ISNUMBER(SEARCH("عهده مشتري",F180)),"مشتری",IF(ISNUMBER(SEARCH("عهده مشتری",F180)),"مشتری","نامشخص")))</f>
        <v/>
      </c>
      <c r="R180" s="178">
        <f>IF(O180="تعویض کامل دستگاه (Replacement)",IF(SUMIF('قیمت‌ها و مفروضات'!$A$9:$A$13,C180,'قیمت‌ها و مفروضات'!$C$9:$C$13)&lt;&gt;0,SUMIF('قیمت‌ها و مفروضات'!$A$9:$A$13,C180,'قیمت‌ها و مفروضات'!$C$9:$C$13),SUMIF('قیمت‌ها و مفروضات'!$A$9:$A$13,C180,'قیمت‌ها و مفروضات'!$B$9:$B$13)),IF(SUMIF('قیمت‌ها و مفروضات'!$A$18:$A$63,O180,'قیمت‌ها و مفروضات'!$C$18:$C$63)&lt;&gt;0,SUMIF('قیمت‌ها و مفروضات'!$A$18:$A$63,O180,'قیمت‌ها و مفروضات'!$C$18:$C$63),SUMIF('قیمت‌ها و مفروضات'!$A$18:$A$63,O180,'قیمت‌ها و مفروضات'!$B$18:$B$63)))</f>
        <v/>
      </c>
      <c r="S180" s="178">
        <f>'قیمت‌ها و مفروضات'!$B$3+'قیمت‌ها و مفروضات'!$B$4</f>
        <v/>
      </c>
      <c r="T180" s="178">
        <f>R180+S180</f>
        <v/>
      </c>
      <c r="U180" s="178">
        <f>IF(COUNTIF($E$2:E180,E180)&gt;1,"بله (تکراری)","خیر")</f>
        <v/>
      </c>
      <c r="V180" s="178">
        <f>IF(U180="بله (تکراری)",S180,0)</f>
        <v/>
      </c>
      <c r="W180" s="208" t="inlineStr"/>
      <c r="X180" s="208" t="inlineStr"/>
    </row>
    <row r="181" ht="58.5" customHeight="1" s="151">
      <c r="A181" s="176" t="n">
        <v>210007436</v>
      </c>
      <c r="B181" s="124">
        <f>CHOOSE(_xlfn.NUMBERVALUE(MID(H181,6,2)),"فروردین","اردیبهشت","خرداد","تیر","مرداد","شهریور","مهر","آبان","آذر","دی","بهمن","اسفند")</f>
        <v/>
      </c>
      <c r="C181" s="176" t="inlineStr">
        <is>
          <t>یخچال ساید‌بای‌ساید</t>
        </is>
      </c>
      <c r="D181" s="176" t="inlineStr">
        <is>
          <t>C2S-29HS1</t>
        </is>
      </c>
      <c r="E181" s="176" t="inlineStr">
        <is>
          <t>52240001N01143</t>
        </is>
      </c>
      <c r="F181" s="173" t="inlineStr">
        <is>
          <t>افتادگي درب/ تنظيم درب**اياب و ذهاب به عهده مشتري</t>
        </is>
      </c>
      <c r="G181" s="124" t="inlineStr">
        <is>
          <t>رگلاژ درب / لولا درب</t>
        </is>
      </c>
      <c r="H181" s="176" t="inlineStr">
        <is>
          <t>1405/03/09</t>
        </is>
      </c>
      <c r="I181" s="124" t="inlineStr">
        <is>
          <t>1403/04/24</t>
        </is>
      </c>
      <c r="J181" s="124" t="inlineStr">
        <is>
          <t>1403/10/24</t>
        </is>
      </c>
      <c r="K181" s="177">
        <f>IFERROR(VLOOKUP(LEFT(H181,7),'تبدیل تاریخ'!$A$2:$B$73,2,FALSE())+VALUE(RIGHT(H181,2))-1,"")</f>
        <v/>
      </c>
      <c r="L181" s="177">
        <f>IFERROR(VLOOKUP(LEFT(I181,7),'تبدیل تاریخ'!$A$2:$B$73,2,FALSE())+VALUE(RIGHT(I181,2))-1,"")</f>
        <v/>
      </c>
      <c r="M181" s="177">
        <f>IF(J181="","",IFERROR(VLOOKUP(LEFT(J181,7),'تبدیل تاریخ'!$A$2:$B$73,2,FALSE())+VALUE(RIGHT(J181,2))-1,""))</f>
        <v/>
      </c>
      <c r="N181" s="124">
        <f>IF(OR(K181="",M181=""),"",CEILING((K181-M181)/30,1))</f>
        <v/>
      </c>
      <c r="O181" s="124">
        <f>IF(OR(ISNUMBER(SEARCH("بدون مورد",G181)),ISNUMBER(SEARCH("غير گارانتي",G181)),ISNUMBER(SEARCH("غیر گارانتی",G181)),ISNUMBER(SEARCH("بدون اجرت",G181)),ISNUMBER(SEARCH("فيلتر",G181)),ISNUMBER(SEARCH("فیلتر",G181))),"غیرگارانتی/بدون قطعه",IF(OR(ISNUMBER(SEARCH("ريست",G181)),ISNUMBER(SEARCH("ریست",G181))),"ریست نرم‌افزاری (بدون قطعه)",IF(OR(ISNUMBER(SEARCH("تعویض محصول",G181)),ISNUMBER(SEARCH("تعویض دستگاه",G181))),"تعویض کامل دستگاه (Replacement)",IF(ISNUMBER(SEARCH("پمپ",G181)),IF(ISNUMBER(SEARCH("نشت",G181)),"نشتی - پمپ تخلیه (تعمیر/آب‌بندی)","خرابی - پمپ تخلیه (تعویض)"),IF(ISNUMBER(SEARCH("کمپرسور",G181)),"خرابی - کمپرسور (تعویض)",IF(ISNUMBER(SEARCH("کمک فنر",G181)),"خرابی - کمک فنر (تعویض)",IF(ISNUMBER(SEARCH("لولا",G181)),"مکانیزم درب - لولا (تعویض)",IF(OR(ISNUMBER(SEARCH("قلاب",G181)),ISNUMBER(SEARCH("ميکروسوئيچ",G181)),ISNUMBER(SEARCH("میکروسوئیچ",G181))),"مکانیزم درب - میکروسوئیچ/قلاب (تعویض/تنظیم)",IF(ISNUMBER(SEARCH("زبانه",G181)),"مکانیزم درب - زبانه (تعویض)",IF(OR(ISNUMBER(SEARCH("شيلنگ",G181)),ISNUMBER(SEARCH("شیلنگ",G181))),IF(OR(ISNUMBER(SEARCH("نشتی",G181)),ISNUMBER(SEARCH("نشتي",G181))),"نشتی - شیلنگ (تعمیر/آب‌بندی)",IF(OR(ISNUMBER(SEARCH("يخ",G181)),ISNUMBER(SEARCH("یخ",G181))),"شیلنگ یخساز - یخ‌زدگی (بازبینی)","شیلنگ - برخورد/لهیدگی (بازبینی)")),IF(OR(ISNUMBER(SEARCH("تنظيم ديسپل",G181)),ISNUMBER(SEARCH("تنظیم دیسپل",G181)),ISNUMBER(SEARCH("تنظيم صفحه نمايش",G181)),ISNUMBER(SEARCH("تنظیم صفحه نمایش",G181))),"تنظیم - تنظیمات دستگاه/دیسپلی (تعمیر)",IF(OR(ISNUMBER(SEARCH("برد",G181)),ISNUMBER(SEARCH("سوکت",G181)),ISNUMBER(SEARCH("ديسپل",G181)),ISNUMBER(SEARCH("دیسپل",G181))),"خرابی - برد الکترونیک (تعویض)",IF(OR(ISNUMBER(SEARCH("يخساز",G181)),ISNUMBER(SEARCH("یخساز",G181)),ISNUMBER(SEARCH("دمپر",G181))),IF(OR(ISNUMBER(SEARCH("خرابی",G181)),ISNUMBER(SEARCH("خراب",G181)),ISNUMBER(SEARCH("عدم کارکرد",G181)),ISNUMBER(SEARCH("عدم عملکرد",G181))),"یخساز - خرابی موتور/سنسور/برد (تعویض)","یخساز - تنظیم/عایق (تعمیر)"),IF(OR(ISNUMBER(SEARCH("لاستيک",G181)),ISNUMBER(SEARCH("لاستیک",G181))),"لاستیک درزگیر - دفرمگی/پارگی (تعویض)",IF(OR(ISNUMBER(SEARCH("گسکت",G181)),ISNUMBER(SEARCH("گسگت",G181))),"لاستیک درزگیر - دفرمگی/پارگی (تعویض)",IF(ISNUMBER(SEARCH("مخزن نمک",G181)),"نشتی - درب مخزن نمک (تعمیر/آب‌بندی)",IF(ISNUMBER(SEARCH("براکت",G181)),"نشتی - براکت ریل (تعمیر/آب‌بندی)",IF(ISNUMBER(SEARCH("جاپودر",G181)),"نشتی - جاپودری (تعمیر/آب‌بندی)",IF(ISNUMBER(SEARCH("مقسم",G181)),"نشتی - مقسم آب (تعمیر/آب‌بندی)",IF(OR(ISNUMBER(SEARCH("سنسور دما",G181)),ISNUMBER(SEARCH("ترموستات",G181))),"خرابی - ترموستات (تعویض)",IF(OR(ISNUMBER(SEARCH("هيدروستات",G181)),ISNUMBER(SEARCH("هیدروستات",G181))),"خرابی - هیدروستات (تعویض)",IF(OR(ISNUMBER(SEARCH("بلبرينگ",G181)),ISNUMBER(SEARCH("بلبرینگ",G181))),"خرابی - بلبرینگ (تعویض)",IF(OR(ISNUMBER(SEARCH("شيربرق",G181)),ISNUMBER(SEARCH("شیربرق",G181))),"خرابی - شیربرقی (تعویض)",IF(OR(ISNUMBER(SEARCH("واتر جت",G181)),ISNUMBER(SEARCH("واترجت",G181))),"خرابی - واترجت (تعویض)",IF(OR(ISNUMBER(SEARCH("سيم",G181)),ISNUMBER(SEARCH("سیم",G181)),ISNUMBER(SEARCH("اتصال",G181))),"سیم‌کشی/اتصالات (تعویض/بازبینی)",IF(OR(ISNUMBER(SEARCH("تصوير",G181)),ISNUMBER(SEARCH("تصویر",G181))),"برد نمایش تلویزیون (تعویض)",IF(OR(ISNUMBER(SEARCH("ريموت",G181)),ISNUMBER(SEARCH("ریموت",G181))),"ریموت کنترل (تعویض/تعمیر)",IF(OR(ISNUMBER(SEARCH("ال اي دي",G181)),ISNUMBER(SEARCH("ال ای دی",G181)),ISNUMBER(SEARCH("LED",G181))),"خرابی - لامپ/LED داخلی (تعویض)",IF(ISNUMBER(SEARCH("زنگ زدگ",G181)),"زنگ‌زدگی بدنه/قطعه (تعویض)",IF(OR(ISNUMBER(SEARCH("قطعات تزئين",G181)),ISNUMBER(SEARCH("قطعات تزئین",G181))),"قطعات تزئینی - شکستگی/کسری (تعویض)",IF(ISNUMBER(SEARCH("سبد",G181)),"سبد ظرفشویی - شکستگی (تعویض)",IF(ISNUMBER(SEARCH("تاب درام",G181)),"خرابی - تاب برداشتن درام (تعویض)",IF(ISNUMBER(SEARCH("درام",G181)),"خرابی - سایر ایراد درام (تعویض)",IF(ISNUMBER(SEARCH("موتور",G181)),"خرابی - موتور (تعویض)",IF(ISNUMBER(SEARCH("تسمه",G181)),"خرابی - تسمه (تعویض)",IF(OR(ISNUMBER(SEARCH("پيچ ولوم",G181)),ISNUMBER(SEARCH("پیچ ولوم",G181))),"تنظیم - پیچ ولوم/دکمه (تعمیر)",IF(OR(ISNUMBER(SEARCH("کسري قطعات",G181)),ISNUMBER(SEARCH("کسری قطعات",G181))),"کسری قطعات تزئینی (تعویض)",IF(ISNUMBER(SEARCH("پرچ",G181)),"پرچ/بدنه کابین(تعمیر)",IF(OR(ISNUMBER(SEARCH("نشت",G181)),ISNUMBER(SEARCH("آبريزش",G181)),ISNUMBER(SEARCH("آبریزش",G181))),"نشتی آب - محل نامشخص (نیازمند بازدید)",IF(ISNUMBER(SEARCH("درب",G181)),"سایر اجزای درب (بازبینی)",IF(ISNUMBER(SEARCH("ضربه",G181)),"بدنه/کابین - ضربه (بازبینی/تعویض پنل)",IF(ISNUMBER(SEARCH("تراز",G181)),"تراز/لرزش - نصب (رگلاژ پایه)",IF(OR(ISNUMBER(SEARCH("تعویض",G181)),ISNUMBER(SEARCH("تعويض",G181))),"تعویض کامل دستگاه (Replacement)","سایر (نیازمند بررسی دستی)")))))))))))))))))))))))))))))))))))))))))))</f>
        <v/>
      </c>
      <c r="P181" s="124" t="inlineStr">
        <is>
          <t>*</t>
        </is>
      </c>
      <c r="Q181" s="124">
        <f>IF(ISNUMBER(SEARCH("عهده شرکت",F181)),"شرکت",IF(ISNUMBER(SEARCH("عهده مشتري",F181)),"مشتری",IF(ISNUMBER(SEARCH("عهده مشتری",F181)),"مشتری","نامشخص")))</f>
        <v/>
      </c>
      <c r="R181" s="178">
        <f>IF(O181="تعویض کامل دستگاه (Replacement)",IF(SUMIF('قیمت‌ها و مفروضات'!$A$9:$A$13,C181,'قیمت‌ها و مفروضات'!$C$9:$C$13)&lt;&gt;0,SUMIF('قیمت‌ها و مفروضات'!$A$9:$A$13,C181,'قیمت‌ها و مفروضات'!$C$9:$C$13),SUMIF('قیمت‌ها و مفروضات'!$A$9:$A$13,C181,'قیمت‌ها و مفروضات'!$B$9:$B$13)),IF(SUMIF('قیمت‌ها و مفروضات'!$A$18:$A$63,O181,'قیمت‌ها و مفروضات'!$C$18:$C$63)&lt;&gt;0,SUMIF('قیمت‌ها و مفروضات'!$A$18:$A$63,O181,'قیمت‌ها و مفروضات'!$C$18:$C$63),SUMIF('قیمت‌ها و مفروضات'!$A$18:$A$63,O181,'قیمت‌ها و مفروضات'!$B$18:$B$63)))</f>
        <v/>
      </c>
      <c r="S181" s="178">
        <f>'قیمت‌ها و مفروضات'!$B$3+'قیمت‌ها و مفروضات'!$B$4</f>
        <v/>
      </c>
      <c r="T181" s="178">
        <f>R181+S181</f>
        <v/>
      </c>
      <c r="U181" s="178">
        <f>IF(COUNTIF($E$2:E181,E181)&gt;1,"بله (تکراری)","خیر")</f>
        <v/>
      </c>
      <c r="V181" s="178">
        <f>IF(U181="بله (تکراری)",S181,0)</f>
        <v/>
      </c>
      <c r="W181" s="208" t="inlineStr"/>
      <c r="X181" s="208" t="inlineStr"/>
    </row>
    <row r="182" ht="58.5" customHeight="1" s="151">
      <c r="A182" s="176" t="n">
        <v>210007409</v>
      </c>
      <c r="B182" s="124">
        <f>CHOOSE(_xlfn.NUMBERVALUE(MID(H182,6,2)),"فروردین","اردیبهشت","خرداد","تیر","مرداد","شهریور","مهر","آبان","آذر","دی","بهمن","اسفند")</f>
        <v/>
      </c>
      <c r="C182" s="176" t="inlineStr">
        <is>
          <t>ماشين لباسشويي</t>
        </is>
      </c>
      <c r="D182" s="176" t="inlineStr">
        <is>
          <t>CWM-BMW8T1</t>
        </is>
      </c>
      <c r="E182" s="176" t="inlineStr">
        <is>
          <t>52210005N01412</t>
        </is>
      </c>
      <c r="F182" s="173" t="inlineStr">
        <is>
          <t>بسته نشدن درب**اياب و ذهاب به عهده شرکت</t>
        </is>
      </c>
      <c r="G182" s="173" t="inlineStr">
        <is>
          <t>عدم قرارگيري مهره درب</t>
        </is>
      </c>
      <c r="H182" s="176" t="inlineStr">
        <is>
          <t>1405/03/10</t>
        </is>
      </c>
      <c r="I182" s="124" t="inlineStr">
        <is>
          <t>1403/12/04</t>
        </is>
      </c>
      <c r="J182" s="124" t="inlineStr">
        <is>
          <t>1405/03/09</t>
        </is>
      </c>
      <c r="K182" s="177">
        <f>IFERROR(VLOOKUP(LEFT(H182,7),'تبدیل تاریخ'!$A$2:$B$73,2,FALSE())+VALUE(RIGHT(H182,2))-1,"")</f>
        <v/>
      </c>
      <c r="L182" s="177">
        <f>IFERROR(VLOOKUP(LEFT(I182,7),'تبدیل تاریخ'!$A$2:$B$73,2,FALSE())+VALUE(RIGHT(I182,2))-1,"")</f>
        <v/>
      </c>
      <c r="M182" s="177">
        <f>IF(J182="","",IFERROR(VLOOKUP(LEFT(J182,7),'تبدیل تاریخ'!$A$2:$B$73,2,FALSE())+VALUE(RIGHT(J182,2))-1,""))</f>
        <v/>
      </c>
      <c r="N182" s="124">
        <f>IF(OR(K182="",M182=""),"",CEILING((K182-M182)/30,1))</f>
        <v/>
      </c>
      <c r="O182" s="124">
        <f>IF(OR(ISNUMBER(SEARCH("بدون مورد",G182)),ISNUMBER(SEARCH("غير گارانتي",G182)),ISNUMBER(SEARCH("غیر گارانتی",G182)),ISNUMBER(SEARCH("بدون اجرت",G182)),ISNUMBER(SEARCH("فيلتر",G182)),ISNUMBER(SEARCH("فیلتر",G182))),"غیرگارانتی/بدون قطعه",IF(OR(ISNUMBER(SEARCH("ريست",G182)),ISNUMBER(SEARCH("ریست",G182))),"ریست نرم‌افزاری (بدون قطعه)",IF(OR(ISNUMBER(SEARCH("تعویض محصول",G182)),ISNUMBER(SEARCH("تعویض دستگاه",G182))),"تعویض کامل دستگاه (Replacement)",IF(ISNUMBER(SEARCH("پمپ",G182)),IF(ISNUMBER(SEARCH("نشت",G182)),"نشتی - پمپ تخلیه (تعمیر/آب‌بندی)","خرابی - پمپ تخلیه (تعویض)"),IF(ISNUMBER(SEARCH("کمپرسور",G182)),"خرابی - کمپرسور (تعویض)",IF(ISNUMBER(SEARCH("کمک فنر",G182)),"خرابی - کمک فنر (تعویض)",IF(ISNUMBER(SEARCH("لولا",G182)),"مکانیزم درب - لولا (تعویض)",IF(OR(ISNUMBER(SEARCH("قلاب",G182)),ISNUMBER(SEARCH("ميکروسوئيچ",G182)),ISNUMBER(SEARCH("میکروسوئیچ",G182))),"مکانیزم درب - میکروسوئیچ/قلاب (تعویض/تنظیم)",IF(ISNUMBER(SEARCH("زبانه",G182)),"مکانیزم درب - زبانه (تعویض)",IF(OR(ISNUMBER(SEARCH("شيلنگ",G182)),ISNUMBER(SEARCH("شیلنگ",G182))),IF(OR(ISNUMBER(SEARCH("نشتی",G182)),ISNUMBER(SEARCH("نشتي",G182))),"نشتی - شیلنگ (تعمیر/آب‌بندی)",IF(OR(ISNUMBER(SEARCH("يخ",G182)),ISNUMBER(SEARCH("یخ",G182))),"شیلنگ یخساز - یخ‌زدگی (بازبینی)","شیلنگ - برخورد/لهیدگی (بازبینی)")),IF(OR(ISNUMBER(SEARCH("تنظيم ديسپل",G182)),ISNUMBER(SEARCH("تنظیم دیسپل",G182)),ISNUMBER(SEARCH("تنظيم صفحه نمايش",G182)),ISNUMBER(SEARCH("تنظیم صفحه نمایش",G182))),"تنظیم - تنظیمات دستگاه/دیسپلی (تعمیر)",IF(OR(ISNUMBER(SEARCH("برد",G182)),ISNUMBER(SEARCH("سوکت",G182)),ISNUMBER(SEARCH("ديسپل",G182)),ISNUMBER(SEARCH("دیسپل",G182))),"خرابی - برد الکترونیک (تعویض)",IF(OR(ISNUMBER(SEARCH("يخساز",G182)),ISNUMBER(SEARCH("یخساز",G182)),ISNUMBER(SEARCH("دمپر",G182))),IF(OR(ISNUMBER(SEARCH("خرابی",G182)),ISNUMBER(SEARCH("خراب",G182)),ISNUMBER(SEARCH("عدم کارکرد",G182)),ISNUMBER(SEARCH("عدم عملکرد",G182))),"یخساز - خرابی موتور/سنسور/برد (تعویض)","یخساز - تنظیم/عایق (تعمیر)"),IF(OR(ISNUMBER(SEARCH("لاستيک",G182)),ISNUMBER(SEARCH("لاستیک",G182))),"لاستیک درزگیر - دفرمگی/پارگی (تعویض)",IF(OR(ISNUMBER(SEARCH("گسکت",G182)),ISNUMBER(SEARCH("گسگت",G182))),"لاستیک درزگیر - دفرمگی/پارگی (تعویض)",IF(ISNUMBER(SEARCH("مخزن نمک",G182)),"نشتی - درب مخزن نمک (تعمیر/آب‌بندی)",IF(ISNUMBER(SEARCH("براکت",G182)),"نشتی - براکت ریل (تعمیر/آب‌بندی)",IF(ISNUMBER(SEARCH("جاپودر",G182)),"نشتی - جاپودری (تعمیر/آب‌بندی)",IF(ISNUMBER(SEARCH("مقسم",G182)),"نشتی - مقسم آب (تعمیر/آب‌بندی)",IF(OR(ISNUMBER(SEARCH("سنسور دما",G182)),ISNUMBER(SEARCH("ترموستات",G182))),"خرابی - ترموستات (تعویض)",IF(OR(ISNUMBER(SEARCH("هيدروستات",G182)),ISNUMBER(SEARCH("هیدروستات",G182))),"خرابی - هیدروستات (تعویض)",IF(OR(ISNUMBER(SEARCH("بلبرينگ",G182)),ISNUMBER(SEARCH("بلبرینگ",G182))),"خرابی - بلبرینگ (تعویض)",IF(OR(ISNUMBER(SEARCH("شيربرق",G182)),ISNUMBER(SEARCH("شیربرق",G182))),"خرابی - شیربرقی (تعویض)",IF(OR(ISNUMBER(SEARCH("واتر جت",G182)),ISNUMBER(SEARCH("واترجت",G182))),"خرابی - واترجت (تعویض)",IF(OR(ISNUMBER(SEARCH("سيم",G182)),ISNUMBER(SEARCH("سیم",G182)),ISNUMBER(SEARCH("اتصال",G182))),"سیم‌کشی/اتصالات (تعویض/بازبینی)",IF(OR(ISNUMBER(SEARCH("تصوير",G182)),ISNUMBER(SEARCH("تصویر",G182))),"برد نمایش تلویزیون (تعویض)",IF(OR(ISNUMBER(SEARCH("ريموت",G182)),ISNUMBER(SEARCH("ریموت",G182))),"ریموت کنترل (تعویض/تعمیر)",IF(OR(ISNUMBER(SEARCH("ال اي دي",G182)),ISNUMBER(SEARCH("ال ای دی",G182)),ISNUMBER(SEARCH("LED",G182))),"خرابی - لامپ/LED داخلی (تعویض)",IF(ISNUMBER(SEARCH("زنگ زدگ",G182)),"زنگ‌زدگی بدنه/قطعه (تعویض)",IF(OR(ISNUMBER(SEARCH("قطعات تزئين",G182)),ISNUMBER(SEARCH("قطعات تزئین",G182))),"قطعات تزئینی - شکستگی/کسری (تعویض)",IF(ISNUMBER(SEARCH("سبد",G182)),"سبد ظرفشویی - شکستگی (تعویض)",IF(ISNUMBER(SEARCH("تاب درام",G182)),"خرابی - تاب برداشتن درام (تعویض)",IF(ISNUMBER(SEARCH("درام",G182)),"خرابی - سایر ایراد درام (تعویض)",IF(ISNUMBER(SEARCH("موتور",G182)),"خرابی - موتور (تعویض)",IF(ISNUMBER(SEARCH("تسمه",G182)),"خرابی - تسمه (تعویض)",IF(OR(ISNUMBER(SEARCH("پيچ ولوم",G182)),ISNUMBER(SEARCH("پیچ ولوم",G182))),"تنظیم - پیچ ولوم/دکمه (تعمیر)",IF(OR(ISNUMBER(SEARCH("کسري قطعات",G182)),ISNUMBER(SEARCH("کسری قطعات",G182))),"کسری قطعات تزئینی (تعویض)",IF(ISNUMBER(SEARCH("پرچ",G182)),"پرچ/بدنه کابین(تعمیر)",IF(OR(ISNUMBER(SEARCH("نشت",G182)),ISNUMBER(SEARCH("آبريزش",G182)),ISNUMBER(SEARCH("آبریزش",G182))),"نشتی آب - محل نامشخص (نیازمند بازدید)",IF(ISNUMBER(SEARCH("درب",G182)),"سایر اجزای درب (بازبینی)",IF(ISNUMBER(SEARCH("ضربه",G182)),"بدنه/کابین - ضربه (بازبینی/تعویض پنل)",IF(ISNUMBER(SEARCH("تراز",G182)),"تراز/لرزش - نصب (رگلاژ پایه)",IF(OR(ISNUMBER(SEARCH("تعویض",G182)),ISNUMBER(SEARCH("تعويض",G182))),"تعویض کامل دستگاه (Replacement)","سایر (نیازمند بررسی دستی)")))))))))))))))))))))))))))))))))))))))))))</f>
        <v/>
      </c>
      <c r="P182" s="124" t="inlineStr">
        <is>
          <t>*</t>
        </is>
      </c>
      <c r="Q182" s="124">
        <f>IF(ISNUMBER(SEARCH("عهده شرکت",F182)),"شرکت",IF(ISNUMBER(SEARCH("عهده مشتري",F182)),"مشتری",IF(ISNUMBER(SEARCH("عهده مشتری",F182)),"مشتری","نامشخص")))</f>
        <v/>
      </c>
      <c r="R182" s="178">
        <f>IF(O182="تعویض کامل دستگاه (Replacement)",IF(SUMIF('قیمت‌ها و مفروضات'!$A$9:$A$13,C182,'قیمت‌ها و مفروضات'!$C$9:$C$13)&lt;&gt;0,SUMIF('قیمت‌ها و مفروضات'!$A$9:$A$13,C182,'قیمت‌ها و مفروضات'!$C$9:$C$13),SUMIF('قیمت‌ها و مفروضات'!$A$9:$A$13,C182,'قیمت‌ها و مفروضات'!$B$9:$B$13)),IF(SUMIF('قیمت‌ها و مفروضات'!$A$18:$A$63,O182,'قیمت‌ها و مفروضات'!$C$18:$C$63)&lt;&gt;0,SUMIF('قیمت‌ها و مفروضات'!$A$18:$A$63,O182,'قیمت‌ها و مفروضات'!$C$18:$C$63),SUMIF('قیمت‌ها و مفروضات'!$A$18:$A$63,O182,'قیمت‌ها و مفروضات'!$B$18:$B$63)))</f>
        <v/>
      </c>
      <c r="S182" s="178">
        <f>'قیمت‌ها و مفروضات'!$B$3+'قیمت‌ها و مفروضات'!$B$4</f>
        <v/>
      </c>
      <c r="T182" s="178">
        <f>R182+S182</f>
        <v/>
      </c>
      <c r="U182" s="178">
        <f>IF(COUNTIF($E$2:E182,E182)&gt;1,"بله (تکراری)","خیر")</f>
        <v/>
      </c>
      <c r="V182" s="178">
        <f>IF(U182="بله (تکراری)",S182,0)</f>
        <v/>
      </c>
      <c r="W182" s="208" t="inlineStr"/>
      <c r="X182" s="208" t="inlineStr"/>
    </row>
    <row r="183" ht="58.5" customHeight="1" s="151">
      <c r="A183" s="176" t="n">
        <v>210004767</v>
      </c>
      <c r="B183" s="124">
        <f>CHOOSE(_xlfn.NUMBERVALUE(MID(H183,6,2)),"فروردین","اردیبهشت","خرداد","تیر","مرداد","شهریور","مهر","آبان","آذر","دی","بهمن","اسفند")</f>
        <v/>
      </c>
      <c r="C183" s="176" t="inlineStr">
        <is>
          <t>یخچال ساید‌بای‌ساید</t>
        </is>
      </c>
      <c r="D183" s="176" t="inlineStr">
        <is>
          <t>C2S-29HS1</t>
        </is>
      </c>
      <c r="E183" s="176" t="inlineStr">
        <is>
          <t>52240001N01829</t>
        </is>
      </c>
      <c r="F183" s="173" t="inlineStr">
        <is>
          <t>عدم کارکرد يخساز**مجدد**اياب و ذهاب به عهده شرکت</t>
        </is>
      </c>
      <c r="G183" s="173" t="inlineStr">
        <is>
          <t>خرابي يخساز - عدم چرخش کامل يخساز - سايد باي سايد</t>
        </is>
      </c>
      <c r="H183" s="176" t="inlineStr">
        <is>
          <t>1405/03/11</t>
        </is>
      </c>
      <c r="I183" s="124" t="inlineStr">
        <is>
          <t>1403/08/30</t>
        </is>
      </c>
      <c r="J183" s="124" t="inlineStr">
        <is>
          <t>1404/05/12</t>
        </is>
      </c>
      <c r="K183" s="177">
        <f>IFERROR(VLOOKUP(LEFT(H183,7),'تبدیل تاریخ'!$A$2:$B$73,2,FALSE())+VALUE(RIGHT(H183,2))-1,"")</f>
        <v/>
      </c>
      <c r="L183" s="177">
        <f>IFERROR(VLOOKUP(LEFT(I183,7),'تبدیل تاریخ'!$A$2:$B$73,2,FALSE())+VALUE(RIGHT(I183,2))-1,"")</f>
        <v/>
      </c>
      <c r="M183" s="177">
        <f>IF(J183="","",IFERROR(VLOOKUP(LEFT(J183,7),'تبدیل تاریخ'!$A$2:$B$73,2,FALSE())+VALUE(RIGHT(J183,2))-1,""))</f>
        <v/>
      </c>
      <c r="N183" s="124">
        <f>IF(OR(K183="",M183=""),"",CEILING((K183-M183)/30,1))</f>
        <v/>
      </c>
      <c r="O183" s="124">
        <f>IF(OR(ISNUMBER(SEARCH("بدون مورد",G183)),ISNUMBER(SEARCH("غير گارانتي",G183)),ISNUMBER(SEARCH("غیر گارانتی",G183)),ISNUMBER(SEARCH("بدون اجرت",G183)),ISNUMBER(SEARCH("فيلتر",G183)),ISNUMBER(SEARCH("فیلتر",G183))),"غیرگارانتی/بدون قطعه",IF(OR(ISNUMBER(SEARCH("ريست",G183)),ISNUMBER(SEARCH("ریست",G183))),"ریست نرم‌افزاری (بدون قطعه)",IF(OR(ISNUMBER(SEARCH("تعویض محصول",G183)),ISNUMBER(SEARCH("تعویض دستگاه",G183))),"تعویض کامل دستگاه (Replacement)",IF(ISNUMBER(SEARCH("پمپ",G183)),IF(ISNUMBER(SEARCH("نشت",G183)),"نشتی - پمپ تخلیه (تعمیر/آب‌بندی)","خرابی - پمپ تخلیه (تعویض)"),IF(ISNUMBER(SEARCH("کمپرسور",G183)),"خرابی - کمپرسور (تعویض)",IF(ISNUMBER(SEARCH("کمک فنر",G183)),"خرابی - کمک فنر (تعویض)",IF(ISNUMBER(SEARCH("لولا",G183)),"مکانیزم درب - لولا (تعویض)",IF(OR(ISNUMBER(SEARCH("قلاب",G183)),ISNUMBER(SEARCH("ميکروسوئيچ",G183)),ISNUMBER(SEARCH("میکروسوئیچ",G183))),"مکانیزم درب - میکروسوئیچ/قلاب (تعویض/تنظیم)",IF(ISNUMBER(SEARCH("زبانه",G183)),"مکانیزم درب - زبانه (تعویض)",IF(OR(ISNUMBER(SEARCH("شيلنگ",G183)),ISNUMBER(SEARCH("شیلنگ",G183))),IF(OR(ISNUMBER(SEARCH("نشتی",G183)),ISNUMBER(SEARCH("نشتي",G183))),"نشتی - شیلنگ (تعمیر/آب‌بندی)",IF(OR(ISNUMBER(SEARCH("يخ",G183)),ISNUMBER(SEARCH("یخ",G183))),"شیلنگ یخساز - یخ‌زدگی (بازبینی)","شیلنگ - برخورد/لهیدگی (بازبینی)")),IF(OR(ISNUMBER(SEARCH("تنظيم ديسپل",G183)),ISNUMBER(SEARCH("تنظیم دیسپل",G183)),ISNUMBER(SEARCH("تنظيم صفحه نمايش",G183)),ISNUMBER(SEARCH("تنظیم صفحه نمایش",G183))),"تنظیم - تنظیمات دستگاه/دیسپلی (تعمیر)",IF(OR(ISNUMBER(SEARCH("برد",G183)),ISNUMBER(SEARCH("سوکت",G183)),ISNUMBER(SEARCH("ديسپل",G183)),ISNUMBER(SEARCH("دیسپل",G183))),"خرابی - برد الکترونیک (تعویض)",IF(OR(ISNUMBER(SEARCH("يخساز",G183)),ISNUMBER(SEARCH("یخساز",G183)),ISNUMBER(SEARCH("دمپر",G183))),IF(OR(ISNUMBER(SEARCH("خرابی",G183)),ISNUMBER(SEARCH("خراب",G183)),ISNUMBER(SEARCH("عدم کارکرد",G183)),ISNUMBER(SEARCH("عدم عملکرد",G183))),"یخساز - خرابی موتور/سنسور/برد (تعویض)","یخساز - تنظیم/عایق (تعمیر)"),IF(OR(ISNUMBER(SEARCH("لاستيک",G183)),ISNUMBER(SEARCH("لاستیک",G183))),"لاستیک درزگیر - دفرمگی/پارگی (تعویض)",IF(OR(ISNUMBER(SEARCH("گسکت",G183)),ISNUMBER(SEARCH("گسگت",G183))),"لاستیک درزگیر - دفرمگی/پارگی (تعویض)",IF(ISNUMBER(SEARCH("مخزن نمک",G183)),"نشتی - درب مخزن نمک (تعمیر/آب‌بندی)",IF(ISNUMBER(SEARCH("براکت",G183)),"نشتی - براکت ریل (تعمیر/آب‌بندی)",IF(ISNUMBER(SEARCH("جاپودر",G183)),"نشتی - جاپودری (تعمیر/آب‌بندی)",IF(ISNUMBER(SEARCH("مقسم",G183)),"نشتی - مقسم آب (تعمیر/آب‌بندی)",IF(OR(ISNUMBER(SEARCH("سنسور دما",G183)),ISNUMBER(SEARCH("ترموستات",G183))),"خرابی - ترموستات (تعویض)",IF(OR(ISNUMBER(SEARCH("هيدروستات",G183)),ISNUMBER(SEARCH("هیدروستات",G183))),"خرابی - هیدروستات (تعویض)",IF(OR(ISNUMBER(SEARCH("بلبرينگ",G183)),ISNUMBER(SEARCH("بلبرینگ",G183))),"خرابی - بلبرینگ (تعویض)",IF(OR(ISNUMBER(SEARCH("شيربرق",G183)),ISNUMBER(SEARCH("شیربرق",G183))),"خرابی - شیربرقی (تعویض)",IF(OR(ISNUMBER(SEARCH("واتر جت",G183)),ISNUMBER(SEARCH("واترجت",G183))),"خرابی - واترجت (تعویض)",IF(OR(ISNUMBER(SEARCH("سيم",G183)),ISNUMBER(SEARCH("سیم",G183)),ISNUMBER(SEARCH("اتصال",G183))),"سیم‌کشی/اتصالات (تعویض/بازبینی)",IF(OR(ISNUMBER(SEARCH("تصوير",G183)),ISNUMBER(SEARCH("تصویر",G183))),"برد نمایش تلویزیون (تعویض)",IF(OR(ISNUMBER(SEARCH("ريموت",G183)),ISNUMBER(SEARCH("ریموت",G183))),"ریموت کنترل (تعویض/تعمیر)",IF(OR(ISNUMBER(SEARCH("ال اي دي",G183)),ISNUMBER(SEARCH("ال ای دی",G183)),ISNUMBER(SEARCH("LED",G183))),"خرابی - لامپ/LED داخلی (تعویض)",IF(ISNUMBER(SEARCH("زنگ زدگ",G183)),"زنگ‌زدگی بدنه/قطعه (تعویض)",IF(OR(ISNUMBER(SEARCH("قطعات تزئين",G183)),ISNUMBER(SEARCH("قطعات تزئین",G183))),"قطعات تزئینی - شکستگی/کسری (تعویض)",IF(ISNUMBER(SEARCH("سبد",G183)),"سبد ظرفشویی - شکستگی (تعویض)",IF(ISNUMBER(SEARCH("تاب درام",G183)),"خرابی - تاب برداشتن درام (تعویض)",IF(ISNUMBER(SEARCH("درام",G183)),"خرابی - سایر ایراد درام (تعویض)",IF(ISNUMBER(SEARCH("موتور",G183)),"خرابی - موتور (تعویض)",IF(ISNUMBER(SEARCH("تسمه",G183)),"خرابی - تسمه (تعویض)",IF(OR(ISNUMBER(SEARCH("پيچ ولوم",G183)),ISNUMBER(SEARCH("پیچ ولوم",G183))),"تنظیم - پیچ ولوم/دکمه (تعمیر)",IF(OR(ISNUMBER(SEARCH("کسري قطعات",G183)),ISNUMBER(SEARCH("کسری قطعات",G183))),"کسری قطعات تزئینی (تعویض)",IF(ISNUMBER(SEARCH("پرچ",G183)),"پرچ/بدنه کابین(تعمیر)",IF(OR(ISNUMBER(SEARCH("نشت",G183)),ISNUMBER(SEARCH("آبريزش",G183)),ISNUMBER(SEARCH("آبریزش",G183))),"نشتی آب - محل نامشخص (نیازمند بازدید)",IF(ISNUMBER(SEARCH("درب",G183)),"سایر اجزای درب (بازبینی)",IF(ISNUMBER(SEARCH("ضربه",G183)),"بدنه/کابین - ضربه (بازبینی/تعویض پنل)",IF(ISNUMBER(SEARCH("تراز",G183)),"تراز/لرزش - نصب (رگلاژ پایه)",IF(OR(ISNUMBER(SEARCH("تعویض",G183)),ISNUMBER(SEARCH("تعويض",G183))),"تعویض کامل دستگاه (Replacement)","سایر (نیازمند بررسی دستی)")))))))))))))))))))))))))))))))))))))))))))</f>
        <v/>
      </c>
      <c r="P183" s="124" t="inlineStr">
        <is>
          <t>*</t>
        </is>
      </c>
      <c r="Q183" s="124">
        <f>IF(ISNUMBER(SEARCH("عهده شرکت",F183)),"شرکت",IF(ISNUMBER(SEARCH("عهده مشتري",F183)),"مشتری",IF(ISNUMBER(SEARCH("عهده مشتری",F183)),"مشتری","نامشخص")))</f>
        <v/>
      </c>
      <c r="R183" s="178">
        <f>IF(O183="تعویض کامل دستگاه (Replacement)",IF(SUMIF('قیمت‌ها و مفروضات'!$A$9:$A$13,C183,'قیمت‌ها و مفروضات'!$C$9:$C$13)&lt;&gt;0,SUMIF('قیمت‌ها و مفروضات'!$A$9:$A$13,C183,'قیمت‌ها و مفروضات'!$C$9:$C$13),SUMIF('قیمت‌ها و مفروضات'!$A$9:$A$13,C183,'قیمت‌ها و مفروضات'!$B$9:$B$13)),IF(SUMIF('قیمت‌ها و مفروضات'!$A$18:$A$63,O183,'قیمت‌ها و مفروضات'!$C$18:$C$63)&lt;&gt;0,SUMIF('قیمت‌ها و مفروضات'!$A$18:$A$63,O183,'قیمت‌ها و مفروضات'!$C$18:$C$63),SUMIF('قیمت‌ها و مفروضات'!$A$18:$A$63,O183,'قیمت‌ها و مفروضات'!$B$18:$B$63)))</f>
        <v/>
      </c>
      <c r="S183" s="178">
        <f>'قیمت‌ها و مفروضات'!$B$3+'قیمت‌ها و مفروضات'!$B$4</f>
        <v/>
      </c>
      <c r="T183" s="178">
        <f>R183+S183</f>
        <v/>
      </c>
      <c r="U183" s="178">
        <f>IF(COUNTIF($E$2:E183,E183)&gt;1,"بله (تکراری)","خیر")</f>
        <v/>
      </c>
      <c r="V183" s="178">
        <f>IF(U183="بله (تکراری)",S183,0)</f>
        <v/>
      </c>
      <c r="W183" s="208" t="inlineStr"/>
      <c r="X183" s="208" t="inlineStr"/>
    </row>
    <row r="184" ht="58.5" customHeight="1" s="151">
      <c r="A184" s="176" t="n">
        <v>210013242</v>
      </c>
      <c r="B184" s="124">
        <f>CHOOSE(_xlfn.NUMBERVALUE(MID(H184,6,2)),"فروردین","اردیبهشت","خرداد","تیر","مرداد","شهریور","مهر","آبان","آذر","دی","بهمن","اسفند")</f>
        <v/>
      </c>
      <c r="C184" s="176" t="inlineStr">
        <is>
          <t>یخچال ساید‌بای‌ساید</t>
        </is>
      </c>
      <c r="D184" s="176" t="inlineStr">
        <is>
          <t>C2S-29HS1</t>
        </is>
      </c>
      <c r="E184" s="176" t="inlineStr">
        <is>
          <t>52240001N00637</t>
        </is>
      </c>
      <c r="F184" s="173" t="inlineStr">
        <is>
          <t>افتادگي درب/ تنظيم درب اياب و ذهاب به عهده شرکت</t>
        </is>
      </c>
      <c r="G184" s="173" t="inlineStr">
        <is>
          <t>شکستگي قاب لولا - سايد باي سايد</t>
        </is>
      </c>
      <c r="H184" s="176" t="inlineStr">
        <is>
          <t>1405/03/20</t>
        </is>
      </c>
      <c r="I184" s="124" t="inlineStr">
        <is>
          <t>1403/03/13</t>
        </is>
      </c>
      <c r="J184" s="124" t="inlineStr">
        <is>
          <t>1404/07/22</t>
        </is>
      </c>
      <c r="K184" s="177">
        <f>IFERROR(VLOOKUP(LEFT(H184,7),'تبدیل تاریخ'!$A$2:$B$73,2,FALSE())+VALUE(RIGHT(H184,2))-1,"")</f>
        <v/>
      </c>
      <c r="L184" s="177">
        <f>IFERROR(VLOOKUP(LEFT(I184,7),'تبدیل تاریخ'!$A$2:$B$73,2,FALSE())+VALUE(RIGHT(I184,2))-1,"")</f>
        <v/>
      </c>
      <c r="M184" s="177">
        <f>IF(J184="","",IFERROR(VLOOKUP(LEFT(J184,7),'تبدیل تاریخ'!$A$2:$B$73,2,FALSE())+VALUE(RIGHT(J184,2))-1,""))</f>
        <v/>
      </c>
      <c r="N184" s="124">
        <f>IF(OR(K184="",M184=""),"",CEILING((K184-M184)/30,1))</f>
        <v/>
      </c>
      <c r="O184" s="124">
        <f>IF(OR(ISNUMBER(SEARCH("بدون مورد",G184)),ISNUMBER(SEARCH("غير گارانتي",G184)),ISNUMBER(SEARCH("غیر گارانتی",G184)),ISNUMBER(SEARCH("بدون اجرت",G184)),ISNUMBER(SEARCH("فيلتر",G184)),ISNUMBER(SEARCH("فیلتر",G184))),"غیرگارانتی/بدون قطعه",IF(OR(ISNUMBER(SEARCH("ريست",G184)),ISNUMBER(SEARCH("ریست",G184))),"ریست نرم‌افزاری (بدون قطعه)",IF(OR(ISNUMBER(SEARCH("تعویض محصول",G184)),ISNUMBER(SEARCH("تعویض دستگاه",G184))),"تعویض کامل دستگاه (Replacement)",IF(ISNUMBER(SEARCH("پمپ",G184)),IF(ISNUMBER(SEARCH("نشت",G184)),"نشتی - پمپ تخلیه (تعمیر/آب‌بندی)","خرابی - پمپ تخلیه (تعویض)"),IF(ISNUMBER(SEARCH("کمپرسور",G184)),"خرابی - کمپرسور (تعویض)",IF(ISNUMBER(SEARCH("کمک فنر",G184)),"خرابی - کمک فنر (تعویض)",IF(ISNUMBER(SEARCH("لولا",G184)),"مکانیزم درب - لولا (تعویض)",IF(OR(ISNUMBER(SEARCH("قلاب",G184)),ISNUMBER(SEARCH("ميکروسوئيچ",G184)),ISNUMBER(SEARCH("میکروسوئیچ",G184))),"مکانیزم درب - میکروسوئیچ/قلاب (تعویض/تنظیم)",IF(ISNUMBER(SEARCH("زبانه",G184)),"مکانیزم درب - زبانه (تعویض)",IF(OR(ISNUMBER(SEARCH("شيلنگ",G184)),ISNUMBER(SEARCH("شیلنگ",G184))),IF(OR(ISNUMBER(SEARCH("نشتی",G184)),ISNUMBER(SEARCH("نشتي",G184))),"نشتی - شیلنگ (تعمیر/آب‌بندی)",IF(OR(ISNUMBER(SEARCH("يخ",G184)),ISNUMBER(SEARCH("یخ",G184))),"شیلنگ یخساز - یخ‌زدگی (بازبینی)","شیلنگ - برخورد/لهیدگی (بازبینی)")),IF(OR(ISNUMBER(SEARCH("تنظيم ديسپل",G184)),ISNUMBER(SEARCH("تنظیم دیسپل",G184)),ISNUMBER(SEARCH("تنظيم صفحه نمايش",G184)),ISNUMBER(SEARCH("تنظیم صفحه نمایش",G184))),"تنظیم - تنظیمات دستگاه/دیسپلی (تعمیر)",IF(OR(ISNUMBER(SEARCH("برد",G184)),ISNUMBER(SEARCH("سوکت",G184)),ISNUMBER(SEARCH("ديسپل",G184)),ISNUMBER(SEARCH("دیسپل",G184))),"خرابی - برد الکترونیک (تعویض)",IF(OR(ISNUMBER(SEARCH("يخساز",G184)),ISNUMBER(SEARCH("یخساز",G184)),ISNUMBER(SEARCH("دمپر",G184))),IF(OR(ISNUMBER(SEARCH("خرابی",G184)),ISNUMBER(SEARCH("خراب",G184)),ISNUMBER(SEARCH("عدم کارکرد",G184)),ISNUMBER(SEARCH("عدم عملکرد",G184))),"یخساز - خرابی موتور/سنسور/برد (تعویض)","یخساز - تنظیم/عایق (تعمیر)"),IF(OR(ISNUMBER(SEARCH("لاستيک",G184)),ISNUMBER(SEARCH("لاستیک",G184))),"لاستیک درزگیر - دفرمگی/پارگی (تعویض)",IF(OR(ISNUMBER(SEARCH("گسکت",G184)),ISNUMBER(SEARCH("گسگت",G184))),"لاستیک درزگیر - دفرمگی/پارگی (تعویض)",IF(ISNUMBER(SEARCH("مخزن نمک",G184)),"نشتی - درب مخزن نمک (تعمیر/آب‌بندی)",IF(ISNUMBER(SEARCH("براکت",G184)),"نشتی - براکت ریل (تعمیر/آب‌بندی)",IF(ISNUMBER(SEARCH("جاپودر",G184)),"نشتی - جاپودری (تعمیر/آب‌بندی)",IF(ISNUMBER(SEARCH("مقسم",G184)),"نشتی - مقسم آب (تعمیر/آب‌بندی)",IF(OR(ISNUMBER(SEARCH("سنسور دما",G184)),ISNUMBER(SEARCH("ترموستات",G184))),"خرابی - ترموستات (تعویض)",IF(OR(ISNUMBER(SEARCH("هيدروستات",G184)),ISNUMBER(SEARCH("هیدروستات",G184))),"خرابی - هیدروستات (تعویض)",IF(OR(ISNUMBER(SEARCH("بلبرينگ",G184)),ISNUMBER(SEARCH("بلبرینگ",G184))),"خرابی - بلبرینگ (تعویض)",IF(OR(ISNUMBER(SEARCH("شيربرق",G184)),ISNUMBER(SEARCH("شیربرق",G184))),"خرابی - شیربرقی (تعویض)",IF(OR(ISNUMBER(SEARCH("واتر جت",G184)),ISNUMBER(SEARCH("واترجت",G184))),"خرابی - واترجت (تعویض)",IF(OR(ISNUMBER(SEARCH("سيم",G184)),ISNUMBER(SEARCH("سیم",G184)),ISNUMBER(SEARCH("اتصال",G184))),"سیم‌کشی/اتصالات (تعویض/بازبینی)",IF(OR(ISNUMBER(SEARCH("تصوير",G184)),ISNUMBER(SEARCH("تصویر",G184))),"برد نمایش تلویزیون (تعویض)",IF(OR(ISNUMBER(SEARCH("ريموت",G184)),ISNUMBER(SEARCH("ریموت",G184))),"ریموت کنترل (تعویض/تعمیر)",IF(OR(ISNUMBER(SEARCH("ال اي دي",G184)),ISNUMBER(SEARCH("ال ای دی",G184)),ISNUMBER(SEARCH("LED",G184))),"خرابی - لامپ/LED داخلی (تعویض)",IF(ISNUMBER(SEARCH("زنگ زدگ",G184)),"زنگ‌زدگی بدنه/قطعه (تعویض)",IF(OR(ISNUMBER(SEARCH("قطعات تزئين",G184)),ISNUMBER(SEARCH("قطعات تزئین",G184))),"قطعات تزئینی - شکستگی/کسری (تعویض)",IF(ISNUMBER(SEARCH("سبد",G184)),"سبد ظرفشویی - شکستگی (تعویض)",IF(ISNUMBER(SEARCH("تاب درام",G184)),"خرابی - تاب برداشتن درام (تعویض)",IF(ISNUMBER(SEARCH("درام",G184)),"خرابی - سایر ایراد درام (تعویض)",IF(ISNUMBER(SEARCH("موتور",G184)),"خرابی - موتور (تعویض)",IF(ISNUMBER(SEARCH("تسمه",G184)),"خرابی - تسمه (تعویض)",IF(OR(ISNUMBER(SEARCH("پيچ ولوم",G184)),ISNUMBER(SEARCH("پیچ ولوم",G184))),"تنظیم - پیچ ولوم/دکمه (تعمیر)",IF(OR(ISNUMBER(SEARCH("کسري قطعات",G184)),ISNUMBER(SEARCH("کسری قطعات",G184))),"کسری قطعات تزئینی (تعویض)",IF(ISNUMBER(SEARCH("پرچ",G184)),"پرچ/بدنه کابین(تعمیر)",IF(OR(ISNUMBER(SEARCH("نشت",G184)),ISNUMBER(SEARCH("آبريزش",G184)),ISNUMBER(SEARCH("آبریزش",G184))),"نشتی آب - محل نامشخص (نیازمند بازدید)",IF(ISNUMBER(SEARCH("درب",G184)),"سایر اجزای درب (بازبینی)",IF(ISNUMBER(SEARCH("ضربه",G184)),"بدنه/کابین - ضربه (بازبینی/تعویض پنل)",IF(ISNUMBER(SEARCH("تراز",G184)),"تراز/لرزش - نصب (رگلاژ پایه)",IF(OR(ISNUMBER(SEARCH("تعویض",G184)),ISNUMBER(SEARCH("تعويض",G184))),"تعویض کامل دستگاه (Replacement)","سایر (نیازمند بررسی دستی)")))))))))))))))))))))))))))))))))))))))))))</f>
        <v/>
      </c>
      <c r="P184" s="124" t="inlineStr">
        <is>
          <t>*</t>
        </is>
      </c>
      <c r="Q184" s="124">
        <f>IF(ISNUMBER(SEARCH("عهده شرکت",F184)),"شرکت",IF(ISNUMBER(SEARCH("عهده مشتري",F184)),"مشتری",IF(ISNUMBER(SEARCH("عهده مشتری",F184)),"مشتری","نامشخص")))</f>
        <v/>
      </c>
      <c r="R184" s="178">
        <f>IF(O184="تعویض کامل دستگاه (Replacement)",IF(SUMIF('قیمت‌ها و مفروضات'!$A$9:$A$13,C184,'قیمت‌ها و مفروضات'!$C$9:$C$13)&lt;&gt;0,SUMIF('قیمت‌ها و مفروضات'!$A$9:$A$13,C184,'قیمت‌ها و مفروضات'!$C$9:$C$13),SUMIF('قیمت‌ها و مفروضات'!$A$9:$A$13,C184,'قیمت‌ها و مفروضات'!$B$9:$B$13)),IF(SUMIF('قیمت‌ها و مفروضات'!$A$18:$A$63,O184,'قیمت‌ها و مفروضات'!$C$18:$C$63)&lt;&gt;0,SUMIF('قیمت‌ها و مفروضات'!$A$18:$A$63,O184,'قیمت‌ها و مفروضات'!$C$18:$C$63),SUMIF('قیمت‌ها و مفروضات'!$A$18:$A$63,O184,'قیمت‌ها و مفروضات'!$B$18:$B$63)))</f>
        <v/>
      </c>
      <c r="S184" s="178">
        <f>'قیمت‌ها و مفروضات'!$B$3+'قیمت‌ها و مفروضات'!$B$4</f>
        <v/>
      </c>
      <c r="T184" s="178">
        <f>R184+S184</f>
        <v/>
      </c>
      <c r="U184" s="178">
        <f>IF(COUNTIF($E$2:E184,E184)&gt;1,"بله (تکراری)","خیر")</f>
        <v/>
      </c>
      <c r="V184" s="178">
        <f>IF(U184="بله (تکراری)",S184,0)</f>
        <v/>
      </c>
      <c r="W184" s="208" t="inlineStr"/>
      <c r="X184" s="208" t="inlineStr"/>
    </row>
    <row r="185" ht="58.5" customHeight="1" s="151">
      <c r="A185" s="176" t="n">
        <v>210010846</v>
      </c>
      <c r="B185" s="124">
        <f>CHOOSE(_xlfn.NUMBERVALUE(MID(H185,6,2)),"فروردین","اردیبهشت","خرداد","تیر","مرداد","شهریور","مهر","آبان","آذر","دی","بهمن","اسفند")</f>
        <v/>
      </c>
      <c r="C185" s="176" t="inlineStr">
        <is>
          <t>ماشين ظرفشويي</t>
        </is>
      </c>
      <c r="D185" s="176" t="inlineStr">
        <is>
          <t>CDW-H16T</t>
        </is>
      </c>
      <c r="E185" s="176" t="inlineStr">
        <is>
          <t>52220004N02290</t>
        </is>
      </c>
      <c r="F185" s="173" t="inlineStr">
        <is>
          <t>بسته نشدن درب**اياب و ذهاب به عهده شرکت</t>
        </is>
      </c>
      <c r="G185" s="173" t="inlineStr">
        <is>
          <t>خرابي قلاب ميکروسوئيچ</t>
        </is>
      </c>
      <c r="H185" s="176" t="inlineStr">
        <is>
          <t>1405/03/30</t>
        </is>
      </c>
      <c r="I185" s="124" t="inlineStr">
        <is>
          <t>1404/01/21</t>
        </is>
      </c>
      <c r="J185" s="124" t="inlineStr">
        <is>
          <t>1405/03/26</t>
        </is>
      </c>
      <c r="K185" s="177">
        <f>IFERROR(VLOOKUP(LEFT(H185,7),'تبدیل تاریخ'!$A$2:$B$73,2,FALSE())+VALUE(RIGHT(H185,2))-1,"")</f>
        <v/>
      </c>
      <c r="L185" s="177">
        <f>IFERROR(VLOOKUP(LEFT(I185,7),'تبدیل تاریخ'!$A$2:$B$73,2,FALSE())+VALUE(RIGHT(I185,2))-1,"")</f>
        <v/>
      </c>
      <c r="M185" s="177">
        <f>IF(J185="","",IFERROR(VLOOKUP(LEFT(J185,7),'تبدیل تاریخ'!$A$2:$B$73,2,FALSE())+VALUE(RIGHT(J185,2))-1,""))</f>
        <v/>
      </c>
      <c r="N185" s="124">
        <f>IF(OR(K185="",M185=""),"",CEILING((K185-M185)/30,1))</f>
        <v/>
      </c>
      <c r="O185" s="124">
        <f>IF(OR(ISNUMBER(SEARCH("بدون مورد",G185)),ISNUMBER(SEARCH("غير گارانتي",G185)),ISNUMBER(SEARCH("غیر گارانتی",G185)),ISNUMBER(SEARCH("بدون اجرت",G185)),ISNUMBER(SEARCH("فيلتر",G185)),ISNUMBER(SEARCH("فیلتر",G185))),"غیرگارانتی/بدون قطعه",IF(OR(ISNUMBER(SEARCH("ريست",G185)),ISNUMBER(SEARCH("ریست",G185))),"ریست نرم‌افزاری (بدون قطعه)",IF(OR(ISNUMBER(SEARCH("تعویض محصول",G185)),ISNUMBER(SEARCH("تعویض دستگاه",G185))),"تعویض کامل دستگاه (Replacement)",IF(ISNUMBER(SEARCH("پمپ",G185)),IF(ISNUMBER(SEARCH("نشت",G185)),"نشتی - پمپ تخلیه (تعمیر/آب‌بندی)","خرابی - پمپ تخلیه (تعویض)"),IF(ISNUMBER(SEARCH("کمپرسور",G185)),"خرابی - کمپرسور (تعویض)",IF(ISNUMBER(SEARCH("کمک فنر",G185)),"خرابی - کمک فنر (تعویض)",IF(ISNUMBER(SEARCH("لولا",G185)),"مکانیزم درب - لولا (تعویض)",IF(OR(ISNUMBER(SEARCH("قلاب",G185)),ISNUMBER(SEARCH("ميکروسوئيچ",G185)),ISNUMBER(SEARCH("میکروسوئیچ",G185))),"مکانیزم درب - میکروسوئیچ/قلاب (تعویض/تنظیم)",IF(ISNUMBER(SEARCH("زبانه",G185)),"مکانیزم درب - زبانه (تعویض)",IF(OR(ISNUMBER(SEARCH("شيلنگ",G185)),ISNUMBER(SEARCH("شیلنگ",G185))),IF(OR(ISNUMBER(SEARCH("نشتی",G185)),ISNUMBER(SEARCH("نشتي",G185))),"نشتی - شیلنگ (تعمیر/آب‌بندی)",IF(OR(ISNUMBER(SEARCH("يخ",G185)),ISNUMBER(SEARCH("یخ",G185))),"شیلنگ یخساز - یخ‌زدگی (بازبینی)","شیلنگ - برخورد/لهیدگی (بازبینی)")),IF(OR(ISNUMBER(SEARCH("تنظيم ديسپل",G185)),ISNUMBER(SEARCH("تنظیم دیسپل",G185)),ISNUMBER(SEARCH("تنظيم صفحه نمايش",G185)),ISNUMBER(SEARCH("تنظیم صفحه نمایش",G185))),"تنظیم - تنظیمات دستگاه/دیسپلی (تعمیر)",IF(OR(ISNUMBER(SEARCH("برد",G185)),ISNUMBER(SEARCH("سوکت",G185)),ISNUMBER(SEARCH("ديسپل",G185)),ISNUMBER(SEARCH("دیسپل",G185))),"خرابی - برد الکترونیک (تعویض)",IF(OR(ISNUMBER(SEARCH("يخساز",G185)),ISNUMBER(SEARCH("یخساز",G185)),ISNUMBER(SEARCH("دمپر",G185))),IF(OR(ISNUMBER(SEARCH("خرابی",G185)),ISNUMBER(SEARCH("خراب",G185)),ISNUMBER(SEARCH("عدم کارکرد",G185)),ISNUMBER(SEARCH("عدم عملکرد",G185))),"یخساز - خرابی موتور/سنسور/برد (تعویض)","یخساز - تنظیم/عایق (تعمیر)"),IF(OR(ISNUMBER(SEARCH("لاستيک",G185)),ISNUMBER(SEARCH("لاستیک",G185))),"لاستیک درزگیر - دفرمگی/پارگی (تعویض)",IF(OR(ISNUMBER(SEARCH("گسکت",G185)),ISNUMBER(SEARCH("گسگت",G185))),"لاستیک درزگیر - دفرمگی/پارگی (تعویض)",IF(ISNUMBER(SEARCH("مخزن نمک",G185)),"نشتی - درب مخزن نمک (تعمیر/آب‌بندی)",IF(ISNUMBER(SEARCH("براکت",G185)),"نشتی - براکت ریل (تعمیر/آب‌بندی)",IF(ISNUMBER(SEARCH("جاپودر",G185)),"نشتی - جاپودری (تعمیر/آب‌بندی)",IF(ISNUMBER(SEARCH("مقسم",G185)),"نشتی - مقسم آب (تعمیر/آب‌بندی)",IF(OR(ISNUMBER(SEARCH("سنسور دما",G185)),ISNUMBER(SEARCH("ترموستات",G185))),"خرابی - ترموستات (تعویض)",IF(OR(ISNUMBER(SEARCH("هيدروستات",G185)),ISNUMBER(SEARCH("هیدروستات",G185))),"خرابی - هیدروستات (تعویض)",IF(OR(ISNUMBER(SEARCH("بلبرينگ",G185)),ISNUMBER(SEARCH("بلبرینگ",G185))),"خرابی - بلبرینگ (تعویض)",IF(OR(ISNUMBER(SEARCH("شيربرق",G185)),ISNUMBER(SEARCH("شیربرق",G185))),"خرابی - شیربرقی (تعویض)",IF(OR(ISNUMBER(SEARCH("واتر جت",G185)),ISNUMBER(SEARCH("واترجت",G185))),"خرابی - واترجت (تعویض)",IF(OR(ISNUMBER(SEARCH("سيم",G185)),ISNUMBER(SEARCH("سیم",G185)),ISNUMBER(SEARCH("اتصال",G185))),"سیم‌کشی/اتصالات (تعویض/بازبینی)",IF(OR(ISNUMBER(SEARCH("تصوير",G185)),ISNUMBER(SEARCH("تصویر",G185))),"برد نمایش تلویزیون (تعویض)",IF(OR(ISNUMBER(SEARCH("ريموت",G185)),ISNUMBER(SEARCH("ریموت",G185))),"ریموت کنترل (تعویض/تعمیر)",IF(OR(ISNUMBER(SEARCH("ال اي دي",G185)),ISNUMBER(SEARCH("ال ای دی",G185)),ISNUMBER(SEARCH("LED",G185))),"خرابی - لامپ/LED داخلی (تعویض)",IF(ISNUMBER(SEARCH("زنگ زدگ",G185)),"زنگ‌زدگی بدنه/قطعه (تعویض)",IF(OR(ISNUMBER(SEARCH("قطعات تزئين",G185)),ISNUMBER(SEARCH("قطعات تزئین",G185))),"قطعات تزئینی - شکستگی/کسری (تعویض)",IF(ISNUMBER(SEARCH("سبد",G185)),"سبد ظرفشویی - شکستگی (تعویض)",IF(ISNUMBER(SEARCH("تاب درام",G185)),"خرابی - تاب برداشتن درام (تعویض)",IF(ISNUMBER(SEARCH("درام",G185)),"خرابی - سایر ایراد درام (تعویض)",IF(ISNUMBER(SEARCH("موتور",G185)),"خرابی - موتور (تعویض)",IF(ISNUMBER(SEARCH("تسمه",G185)),"خرابی - تسمه (تعویض)",IF(OR(ISNUMBER(SEARCH("پيچ ولوم",G185)),ISNUMBER(SEARCH("پیچ ولوم",G185))),"تنظیم - پیچ ولوم/دکمه (تعمیر)",IF(OR(ISNUMBER(SEARCH("کسري قطعات",G185)),ISNUMBER(SEARCH("کسری قطعات",G185))),"کسری قطعات تزئینی (تعویض)",IF(ISNUMBER(SEARCH("پرچ",G185)),"پرچ/بدنه کابین(تعمیر)",IF(OR(ISNUMBER(SEARCH("نشت",G185)),ISNUMBER(SEARCH("آبريزش",G185)),ISNUMBER(SEARCH("آبریزش",G185))),"نشتی آب - محل نامشخص (نیازمند بازدید)",IF(ISNUMBER(SEARCH("درب",G185)),"سایر اجزای درب (بازبینی)",IF(ISNUMBER(SEARCH("ضربه",G185)),"بدنه/کابین - ضربه (بازبینی/تعویض پنل)",IF(ISNUMBER(SEARCH("تراز",G185)),"تراز/لرزش - نصب (رگلاژ پایه)",IF(OR(ISNUMBER(SEARCH("تعویض",G185)),ISNUMBER(SEARCH("تعويض",G185))),"تعویض کامل دستگاه (Replacement)","سایر (نیازمند بررسی دستی)")))))))))))))))))))))))))))))))))))))))))))</f>
        <v/>
      </c>
      <c r="P185" s="124" t="inlineStr">
        <is>
          <t>میکروسوئیچ 16 نفره</t>
        </is>
      </c>
      <c r="Q185" s="124">
        <f>IF(ISNUMBER(SEARCH("عهده شرکت",F185)),"شرکت",IF(ISNUMBER(SEARCH("عهده مشتري",F185)),"مشتری",IF(ISNUMBER(SEARCH("عهده مشتری",F185)),"مشتری","نامشخص")))</f>
        <v/>
      </c>
      <c r="R185" s="178">
        <f>IF(O185="تعویض کامل دستگاه (Replacement)",IF(SUMIF('قیمت‌ها و مفروضات'!$A$9:$A$13,C185,'قیمت‌ها و مفروضات'!$C$9:$C$13)&lt;&gt;0,SUMIF('قیمت‌ها و مفروضات'!$A$9:$A$13,C185,'قیمت‌ها و مفروضات'!$C$9:$C$13),SUMIF('قیمت‌ها و مفروضات'!$A$9:$A$13,C185,'قیمت‌ها و مفروضات'!$B$9:$B$13)),IF(SUMIF('قیمت‌ها و مفروضات'!$A$18:$A$63,O185,'قیمت‌ها و مفروضات'!$C$18:$C$63)&lt;&gt;0,SUMIF('قیمت‌ها و مفروضات'!$A$18:$A$63,O185,'قیمت‌ها و مفروضات'!$C$18:$C$63),SUMIF('قیمت‌ها و مفروضات'!$A$18:$A$63,O185,'قیمت‌ها و مفروضات'!$B$18:$B$63)))</f>
        <v/>
      </c>
      <c r="S185" s="178">
        <f>'قیمت‌ها و مفروضات'!$B$3+'قیمت‌ها و مفروضات'!$B$4</f>
        <v/>
      </c>
      <c r="T185" s="178">
        <f>R185+S185</f>
        <v/>
      </c>
      <c r="U185" s="178">
        <f>IF(COUNTIF($E$2:E185,E185)&gt;1,"بله (تکراری)","خیر")</f>
        <v/>
      </c>
      <c r="V185" s="178">
        <f>IF(U185="بله (تکراری)",S185,0)</f>
        <v/>
      </c>
      <c r="W185" s="208" t="inlineStr"/>
      <c r="X185" s="208" t="inlineStr"/>
    </row>
    <row r="186" ht="58.5" customHeight="1" s="151">
      <c r="A186" s="176" t="n">
        <v>210012222</v>
      </c>
      <c r="B186" s="124">
        <f>CHOOSE(_xlfn.NUMBERVALUE(MID(H186,6,2)),"فروردین","اردیبهشت","خرداد","تیر","مرداد","شهریور","مهر","آبان","آذر","دی","بهمن","اسفند")</f>
        <v/>
      </c>
      <c r="C186" s="176" t="inlineStr">
        <is>
          <t>یخچال ساید‌بای‌ساید</t>
        </is>
      </c>
      <c r="D186" s="176" t="inlineStr">
        <is>
          <t>C2S-29HS1</t>
        </is>
      </c>
      <c r="E186" s="176" t="inlineStr">
        <is>
          <t>52240001N01897</t>
        </is>
      </c>
      <c r="F186" s="173" t="inlineStr">
        <is>
          <t>اياب و ذهاب به عهده شرکت عدم تخليه يخ به صورت قالبي</t>
        </is>
      </c>
      <c r="G186" s="173" t="inlineStr">
        <is>
          <t>اصلاح دمپر پلاستيکي پشت کابين - سايد باي سايد</t>
        </is>
      </c>
      <c r="H186" s="176" t="inlineStr">
        <is>
          <t>1405/04/02</t>
        </is>
      </c>
      <c r="I186" s="124" t="inlineStr">
        <is>
          <t>1403/09/10</t>
        </is>
      </c>
      <c r="J186" s="124" t="inlineStr">
        <is>
          <t>1405/03/28</t>
        </is>
      </c>
      <c r="K186" s="177">
        <f>IFERROR(VLOOKUP(LEFT(H186,7),'تبدیل تاریخ'!$A$2:$B$73,2,FALSE())+VALUE(RIGHT(H186,2))-1,"")</f>
        <v/>
      </c>
      <c r="L186" s="177">
        <f>IFERROR(VLOOKUP(LEFT(I186,7),'تبدیل تاریخ'!$A$2:$B$73,2,FALSE())+VALUE(RIGHT(I186,2))-1,"")</f>
        <v/>
      </c>
      <c r="M186" s="177">
        <f>IF(J186="","",IFERROR(VLOOKUP(LEFT(J186,7),'تبدیل تاریخ'!$A$2:$B$73,2,FALSE())+VALUE(RIGHT(J186,2))-1,""))</f>
        <v/>
      </c>
      <c r="N186" s="124">
        <f>IF(OR(K186="",M186=""),"",CEILING((K186-M186)/30,1))</f>
        <v/>
      </c>
      <c r="O186" s="124">
        <f>IF(OR(ISNUMBER(SEARCH("بدون مورد",G186)),ISNUMBER(SEARCH("غير گارانتي",G186)),ISNUMBER(SEARCH("غیر گارانتی",G186)),ISNUMBER(SEARCH("بدون اجرت",G186)),ISNUMBER(SEARCH("فيلتر",G186)),ISNUMBER(SEARCH("فیلتر",G186))),"غیرگارانتی/بدون قطعه",IF(OR(ISNUMBER(SEARCH("ريست",G186)),ISNUMBER(SEARCH("ریست",G186))),"ریست نرم‌افزاری (بدون قطعه)",IF(OR(ISNUMBER(SEARCH("تعویض محصول",G186)),ISNUMBER(SEARCH("تعویض دستگاه",G186))),"تعویض کامل دستگاه (Replacement)",IF(ISNUMBER(SEARCH("پمپ",G186)),IF(ISNUMBER(SEARCH("نشت",G186)),"نشتی - پمپ تخلیه (تعمیر/آب‌بندی)","خرابی - پمپ تخلیه (تعویض)"),IF(ISNUMBER(SEARCH("کمپرسور",G186)),"خرابی - کمپرسور (تعویض)",IF(ISNUMBER(SEARCH("کمک فنر",G186)),"خرابی - کمک فنر (تعویض)",IF(ISNUMBER(SEARCH("لولا",G186)),"مکانیزم درب - لولا (تعویض)",IF(OR(ISNUMBER(SEARCH("قلاب",G186)),ISNUMBER(SEARCH("ميکروسوئيچ",G186)),ISNUMBER(SEARCH("میکروسوئیچ",G186))),"مکانیزم درب - میکروسوئیچ/قلاب (تعویض/تنظیم)",IF(ISNUMBER(SEARCH("زبانه",G186)),"مکانیزم درب - زبانه (تعویض)",IF(OR(ISNUMBER(SEARCH("شيلنگ",G186)),ISNUMBER(SEARCH("شیلنگ",G186))),IF(OR(ISNUMBER(SEARCH("نشتی",G186)),ISNUMBER(SEARCH("نشتي",G186))),"نشتی - شیلنگ (تعمیر/آب‌بندی)",IF(OR(ISNUMBER(SEARCH("يخ",G186)),ISNUMBER(SEARCH("یخ",G186))),"شیلنگ یخساز - یخ‌زدگی (بازبینی)","شیلنگ - برخورد/لهیدگی (بازبینی)")),IF(OR(ISNUMBER(SEARCH("تنظيم ديسپل",G186)),ISNUMBER(SEARCH("تنظیم دیسپل",G186)),ISNUMBER(SEARCH("تنظيم صفحه نمايش",G186)),ISNUMBER(SEARCH("تنظیم صفحه نمایش",G186))),"تنظیم - تنظیمات دستگاه/دیسپلی (تعمیر)",IF(OR(ISNUMBER(SEARCH("برد",G186)),ISNUMBER(SEARCH("سوکت",G186)),ISNUMBER(SEARCH("ديسپل",G186)),ISNUMBER(SEARCH("دیسپل",G186))),"خرابی - برد الکترونیک (تعویض)",IF(OR(ISNUMBER(SEARCH("يخساز",G186)),ISNUMBER(SEARCH("یخساز",G186)),ISNUMBER(SEARCH("دمپر",G186))),IF(OR(ISNUMBER(SEARCH("خرابی",G186)),ISNUMBER(SEARCH("خراب",G186)),ISNUMBER(SEARCH("عدم کارکرد",G186)),ISNUMBER(SEARCH("عدم عملکرد",G186))),"یخساز - خرابی موتور/سنسور/برد (تعویض)","یخساز - تنظیم/عایق (تعمیر)"),IF(OR(ISNUMBER(SEARCH("لاستيک",G186)),ISNUMBER(SEARCH("لاستیک",G186))),"لاستیک درزگیر - دفرمگی/پارگی (تعویض)",IF(OR(ISNUMBER(SEARCH("گسکت",G186)),ISNUMBER(SEARCH("گسگت",G186))),"لاستیک درزگیر - دفرمگی/پارگی (تعویض)",IF(ISNUMBER(SEARCH("مخزن نمک",G186)),"نشتی - درب مخزن نمک (تعمیر/آب‌بندی)",IF(ISNUMBER(SEARCH("براکت",G186)),"نشتی - براکت ریل (تعمیر/آب‌بندی)",IF(ISNUMBER(SEARCH("جاپودر",G186)),"نشتی - جاپودری (تعمیر/آب‌بندی)",IF(ISNUMBER(SEARCH("مقسم",G186)),"نشتی - مقسم آب (تعمیر/آب‌بندی)",IF(OR(ISNUMBER(SEARCH("سنسور دما",G186)),ISNUMBER(SEARCH("ترموستات",G186))),"خرابی - ترموستات (تعویض)",IF(OR(ISNUMBER(SEARCH("هيدروستات",G186)),ISNUMBER(SEARCH("هیدروستات",G186))),"خرابی - هیدروستات (تعویض)",IF(OR(ISNUMBER(SEARCH("بلبرينگ",G186)),ISNUMBER(SEARCH("بلبرینگ",G186))),"خرابی - بلبرینگ (تعویض)",IF(OR(ISNUMBER(SEARCH("شيربرق",G186)),ISNUMBER(SEARCH("شیربرق",G186))),"خرابی - شیربرقی (تعویض)",IF(OR(ISNUMBER(SEARCH("واتر جت",G186)),ISNUMBER(SEARCH("واترجت",G186))),"خرابی - واترجت (تعویض)",IF(OR(ISNUMBER(SEARCH("سيم",G186)),ISNUMBER(SEARCH("سیم",G186)),ISNUMBER(SEARCH("اتصال",G186))),"سیم‌کشی/اتصالات (تعویض/بازبینی)",IF(OR(ISNUMBER(SEARCH("تصوير",G186)),ISNUMBER(SEARCH("تصویر",G186))),"برد نمایش تلویزیون (تعویض)",IF(OR(ISNUMBER(SEARCH("ريموت",G186)),ISNUMBER(SEARCH("ریموت",G186))),"ریموت کنترل (تعویض/تعمیر)",IF(OR(ISNUMBER(SEARCH("ال اي دي",G186)),ISNUMBER(SEARCH("ال ای دی",G186)),ISNUMBER(SEARCH("LED",G186))),"خرابی - لامپ/LED داخلی (تعویض)",IF(ISNUMBER(SEARCH("زنگ زدگ",G186)),"زنگ‌زدگی بدنه/قطعه (تعویض)",IF(OR(ISNUMBER(SEARCH("قطعات تزئين",G186)),ISNUMBER(SEARCH("قطعات تزئین",G186))),"قطعات تزئینی - شکستگی/کسری (تعویض)",IF(ISNUMBER(SEARCH("سبد",G186)),"سبد ظرفشویی - شکستگی (تعویض)",IF(ISNUMBER(SEARCH("تاب درام",G186)),"خرابی - تاب برداشتن درام (تعویض)",IF(ISNUMBER(SEARCH("درام",G186)),"خرابی - سایر ایراد درام (تعویض)",IF(ISNUMBER(SEARCH("موتور",G186)),"خرابی - موتور (تعویض)",IF(ISNUMBER(SEARCH("تسمه",G186)),"خرابی - تسمه (تعویض)",IF(OR(ISNUMBER(SEARCH("پيچ ولوم",G186)),ISNUMBER(SEARCH("پیچ ولوم",G186))),"تنظیم - پیچ ولوم/دکمه (تعمیر)",IF(OR(ISNUMBER(SEARCH("کسري قطعات",G186)),ISNUMBER(SEARCH("کسری قطعات",G186))),"کسری قطعات تزئینی (تعویض)",IF(ISNUMBER(SEARCH("پرچ",G186)),"پرچ/بدنه کابین(تعمیر)",IF(OR(ISNUMBER(SEARCH("نشت",G186)),ISNUMBER(SEARCH("آبريزش",G186)),ISNUMBER(SEARCH("آبریزش",G186))),"نشتی آب - محل نامشخص (نیازمند بازدید)",IF(ISNUMBER(SEARCH("درب",G186)),"سایر اجزای درب (بازبینی)",IF(ISNUMBER(SEARCH("ضربه",G186)),"بدنه/کابین - ضربه (بازبینی/تعویض پنل)",IF(ISNUMBER(SEARCH("تراز",G186)),"تراز/لرزش - نصب (رگلاژ پایه)",IF(OR(ISNUMBER(SEARCH("تعویض",G186)),ISNUMBER(SEARCH("تعويض",G186))),"تعویض کامل دستگاه (Replacement)","سایر (نیازمند بررسی دستی)")))))))))))))))))))))))))))))))))))))))))))</f>
        <v/>
      </c>
      <c r="P186" s="124" t="inlineStr">
        <is>
          <t>*</t>
        </is>
      </c>
      <c r="Q186" s="124">
        <f>IF(ISNUMBER(SEARCH("عهده شرکت",F186)),"شرکت",IF(ISNUMBER(SEARCH("عهده مشتري",F186)),"مشتری",IF(ISNUMBER(SEARCH("عهده مشتری",F186)),"مشتری","نامشخص")))</f>
        <v/>
      </c>
      <c r="R186" s="178">
        <f>IF(O186="تعویض کامل دستگاه (Replacement)",IF(SUMIF('قیمت‌ها و مفروضات'!$A$9:$A$13,C186,'قیمت‌ها و مفروضات'!$C$9:$C$13)&lt;&gt;0,SUMIF('قیمت‌ها و مفروضات'!$A$9:$A$13,C186,'قیمت‌ها و مفروضات'!$C$9:$C$13),SUMIF('قیمت‌ها و مفروضات'!$A$9:$A$13,C186,'قیمت‌ها و مفروضات'!$B$9:$B$13)),IF(SUMIF('قیمت‌ها و مفروضات'!$A$18:$A$63,O186,'قیمت‌ها و مفروضات'!$C$18:$C$63)&lt;&gt;0,SUMIF('قیمت‌ها و مفروضات'!$A$18:$A$63,O186,'قیمت‌ها و مفروضات'!$C$18:$C$63),SUMIF('قیمت‌ها و مفروضات'!$A$18:$A$63,O186,'قیمت‌ها و مفروضات'!$B$18:$B$63)))</f>
        <v/>
      </c>
      <c r="S186" s="178">
        <f>'قیمت‌ها و مفروضات'!$B$3+'قیمت‌ها و مفروضات'!$B$4</f>
        <v/>
      </c>
      <c r="T186" s="178">
        <f>R186+S186</f>
        <v/>
      </c>
      <c r="U186" s="178">
        <f>IF(COUNTIF($E$2:E186,E186)&gt;1,"بله (تکراری)","خیر")</f>
        <v/>
      </c>
      <c r="V186" s="178">
        <f>IF(U186="بله (تکراری)",S186,0)</f>
        <v/>
      </c>
      <c r="W186" s="208" t="inlineStr"/>
      <c r="X186" s="208" t="inlineStr"/>
    </row>
    <row r="187" ht="58.5" customHeight="1" s="151">
      <c r="A187" s="176" t="n">
        <v>210013035</v>
      </c>
      <c r="B187" s="124">
        <f>CHOOSE(_xlfn.NUMBERVALUE(MID(H187,6,2)),"فروردین","اردیبهشت","خرداد","تیر","مرداد","شهریور","مهر","آبان","آذر","دی","بهمن","اسفند")</f>
        <v/>
      </c>
      <c r="C187" s="176" t="inlineStr">
        <is>
          <t>یخچال ساید‌بای‌ساید</t>
        </is>
      </c>
      <c r="D187" s="176" t="inlineStr">
        <is>
          <t>C2S-29HS1</t>
        </is>
      </c>
      <c r="E187" s="176" t="inlineStr">
        <is>
          <t>52240001N01019</t>
        </is>
      </c>
      <c r="F187" s="173" t="inlineStr">
        <is>
          <t>عدم تخليه يخ به صورت قالبي**اياب و ذهاب به عهده مشتري</t>
        </is>
      </c>
      <c r="G187" s="173" t="inlineStr">
        <is>
          <t>خرابي شيربرقي فريزر - سايد باي سايد</t>
        </is>
      </c>
      <c r="H187" s="176" t="inlineStr">
        <is>
          <t>1405/04/08</t>
        </is>
      </c>
      <c r="I187" s="124" t="inlineStr">
        <is>
          <t>1403/04/19</t>
        </is>
      </c>
      <c r="J187" s="124" t="inlineStr">
        <is>
          <t>1403/10/06</t>
        </is>
      </c>
      <c r="K187" s="177">
        <f>IFERROR(VLOOKUP(LEFT(H187,7),'تبدیل تاریخ'!$A$2:$B$73,2,FALSE())+VALUE(RIGHT(H187,2))-1,"")</f>
        <v/>
      </c>
      <c r="L187" s="177">
        <f>IFERROR(VLOOKUP(LEFT(I187,7),'تبدیل تاریخ'!$A$2:$B$73,2,FALSE())+VALUE(RIGHT(I187,2))-1,"")</f>
        <v/>
      </c>
      <c r="M187" s="177">
        <f>IF(J187="","",IFERROR(VLOOKUP(LEFT(J187,7),'تبدیل تاریخ'!$A$2:$B$73,2,FALSE())+VALUE(RIGHT(J187,2))-1,""))</f>
        <v/>
      </c>
      <c r="N187" s="124">
        <f>IF(OR(K187="",M187=""),"",CEILING((K187-M187)/30,1))</f>
        <v/>
      </c>
      <c r="O187" s="124">
        <f>IF(OR(ISNUMBER(SEARCH("بدون مورد",G187)),ISNUMBER(SEARCH("غير گارانتي",G187)),ISNUMBER(SEARCH("غیر گارانتی",G187)),ISNUMBER(SEARCH("بدون اجرت",G187)),ISNUMBER(SEARCH("فيلتر",G187)),ISNUMBER(SEARCH("فیلتر",G187))),"غیرگارانتی/بدون قطعه",IF(OR(ISNUMBER(SEARCH("ريست",G187)),ISNUMBER(SEARCH("ریست",G187))),"ریست نرم‌افزاری (بدون قطعه)",IF(OR(ISNUMBER(SEARCH("تعویض محصول",G187)),ISNUMBER(SEARCH("تعویض دستگاه",G187))),"تعویض کامل دستگاه (Replacement)",IF(ISNUMBER(SEARCH("پمپ",G187)),IF(ISNUMBER(SEARCH("نشت",G187)),"نشتی - پمپ تخلیه (تعمیر/آب‌بندی)","خرابی - پمپ تخلیه (تعویض)"),IF(ISNUMBER(SEARCH("کمپرسور",G187)),"خرابی - کمپرسور (تعویض)",IF(ISNUMBER(SEARCH("کمک فنر",G187)),"خرابی - کمک فنر (تعویض)",IF(ISNUMBER(SEARCH("لولا",G187)),"مکانیزم درب - لولا (تعویض)",IF(OR(ISNUMBER(SEARCH("قلاب",G187)),ISNUMBER(SEARCH("ميکروسوئيچ",G187)),ISNUMBER(SEARCH("میکروسوئیچ",G187))),"مکانیزم درب - میکروسوئیچ/قلاب (تعویض/تنظیم)",IF(ISNUMBER(SEARCH("زبانه",G187)),"مکانیزم درب - زبانه (تعویض)",IF(OR(ISNUMBER(SEARCH("شيلنگ",G187)),ISNUMBER(SEARCH("شیلنگ",G187))),IF(OR(ISNUMBER(SEARCH("نشتی",G187)),ISNUMBER(SEARCH("نشتي",G187))),"نشتی - شیلنگ (تعمیر/آب‌بندی)",IF(OR(ISNUMBER(SEARCH("يخ",G187)),ISNUMBER(SEARCH("یخ",G187))),"شیلنگ یخساز - یخ‌زدگی (بازبینی)","شیلنگ - برخورد/لهیدگی (بازبینی)")),IF(OR(ISNUMBER(SEARCH("تنظيم ديسپل",G187)),ISNUMBER(SEARCH("تنظیم دیسپل",G187)),ISNUMBER(SEARCH("تنظيم صفحه نمايش",G187)),ISNUMBER(SEARCH("تنظیم صفحه نمایش",G187))),"تنظیم - تنظیمات دستگاه/دیسپلی (تعمیر)",IF(OR(ISNUMBER(SEARCH("برد",G187)),ISNUMBER(SEARCH("سوکت",G187)),ISNUMBER(SEARCH("ديسپل",G187)),ISNUMBER(SEARCH("دیسپل",G187))),"خرابی - برد الکترونیک (تعویض)",IF(OR(ISNUMBER(SEARCH("يخساز",G187)),ISNUMBER(SEARCH("یخساز",G187)),ISNUMBER(SEARCH("دمپر",G187))),IF(OR(ISNUMBER(SEARCH("خرابی",G187)),ISNUMBER(SEARCH("خراب",G187)),ISNUMBER(SEARCH("عدم کارکرد",G187)),ISNUMBER(SEARCH("عدم عملکرد",G187))),"یخساز - خرابی موتور/سنسور/برد (تعویض)","یخساز - تنظیم/عایق (تعمیر)"),IF(OR(ISNUMBER(SEARCH("لاستيک",G187)),ISNUMBER(SEARCH("لاستیک",G187))),"لاستیک درزگیر - دفرمگی/پارگی (تعویض)",IF(OR(ISNUMBER(SEARCH("گسکت",G187)),ISNUMBER(SEARCH("گسگت",G187))),"لاستیک درزگیر - دفرمگی/پارگی (تعویض)",IF(ISNUMBER(SEARCH("مخزن نمک",G187)),"نشتی - درب مخزن نمک (تعمیر/آب‌بندی)",IF(ISNUMBER(SEARCH("براکت",G187)),"نشتی - براکت ریل (تعمیر/آب‌بندی)",IF(ISNUMBER(SEARCH("جاپودر",G187)),"نشتی - جاپودری (تعمیر/آب‌بندی)",IF(ISNUMBER(SEARCH("مقسم",G187)),"نشتی - مقسم آب (تعمیر/آب‌بندی)",IF(OR(ISNUMBER(SEARCH("سنسور دما",G187)),ISNUMBER(SEARCH("ترموستات",G187))),"خرابی - ترموستات (تعویض)",IF(OR(ISNUMBER(SEARCH("هيدروستات",G187)),ISNUMBER(SEARCH("هیدروستات",G187))),"خرابی - هیدروستات (تعویض)",IF(OR(ISNUMBER(SEARCH("بلبرينگ",G187)),ISNUMBER(SEARCH("بلبرینگ",G187))),"خرابی - بلبرینگ (تعویض)",IF(OR(ISNUMBER(SEARCH("شيربرق",G187)),ISNUMBER(SEARCH("شیربرق",G187))),"خرابی - شیربرقی (تعویض)",IF(OR(ISNUMBER(SEARCH("واتر جت",G187)),ISNUMBER(SEARCH("واترجت",G187))),"خرابی - واترجت (تعویض)",IF(OR(ISNUMBER(SEARCH("سيم",G187)),ISNUMBER(SEARCH("سیم",G187)),ISNUMBER(SEARCH("اتصال",G187))),"سیم‌کشی/اتصالات (تعویض/بازبینی)",IF(OR(ISNUMBER(SEARCH("تصوير",G187)),ISNUMBER(SEARCH("تصویر",G187))),"برد نمایش تلویزیون (تعویض)",IF(OR(ISNUMBER(SEARCH("ريموت",G187)),ISNUMBER(SEARCH("ریموت",G187))),"ریموت کنترل (تعویض/تعمیر)",IF(OR(ISNUMBER(SEARCH("ال اي دي",G187)),ISNUMBER(SEARCH("ال ای دی",G187)),ISNUMBER(SEARCH("LED",G187))),"خرابی - لامپ/LED داخلی (تعویض)",IF(ISNUMBER(SEARCH("زنگ زدگ",G187)),"زنگ‌زدگی بدنه/قطعه (تعویض)",IF(OR(ISNUMBER(SEARCH("قطعات تزئين",G187)),ISNUMBER(SEARCH("قطعات تزئین",G187))),"قطعات تزئینی - شکستگی/کسری (تعویض)",IF(ISNUMBER(SEARCH("سبد",G187)),"سبد ظرفشویی - شکستگی (تعویض)",IF(ISNUMBER(SEARCH("تاب درام",G187)),"خرابی - تاب برداشتن درام (تعویض)",IF(ISNUMBER(SEARCH("درام",G187)),"خرابی - سایر ایراد درام (تعویض)",IF(ISNUMBER(SEARCH("موتور",G187)),"خرابی - موتور (تعویض)",IF(ISNUMBER(SEARCH("تسمه",G187)),"خرابی - تسمه (تعویض)",IF(OR(ISNUMBER(SEARCH("پيچ ولوم",G187)),ISNUMBER(SEARCH("پیچ ولوم",G187))),"تنظیم - پیچ ولوم/دکمه (تعمیر)",IF(OR(ISNUMBER(SEARCH("کسري قطعات",G187)),ISNUMBER(SEARCH("کسری قطعات",G187))),"کسری قطعات تزئینی (تعویض)",IF(ISNUMBER(SEARCH("پرچ",G187)),"پرچ/بدنه کابین(تعمیر)",IF(OR(ISNUMBER(SEARCH("نشت",G187)),ISNUMBER(SEARCH("آبريزش",G187)),ISNUMBER(SEARCH("آبریزش",G187))),"نشتی آب - محل نامشخص (نیازمند بازدید)",IF(ISNUMBER(SEARCH("درب",G187)),"سایر اجزای درب (بازبینی)",IF(ISNUMBER(SEARCH("ضربه",G187)),"بدنه/کابین - ضربه (بازبینی/تعویض پنل)",IF(ISNUMBER(SEARCH("تراز",G187)),"تراز/لرزش - نصب (رگلاژ پایه)",IF(OR(ISNUMBER(SEARCH("تعویض",G187)),ISNUMBER(SEARCH("تعويض",G187))),"تعویض کامل دستگاه (Replacement)","سایر (نیازمند بررسی دستی)")))))))))))))))))))))))))))))))))))))))))))</f>
        <v/>
      </c>
      <c r="P187" s="124" t="inlineStr">
        <is>
          <t>شیر برقی ساید بای ساید</t>
        </is>
      </c>
      <c r="Q187" s="124">
        <f>IF(ISNUMBER(SEARCH("عهده شرکت",F187)),"شرکت",IF(ISNUMBER(SEARCH("عهده مشتري",F187)),"مشتری",IF(ISNUMBER(SEARCH("عهده مشتری",F187)),"مشتری","نامشخص")))</f>
        <v/>
      </c>
      <c r="R187" s="178">
        <f>IF(O187="تعویض کامل دستگاه (Replacement)",IF(SUMIF('قیمت‌ها و مفروضات'!$A$9:$A$13,C187,'قیمت‌ها و مفروضات'!$C$9:$C$13)&lt;&gt;0,SUMIF('قیمت‌ها و مفروضات'!$A$9:$A$13,C187,'قیمت‌ها و مفروضات'!$C$9:$C$13),SUMIF('قیمت‌ها و مفروضات'!$A$9:$A$13,C187,'قیمت‌ها و مفروضات'!$B$9:$B$13)),IF(SUMIF('قیمت‌ها و مفروضات'!$A$18:$A$63,O187,'قیمت‌ها و مفروضات'!$C$18:$C$63)&lt;&gt;0,SUMIF('قیمت‌ها و مفروضات'!$A$18:$A$63,O187,'قیمت‌ها و مفروضات'!$C$18:$C$63),SUMIF('قیمت‌ها و مفروضات'!$A$18:$A$63,O187,'قیمت‌ها و مفروضات'!$B$18:$B$63)))</f>
        <v/>
      </c>
      <c r="S187" s="178">
        <f>'قیمت‌ها و مفروضات'!$B$3+'قیمت‌ها و مفروضات'!$B$4</f>
        <v/>
      </c>
      <c r="T187" s="178">
        <f>R187+S187</f>
        <v/>
      </c>
      <c r="U187" s="181">
        <f>IF(COUNTIF($E$2:E318,E187)&gt;1,"بله (تکراری)","خیر")</f>
        <v/>
      </c>
      <c r="V187" s="178">
        <f>IF(U187="بله (تکراری)",S187,0)</f>
        <v/>
      </c>
      <c r="W187" s="208" t="inlineStr"/>
      <c r="X187" s="208" t="inlineStr"/>
    </row>
    <row r="188" ht="58.5" customHeight="1" s="151">
      <c r="A188" s="176" t="n">
        <v>210013847</v>
      </c>
      <c r="B188" s="124">
        <f>CHOOSE(_xlfn.NUMBERVALUE(MID(H188,6,2)),"فروردین","اردیبهشت","خرداد","تیر","مرداد","شهریور","مهر","آبان","آذر","دی","بهمن","اسفند")</f>
        <v/>
      </c>
      <c r="C188" s="176" t="inlineStr">
        <is>
          <t>یخچال ساید‌بای‌ساید</t>
        </is>
      </c>
      <c r="D188" s="176" t="inlineStr">
        <is>
          <t>C2S-29HS1</t>
        </is>
      </c>
      <c r="E188" s="176" t="inlineStr">
        <is>
          <t>52240001N00748</t>
        </is>
      </c>
      <c r="F188" s="173" t="inlineStr">
        <is>
          <t>تعويض فيلتر - غيرگارانتي</t>
        </is>
      </c>
      <c r="G188" s="173" t="inlineStr">
        <is>
          <t>تعويض فيلتر / غيرگارانتي - سايد باي سايد</t>
        </is>
      </c>
      <c r="H188" s="176" t="inlineStr">
        <is>
          <t>1405/04/14</t>
        </is>
      </c>
      <c r="I188" s="124" t="inlineStr">
        <is>
          <t>1403/04/16</t>
        </is>
      </c>
      <c r="J188" s="124" t="inlineStr">
        <is>
          <t>1403/11/18</t>
        </is>
      </c>
      <c r="K188" s="177">
        <f>IFERROR(VLOOKUP(LEFT(H188,7),'تبدیل تاریخ'!$A$2:$B$73,2,FALSE())+VALUE(RIGHT(H188,2))-1,"")</f>
        <v/>
      </c>
      <c r="L188" s="177">
        <f>IFERROR(VLOOKUP(LEFT(I188,7),'تبدیل تاریخ'!$A$2:$B$73,2,FALSE())+VALUE(RIGHT(I188,2))-1,"")</f>
        <v/>
      </c>
      <c r="M188" s="177">
        <f>IF(J188="","",IFERROR(VLOOKUP(LEFT(J188,7),'تبدیل تاریخ'!$A$2:$B$73,2,FALSE())+VALUE(RIGHT(J188,2))-1,""))</f>
        <v/>
      </c>
      <c r="N188" s="124">
        <f>IF(OR(K188="",M188=""),"",CEILING((K188-M188)/30,1))</f>
        <v/>
      </c>
      <c r="O188" s="124">
        <f>IF(OR(ISNUMBER(SEARCH("بدون مورد",G188)),ISNUMBER(SEARCH("غير گارانتي",G188)),ISNUMBER(SEARCH("غیر گارانتی",G188)),ISNUMBER(SEARCH("بدون اجرت",G188)),ISNUMBER(SEARCH("فيلتر",G188)),ISNUMBER(SEARCH("فیلتر",G188))),"غیرگارانتی/بدون قطعه",IF(OR(ISNUMBER(SEARCH("ريست",G188)),ISNUMBER(SEARCH("ریست",G188))),"ریست نرم‌افزاری (بدون قطعه)",IF(OR(ISNUMBER(SEARCH("تعویض محصول",G188)),ISNUMBER(SEARCH("تعویض دستگاه",G188))),"تعویض کامل دستگاه (Replacement)",IF(ISNUMBER(SEARCH("پمپ",G188)),IF(ISNUMBER(SEARCH("نشت",G188)),"نشتی - پمپ تخلیه (تعمیر/آب‌بندی)","خرابی - پمپ تخلیه (تعویض)"),IF(ISNUMBER(SEARCH("کمپرسور",G188)),"خرابی - کمپرسور (تعویض)",IF(ISNUMBER(SEARCH("کمک فنر",G188)),"خرابی - کمک فنر (تعویض)",IF(ISNUMBER(SEARCH("لولا",G188)),"مکانیزم درب - لولا (تعویض)",IF(OR(ISNUMBER(SEARCH("قلاب",G188)),ISNUMBER(SEARCH("ميکروسوئيچ",G188)),ISNUMBER(SEARCH("میکروسوئیچ",G188))),"مکانیزم درب - میکروسوئیچ/قلاب (تعویض/تنظیم)",IF(ISNUMBER(SEARCH("زبانه",G188)),"مکانیزم درب - زبانه (تعویض)",IF(OR(ISNUMBER(SEARCH("شيلنگ",G188)),ISNUMBER(SEARCH("شیلنگ",G188))),IF(OR(ISNUMBER(SEARCH("نشتی",G188)),ISNUMBER(SEARCH("نشتي",G188))),"نشتی - شیلنگ (تعمیر/آب‌بندی)",IF(OR(ISNUMBER(SEARCH("يخ",G188)),ISNUMBER(SEARCH("یخ",G188))),"شیلنگ یخساز - یخ‌زدگی (بازبینی)","شیلنگ - برخورد/لهیدگی (بازبینی)")),IF(OR(ISNUMBER(SEARCH("تنظيم ديسپل",G188)),ISNUMBER(SEARCH("تنظیم دیسپل",G188)),ISNUMBER(SEARCH("تنظيم صفحه نمايش",G188)),ISNUMBER(SEARCH("تنظیم صفحه نمایش",G188))),"تنظیم - تنظیمات دستگاه/دیسپلی (تعمیر)",IF(OR(ISNUMBER(SEARCH("برد",G188)),ISNUMBER(SEARCH("سوکت",G188)),ISNUMBER(SEARCH("ديسپل",G188)),ISNUMBER(SEARCH("دیسپل",G188))),"خرابی - برد الکترونیک (تعویض)",IF(OR(ISNUMBER(SEARCH("يخساز",G188)),ISNUMBER(SEARCH("یخساز",G188)),ISNUMBER(SEARCH("دمپر",G188))),IF(OR(ISNUMBER(SEARCH("خرابی",G188)),ISNUMBER(SEARCH("خراب",G188)),ISNUMBER(SEARCH("عدم کارکرد",G188)),ISNUMBER(SEARCH("عدم عملکرد",G188))),"یخساز - خرابی موتور/سنسور/برد (تعویض)","یخساز - تنظیم/عایق (تعمیر)"),IF(OR(ISNUMBER(SEARCH("لاستيک",G188)),ISNUMBER(SEARCH("لاستیک",G188))),"لاستیک درزگیر - دفرمگی/پارگی (تعویض)",IF(OR(ISNUMBER(SEARCH("گسکت",G188)),ISNUMBER(SEARCH("گسگت",G188))),"لاستیک درزگیر - دفرمگی/پارگی (تعویض)",IF(ISNUMBER(SEARCH("مخزن نمک",G188)),"نشتی - درب مخزن نمک (تعمیر/آب‌بندی)",IF(ISNUMBER(SEARCH("براکت",G188)),"نشتی - براکت ریل (تعمیر/آب‌بندی)",IF(ISNUMBER(SEARCH("جاپودر",G188)),"نشتی - جاپودری (تعمیر/آب‌بندی)",IF(ISNUMBER(SEARCH("مقسم",G188)),"نشتی - مقسم آب (تعمیر/آب‌بندی)",IF(OR(ISNUMBER(SEARCH("سنسور دما",G188)),ISNUMBER(SEARCH("ترموستات",G188))),"خرابی - ترموستات (تعویض)",IF(OR(ISNUMBER(SEARCH("هيدروستات",G188)),ISNUMBER(SEARCH("هیدروستات",G188))),"خرابی - هیدروستات (تعویض)",IF(OR(ISNUMBER(SEARCH("بلبرينگ",G188)),ISNUMBER(SEARCH("بلبرینگ",G188))),"خرابی - بلبرینگ (تعویض)",IF(OR(ISNUMBER(SEARCH("شيربرق",G188)),ISNUMBER(SEARCH("شیربرق",G188))),"خرابی - شیربرقی (تعویض)",IF(OR(ISNUMBER(SEARCH("واتر جت",G188)),ISNUMBER(SEARCH("واترجت",G188))),"خرابی - واترجت (تعویض)",IF(OR(ISNUMBER(SEARCH("سيم",G188)),ISNUMBER(SEARCH("سیم",G188)),ISNUMBER(SEARCH("اتصال",G188))),"سیم‌کشی/اتصالات (تعویض/بازبینی)",IF(OR(ISNUMBER(SEARCH("تصوير",G188)),ISNUMBER(SEARCH("تصویر",G188))),"برد نمایش تلویزیون (تعویض)",IF(OR(ISNUMBER(SEARCH("ريموت",G188)),ISNUMBER(SEARCH("ریموت",G188))),"ریموت کنترل (تعویض/تعمیر)",IF(OR(ISNUMBER(SEARCH("ال اي دي",G188)),ISNUMBER(SEARCH("ال ای دی",G188)),ISNUMBER(SEARCH("LED",G188))),"خرابی - لامپ/LED داخلی (تعویض)",IF(ISNUMBER(SEARCH("زنگ زدگ",G188)),"زنگ‌زدگی بدنه/قطعه (تعویض)",IF(OR(ISNUMBER(SEARCH("قطعات تزئين",G188)),ISNUMBER(SEARCH("قطعات تزئین",G188))),"قطعات تزئینی - شکستگی/کسری (تعویض)",IF(ISNUMBER(SEARCH("سبد",G188)),"سبد ظرفشویی - شکستگی (تعویض)",IF(ISNUMBER(SEARCH("تاب درام",G188)),"خرابی - تاب برداشتن درام (تعویض)",IF(ISNUMBER(SEARCH("درام",G188)),"خرابی - سایر ایراد درام (تعویض)",IF(ISNUMBER(SEARCH("موتور",G188)),"خرابی - موتور (تعویض)",IF(ISNUMBER(SEARCH("تسمه",G188)),"خرابی - تسمه (تعویض)",IF(OR(ISNUMBER(SEARCH("پيچ ولوم",G188)),ISNUMBER(SEARCH("پیچ ولوم",G188))),"تنظیم - پیچ ولوم/دکمه (تعمیر)",IF(OR(ISNUMBER(SEARCH("کسري قطعات",G188)),ISNUMBER(SEARCH("کسری قطعات",G188))),"کسری قطعات تزئینی (تعویض)",IF(ISNUMBER(SEARCH("پرچ",G188)),"پرچ/بدنه کابین(تعمیر)",IF(OR(ISNUMBER(SEARCH("نشت",G188)),ISNUMBER(SEARCH("آبريزش",G188)),ISNUMBER(SEARCH("آبریزش",G188))),"نشتی آب - محل نامشخص (نیازمند بازدید)",IF(ISNUMBER(SEARCH("درب",G188)),"سایر اجزای درب (بازبینی)",IF(ISNUMBER(SEARCH("ضربه",G188)),"بدنه/کابین - ضربه (بازبینی/تعویض پنل)",IF(ISNUMBER(SEARCH("تراز",G188)),"تراز/لرزش - نصب (رگلاژ پایه)",IF(OR(ISNUMBER(SEARCH("تعویض",G188)),ISNUMBER(SEARCH("تعويض",G188))),"تعویض کامل دستگاه (Replacement)","سایر (نیازمند بررسی دستی)")))))))))))))))))))))))))))))))))))))))))))</f>
        <v/>
      </c>
      <c r="P188" s="124" t="inlineStr">
        <is>
          <t>*</t>
        </is>
      </c>
      <c r="Q188" s="124">
        <f>IF(ISNUMBER(SEARCH("عهده شرکت",F188)),"شرکت",IF(ISNUMBER(SEARCH("عهده مشتري",F188)),"مشتری",IF(ISNUMBER(SEARCH("عهده مشتری",F188)),"مشتری","نامشخص")))</f>
        <v/>
      </c>
      <c r="R188" s="178">
        <f>IF(O188="تعویض کامل دستگاه (Replacement)",IF(SUMIF('قیمت‌ها و مفروضات'!$A$9:$A$13,C188,'قیمت‌ها و مفروضات'!$C$9:$C$13)&lt;&gt;0,SUMIF('قیمت‌ها و مفروضات'!$A$9:$A$13,C188,'قیمت‌ها و مفروضات'!$C$9:$C$13),SUMIF('قیمت‌ها و مفروضات'!$A$9:$A$13,C188,'قیمت‌ها و مفروضات'!$B$9:$B$13)),IF(SUMIF('قیمت‌ها و مفروضات'!$A$18:$A$63,O188,'قیمت‌ها و مفروضات'!$C$18:$C$63)&lt;&gt;0,SUMIF('قیمت‌ها و مفروضات'!$A$18:$A$63,O188,'قیمت‌ها و مفروضات'!$C$18:$C$63),SUMIF('قیمت‌ها و مفروضات'!$A$18:$A$63,O188,'قیمت‌ها و مفروضات'!$B$18:$B$63)))</f>
        <v/>
      </c>
      <c r="S188" s="178">
        <f>'قیمت‌ها و مفروضات'!$B$3+'قیمت‌ها و مفروضات'!$B$4</f>
        <v/>
      </c>
      <c r="T188" s="178">
        <f>R188+S188</f>
        <v/>
      </c>
      <c r="U188" s="178">
        <f>IF(COUNTIF($E$2:E319,E188)&gt;1,"بله (تکراری)","خیر")</f>
        <v/>
      </c>
      <c r="V188" s="178">
        <f>IF(U188="بله (تکراری)",S188,0)</f>
        <v/>
      </c>
      <c r="W188" s="208" t="inlineStr"/>
      <c r="X188" s="208" t="inlineStr"/>
    </row>
    <row r="189" ht="58.5" customHeight="1" s="151">
      <c r="A189" s="176" t="n">
        <v>210014545</v>
      </c>
      <c r="B189" s="124">
        <f>CHOOSE(_xlfn.NUMBERVALUE(MID(H189,6,2)),"فروردین","اردیبهشت","خرداد","تیر","مرداد","شهریور","مهر","آبان","آذر","دی","بهمن","اسفند")</f>
        <v/>
      </c>
      <c r="C189" s="176" t="inlineStr">
        <is>
          <t>یخچال ساید‌بای‌ساید</t>
        </is>
      </c>
      <c r="D189" s="176" t="inlineStr">
        <is>
          <t>C2S-29HS1</t>
        </is>
      </c>
      <c r="E189" s="176" t="inlineStr">
        <is>
          <t>52240001N00477</t>
        </is>
      </c>
      <c r="F189" s="173" t="inlineStr">
        <is>
          <t>عدم کارکرد يخساز**اياب و ذهاب به عهده مشتري</t>
        </is>
      </c>
      <c r="G189" s="173" t="inlineStr">
        <is>
          <t>اصلاح دمپر پلاستيکي پشت کابين - سايد باي سايد</t>
        </is>
      </c>
      <c r="H189" s="176" t="inlineStr">
        <is>
          <t>1405/04/20</t>
        </is>
      </c>
      <c r="I189" s="124" t="inlineStr">
        <is>
          <t>1403/03/29</t>
        </is>
      </c>
      <c r="J189" s="124" t="inlineStr">
        <is>
          <t>1403/08/20</t>
        </is>
      </c>
      <c r="K189" s="177">
        <f>IFERROR(VLOOKUP(LEFT(H189,7),'تبدیل تاریخ'!$A$2:$B$73,2,FALSE())+VALUE(RIGHT(H189,2))-1,"")</f>
        <v/>
      </c>
      <c r="L189" s="177">
        <f>IFERROR(VLOOKUP(LEFT(I189,7),'تبدیل تاریخ'!$A$2:$B$73,2,FALSE())+VALUE(RIGHT(I189,2))-1,"")</f>
        <v/>
      </c>
      <c r="M189" s="177">
        <f>IF(J189="","",IFERROR(VLOOKUP(LEFT(J189,7),'تبدیل تاریخ'!$A$2:$B$73,2,FALSE())+VALUE(RIGHT(J189,2))-1,""))</f>
        <v/>
      </c>
      <c r="N189" s="124">
        <f>IF(OR(K189="",M189=""),"",CEILING((K189-M189)/30,1))</f>
        <v/>
      </c>
      <c r="O189" s="124">
        <f>IF(OR(ISNUMBER(SEARCH("بدون مورد",G189)),ISNUMBER(SEARCH("غير گارانتي",G189)),ISNUMBER(SEARCH("غیر گارانتی",G189)),ISNUMBER(SEARCH("بدون اجرت",G189)),ISNUMBER(SEARCH("فيلتر",G189)),ISNUMBER(SEARCH("فیلتر",G189))),"غیرگارانتی/بدون قطعه",IF(OR(ISNUMBER(SEARCH("ريست",G189)),ISNUMBER(SEARCH("ریست",G189))),"ریست نرم‌افزاری (بدون قطعه)",IF(OR(ISNUMBER(SEARCH("تعویض محصول",G189)),ISNUMBER(SEARCH("تعویض دستگاه",G189))),"تعویض کامل دستگاه (Replacement)",IF(ISNUMBER(SEARCH("پمپ",G189)),IF(ISNUMBER(SEARCH("نشت",G189)),"نشتی - پمپ تخلیه (تعمیر/آب‌بندی)","خرابی - پمپ تخلیه (تعویض)"),IF(ISNUMBER(SEARCH("کمپرسور",G189)),"خرابی - کمپرسور (تعویض)",IF(ISNUMBER(SEARCH("کمک فنر",G189)),"خرابی - کمک فنر (تعویض)",IF(ISNUMBER(SEARCH("لولا",G189)),"مکانیزم درب - لولا (تعویض)",IF(OR(ISNUMBER(SEARCH("قلاب",G189)),ISNUMBER(SEARCH("ميکروسوئيچ",G189)),ISNUMBER(SEARCH("میکروسوئیچ",G189))),"مکانیزم درب - میکروسوئیچ/قلاب (تعویض/تنظیم)",IF(ISNUMBER(SEARCH("زبانه",G189)),"مکانیزم درب - زبانه (تعویض)",IF(OR(ISNUMBER(SEARCH("شيلنگ",G189)),ISNUMBER(SEARCH("شیلنگ",G189))),IF(OR(ISNUMBER(SEARCH("نشتی",G189)),ISNUMBER(SEARCH("نشتي",G189))),"نشتی - شیلنگ (تعمیر/آب‌بندی)",IF(OR(ISNUMBER(SEARCH("يخ",G189)),ISNUMBER(SEARCH("یخ",G189))),"شیلنگ یخساز - یخ‌زدگی (بازبینی)","شیلنگ - برخورد/لهیدگی (بازبینی)")),IF(OR(ISNUMBER(SEARCH("تنظيم ديسپل",G189)),ISNUMBER(SEARCH("تنظیم دیسپل",G189)),ISNUMBER(SEARCH("تنظيم صفحه نمايش",G189)),ISNUMBER(SEARCH("تنظیم صفحه نمایش",G189))),"تنظیم - تنظیمات دستگاه/دیسپلی (تعمیر)",IF(OR(ISNUMBER(SEARCH("برد",G189)),ISNUMBER(SEARCH("سوکت",G189)),ISNUMBER(SEARCH("ديسپل",G189)),ISNUMBER(SEARCH("دیسپل",G189))),"خرابی - برد الکترونیک (تعویض)",IF(OR(ISNUMBER(SEARCH("يخساز",G189)),ISNUMBER(SEARCH("یخساز",G189)),ISNUMBER(SEARCH("دمپر",G189))),IF(OR(ISNUMBER(SEARCH("خرابی",G189)),ISNUMBER(SEARCH("خراب",G189)),ISNUMBER(SEARCH("عدم کارکرد",G189)),ISNUMBER(SEARCH("عدم عملکرد",G189))),"یخساز - خرابی موتور/سنسور/برد (تعویض)","یخساز - تنظیم/عایق (تعمیر)"),IF(OR(ISNUMBER(SEARCH("لاستيک",G189)),ISNUMBER(SEARCH("لاستیک",G189))),"لاستیک درزگیر - دفرمگی/پارگی (تعویض)",IF(OR(ISNUMBER(SEARCH("گسکت",G189)),ISNUMBER(SEARCH("گسگت",G189))),"لاستیک درزگیر - دفرمگی/پارگی (تعویض)",IF(ISNUMBER(SEARCH("مخزن نمک",G189)),"نشتی - درب مخزن نمک (تعمیر/آب‌بندی)",IF(ISNUMBER(SEARCH("براکت",G189)),"نشتی - براکت ریل (تعمیر/آب‌بندی)",IF(ISNUMBER(SEARCH("جاپودر",G189)),"نشتی - جاپودری (تعمیر/آب‌بندی)",IF(ISNUMBER(SEARCH("مقسم",G189)),"نشتی - مقسم آب (تعمیر/آب‌بندی)",IF(OR(ISNUMBER(SEARCH("سنسور دما",G189)),ISNUMBER(SEARCH("ترموستات",G189))),"خرابی - ترموستات (تعویض)",IF(OR(ISNUMBER(SEARCH("هيدروستات",G189)),ISNUMBER(SEARCH("هیدروستات",G189))),"خرابی - هیدروستات (تعویض)",IF(OR(ISNUMBER(SEARCH("بلبرينگ",G189)),ISNUMBER(SEARCH("بلبرینگ",G189))),"خرابی - بلبرینگ (تعویض)",IF(OR(ISNUMBER(SEARCH("شيربرق",G189)),ISNUMBER(SEARCH("شیربرق",G189))),"خرابی - شیربرقی (تعویض)",IF(OR(ISNUMBER(SEARCH("واتر جت",G189)),ISNUMBER(SEARCH("واترجت",G189))),"خرابی - واترجت (تعویض)",IF(OR(ISNUMBER(SEARCH("سيم",G189)),ISNUMBER(SEARCH("سیم",G189)),ISNUMBER(SEARCH("اتصال",G189))),"سیم‌کشی/اتصالات (تعویض/بازبینی)",IF(OR(ISNUMBER(SEARCH("تصوير",G189)),ISNUMBER(SEARCH("تصویر",G189))),"برد نمایش تلویزیون (تعویض)",IF(OR(ISNUMBER(SEARCH("ريموت",G189)),ISNUMBER(SEARCH("ریموت",G189))),"ریموت کنترل (تعویض/تعمیر)",IF(OR(ISNUMBER(SEARCH("ال اي دي",G189)),ISNUMBER(SEARCH("ال ای دی",G189)),ISNUMBER(SEARCH("LED",G189))),"خرابی - لامپ/LED داخلی (تعویض)",IF(ISNUMBER(SEARCH("زنگ زدگ",G189)),"زنگ‌زدگی بدنه/قطعه (تعویض)",IF(OR(ISNUMBER(SEARCH("قطعات تزئين",G189)),ISNUMBER(SEARCH("قطعات تزئین",G189))),"قطعات تزئینی - شکستگی/کسری (تعویض)",IF(ISNUMBER(SEARCH("سبد",G189)),"سبد ظرفشویی - شکستگی (تعویض)",IF(ISNUMBER(SEARCH("تاب درام",G189)),"خرابی - تاب برداشتن درام (تعویض)",IF(ISNUMBER(SEARCH("درام",G189)),"خرابی - سایر ایراد درام (تعویض)",IF(ISNUMBER(SEARCH("موتور",G189)),"خرابی - موتور (تعویض)",IF(ISNUMBER(SEARCH("تسمه",G189)),"خرابی - تسمه (تعویض)",IF(OR(ISNUMBER(SEARCH("پيچ ولوم",G189)),ISNUMBER(SEARCH("پیچ ولوم",G189))),"تنظیم - پیچ ولوم/دکمه (تعمیر)",IF(OR(ISNUMBER(SEARCH("کسري قطعات",G189)),ISNUMBER(SEARCH("کسری قطعات",G189))),"کسری قطعات تزئینی (تعویض)",IF(ISNUMBER(SEARCH("پرچ",G189)),"پرچ/بدنه کابین(تعمیر)",IF(OR(ISNUMBER(SEARCH("نشت",G189)),ISNUMBER(SEARCH("آبريزش",G189)),ISNUMBER(SEARCH("آبریزش",G189))),"نشتی آب - محل نامشخص (نیازمند بازدید)",IF(ISNUMBER(SEARCH("درب",G189)),"سایر اجزای درب (بازبینی)",IF(ISNUMBER(SEARCH("ضربه",G189)),"بدنه/کابین - ضربه (بازبینی/تعویض پنل)",IF(ISNUMBER(SEARCH("تراز",G189)),"تراز/لرزش - نصب (رگلاژ پایه)",IF(OR(ISNUMBER(SEARCH("تعویض",G189)),ISNUMBER(SEARCH("تعويض",G189))),"تعویض کامل دستگاه (Replacement)","سایر (نیازمند بررسی دستی)")))))))))))))))))))))))))))))))))))))))))))</f>
        <v/>
      </c>
      <c r="P189" s="124" t="inlineStr">
        <is>
          <t>*</t>
        </is>
      </c>
      <c r="Q189" s="124">
        <f>IF(ISNUMBER(SEARCH("عهده شرکت",F189)),"شرکت",IF(ISNUMBER(SEARCH("عهده مشتري",F189)),"مشتری",IF(ISNUMBER(SEARCH("عهده مشتری",F189)),"مشتری","نامشخص")))</f>
        <v/>
      </c>
      <c r="R189" s="178">
        <f>IF(O189="تعویض کامل دستگاه (Replacement)",IF(SUMIF('قیمت‌ها و مفروضات'!$A$9:$A$13,C189,'قیمت‌ها و مفروضات'!$C$9:$C$13)&lt;&gt;0,SUMIF('قیمت‌ها و مفروضات'!$A$9:$A$13,C189,'قیمت‌ها و مفروضات'!$C$9:$C$13),SUMIF('قیمت‌ها و مفروضات'!$A$9:$A$13,C189,'قیمت‌ها و مفروضات'!$B$9:$B$13)),IF(SUMIF('قیمت‌ها و مفروضات'!$A$18:$A$63,O189,'قیمت‌ها و مفروضات'!$C$18:$C$63)&lt;&gt;0,SUMIF('قیمت‌ها و مفروضات'!$A$18:$A$63,O189,'قیمت‌ها و مفروضات'!$C$18:$C$63),SUMIF('قیمت‌ها و مفروضات'!$A$18:$A$63,O189,'قیمت‌ها و مفروضات'!$B$18:$B$63)))</f>
        <v/>
      </c>
      <c r="S189" s="178">
        <f>'قیمت‌ها و مفروضات'!$B$3+'قیمت‌ها و مفروضات'!$B$4</f>
        <v/>
      </c>
      <c r="T189" s="178">
        <f>R189+S189</f>
        <v/>
      </c>
      <c r="U189" s="178">
        <f>IF(COUNTIF($E$2:E320,E189)&gt;1,"بله (تکراری)","خیر")</f>
        <v/>
      </c>
      <c r="V189" s="178">
        <f>IF(U189="بله (تکراری)",S189,0)</f>
        <v/>
      </c>
      <c r="W189" s="208" t="inlineStr"/>
      <c r="X189" s="208" t="inlineStr"/>
    </row>
    <row r="190" ht="58.5" customHeight="1" s="151">
      <c r="A190" s="176" t="n">
        <v>772264</v>
      </c>
      <c r="B190" s="124">
        <f>CHOOSE(_xlfn.NUMBERVALUE(MID(H190,6,2)),"فروردین","اردیبهشت","خرداد","تیر","مرداد","شهریور","مهر","آبان","آذر","دی","بهمن","اسفند")</f>
        <v/>
      </c>
      <c r="C190" s="176" t="inlineStr">
        <is>
          <t>ماشين ظرفشويي</t>
        </is>
      </c>
      <c r="D190" s="176" t="inlineStr">
        <is>
          <t>CDW-H16T</t>
        </is>
      </c>
      <c r="E190" s="176" t="inlineStr">
        <is>
          <t>52220005N04527</t>
        </is>
      </c>
      <c r="F190" s="173" t="inlineStr">
        <is>
          <t>بسته نشدن درب**اياب و ذهاب به عهده شرکت</t>
        </is>
      </c>
      <c r="G190" s="173" t="inlineStr">
        <is>
          <t>خرابي قلاب ميکروسوئيچ</t>
        </is>
      </c>
      <c r="H190" s="176" t="inlineStr">
        <is>
          <t>1405/02/13</t>
        </is>
      </c>
      <c r="I190" s="176" t="inlineStr">
        <is>
          <t>1404/08/18</t>
        </is>
      </c>
      <c r="J190" s="176" t="inlineStr">
        <is>
          <t>1405/02/19</t>
        </is>
      </c>
      <c r="K190" s="177">
        <f>IFERROR(VLOOKUP(LEFT(H190,7),'تبدیل تاریخ'!$A$2:$B$73,2,FALSE())+VALUE(RIGHT(H190,2))-1,"")</f>
        <v/>
      </c>
      <c r="L190" s="177">
        <f>IFERROR(VLOOKUP(LEFT(I190,7),'تبدیل تاریخ'!$A$2:$B$73,2,FALSE())+VALUE(RIGHT(I190,2))-1,"")</f>
        <v/>
      </c>
      <c r="M190" s="177">
        <f>IF(J190="","",IFERROR(VLOOKUP(LEFT(J190,7),'تبدیل تاریخ'!$A$2:$B$73,2,FALSE())+VALUE(RIGHT(J190,2))-1,""))</f>
        <v/>
      </c>
      <c r="N190" s="124">
        <f>IF(OR(K190="",M190=""),"",CEILING((K190-M190)/30,1))</f>
        <v/>
      </c>
      <c r="O190" s="124">
        <f>IF(OR(ISNUMBER(SEARCH("بدون مورد",G190)),ISNUMBER(SEARCH("غير گارانتي",G190)),ISNUMBER(SEARCH("غیر گارانتی",G190)),ISNUMBER(SEARCH("بدون اجرت",G190)),ISNUMBER(SEARCH("فيلتر",G190)),ISNUMBER(SEARCH("فیلتر",G190))),"غیرگارانتی/بدون قطعه",IF(OR(ISNUMBER(SEARCH("ريست",G190)),ISNUMBER(SEARCH("ریست",G190))),"ریست نرم‌افزاری (بدون قطعه)",IF(OR(ISNUMBER(SEARCH("تعویض محصول",G190)),ISNUMBER(SEARCH("تعویض دستگاه",G190))),"تعویض کامل دستگاه (Replacement)",IF(ISNUMBER(SEARCH("پمپ",G190)),IF(ISNUMBER(SEARCH("نشت",G190)),"نشتی - پمپ تخلیه (تعمیر/آب‌بندی)","خرابی - پمپ تخلیه (تعویض)"),IF(ISNUMBER(SEARCH("کمپرسور",G190)),"خرابی - کمپرسور (تعویض)",IF(ISNUMBER(SEARCH("کمک فنر",G190)),"خرابی - کمک فنر (تعویض)",IF(ISNUMBER(SEARCH("لولا",G190)),"مکانیزم درب - لولا (تعویض)",IF(OR(ISNUMBER(SEARCH("قلاب",G190)),ISNUMBER(SEARCH("ميکروسوئيچ",G190)),ISNUMBER(SEARCH("میکروسوئیچ",G190))),"مکانیزم درب - میکروسوئیچ/قلاب (تعویض/تنظیم)",IF(ISNUMBER(SEARCH("زبانه",G190)),"مکانیزم درب - زبانه (تعویض)",IF(OR(ISNUMBER(SEARCH("شيلنگ",G190)),ISNUMBER(SEARCH("شیلنگ",G190))),IF(OR(ISNUMBER(SEARCH("نشتی",G190)),ISNUMBER(SEARCH("نشتي",G190))),"نشتی - شیلنگ (تعمیر/آب‌بندی)",IF(OR(ISNUMBER(SEARCH("يخ",G190)),ISNUMBER(SEARCH("یخ",G190))),"شیلنگ یخساز - یخ‌زدگی (بازبینی)","شیلنگ - برخورد/لهیدگی (بازبینی)")),IF(OR(ISNUMBER(SEARCH("تنظيم ديسپل",G190)),ISNUMBER(SEARCH("تنظیم دیسپل",G190)),ISNUMBER(SEARCH("تنظيم صفحه نمايش",G190)),ISNUMBER(SEARCH("تنظیم صفحه نمایش",G190))),"تنظیم - تنظیمات دستگاه/دیسپلی (تعمیر)",IF(OR(ISNUMBER(SEARCH("برد",G190)),ISNUMBER(SEARCH("سوکت",G190)),ISNUMBER(SEARCH("ديسپل",G190)),ISNUMBER(SEARCH("دیسپل",G190))),"خرابی - برد الکترونیک (تعویض)",IF(OR(ISNUMBER(SEARCH("يخساز",G190)),ISNUMBER(SEARCH("یخساز",G190)),ISNUMBER(SEARCH("دمپر",G190))),IF(OR(ISNUMBER(SEARCH("خرابی",G190)),ISNUMBER(SEARCH("خراب",G190)),ISNUMBER(SEARCH("عدم کارکرد",G190)),ISNUMBER(SEARCH("عدم عملکرد",G190))),"یخساز - خرابی موتور/سنسور/برد (تعویض)","یخساز - تنظیم/عایق (تعمیر)"),IF(OR(ISNUMBER(SEARCH("لاستيک",G190)),ISNUMBER(SEARCH("لاستیک",G190))),"لاستیک درزگیر - دفرمگی/پارگی (تعویض)",IF(OR(ISNUMBER(SEARCH("گسکت",G190)),ISNUMBER(SEARCH("گسگت",G190))),"لاستیک درزگیر - دفرمگی/پارگی (تعویض)",IF(ISNUMBER(SEARCH("مخزن نمک",G190)),"نشتی - درب مخزن نمک (تعمیر/آب‌بندی)",IF(ISNUMBER(SEARCH("براکت",G190)),"نشتی - براکت ریل (تعمیر/آب‌بندی)",IF(ISNUMBER(SEARCH("جاپودر",G190)),"نشتی - جاپودری (تعمیر/آب‌بندی)",IF(ISNUMBER(SEARCH("مقسم",G190)),"نشتی - مقسم آب (تعمیر/آب‌بندی)",IF(OR(ISNUMBER(SEARCH("سنسور دما",G190)),ISNUMBER(SEARCH("ترموستات",G190))),"خرابی - ترموستات (تعویض)",IF(OR(ISNUMBER(SEARCH("هيدروستات",G190)),ISNUMBER(SEARCH("هیدروستات",G190))),"خرابی - هیدروستات (تعویض)",IF(OR(ISNUMBER(SEARCH("بلبرينگ",G190)),ISNUMBER(SEARCH("بلبرینگ",G190))),"خرابی - بلبرینگ (تعویض)",IF(OR(ISNUMBER(SEARCH("شيربرق",G190)),ISNUMBER(SEARCH("شیربرق",G190))),"خرابی - شیربرقی (تعویض)",IF(OR(ISNUMBER(SEARCH("واتر جت",G190)),ISNUMBER(SEARCH("واترجت",G190))),"خرابی - واترجت (تعویض)",IF(OR(ISNUMBER(SEARCH("سيم",G190)),ISNUMBER(SEARCH("سیم",G190)),ISNUMBER(SEARCH("اتصال",G190))),"سیم‌کشی/اتصالات (تعویض/بازبینی)",IF(OR(ISNUMBER(SEARCH("تصوير",G190)),ISNUMBER(SEARCH("تصویر",G190))),"برد نمایش تلویزیون (تعویض)",IF(OR(ISNUMBER(SEARCH("ريموت",G190)),ISNUMBER(SEARCH("ریموت",G190))),"ریموت کنترل (تعویض/تعمیر)",IF(OR(ISNUMBER(SEARCH("ال اي دي",G190)),ISNUMBER(SEARCH("ال ای دی",G190)),ISNUMBER(SEARCH("LED",G190))),"خرابی - لامپ/LED داخلی (تعویض)",IF(ISNUMBER(SEARCH("زنگ زدگ",G190)),"زنگ‌زدگی بدنه/قطعه (تعویض)",IF(OR(ISNUMBER(SEARCH("قطعات تزئين",G190)),ISNUMBER(SEARCH("قطعات تزئین",G190))),"قطعات تزئینی - شکستگی/کسری (تعویض)",IF(ISNUMBER(SEARCH("سبد",G190)),"سبد ظرفشویی - شکستگی (تعویض)",IF(ISNUMBER(SEARCH("تاب درام",G190)),"خرابی - تاب برداشتن درام (تعویض)",IF(ISNUMBER(SEARCH("درام",G190)),"خرابی - سایر ایراد درام (تعویض)",IF(ISNUMBER(SEARCH("موتور",G190)),"خرابی - موتور (تعویض)",IF(ISNUMBER(SEARCH("تسمه",G190)),"خرابی - تسمه (تعویض)",IF(OR(ISNUMBER(SEARCH("پيچ ولوم",G190)),ISNUMBER(SEARCH("پیچ ولوم",G190))),"تنظیم - پیچ ولوم/دکمه (تعمیر)",IF(OR(ISNUMBER(SEARCH("کسري قطعات",G190)),ISNUMBER(SEARCH("کسری قطعات",G190))),"کسری قطعات تزئینی (تعویض)",IF(ISNUMBER(SEARCH("پرچ",G190)),"پرچ/بدنه کابین(تعمیر)",IF(OR(ISNUMBER(SEARCH("نشت",G190)),ISNUMBER(SEARCH("آبريزش",G190)),ISNUMBER(SEARCH("آبریزش",G190))),"نشتی آب - محل نامشخص (نیازمند بازدید)",IF(ISNUMBER(SEARCH("درب",G190)),"سایر اجزای درب (بازبینی)",IF(ISNUMBER(SEARCH("ضربه",G190)),"بدنه/کابین - ضربه (بازبینی/تعویض پنل)",IF(ISNUMBER(SEARCH("تراز",G190)),"تراز/لرزش - نصب (رگلاژ پایه)",IF(OR(ISNUMBER(SEARCH("تعویض",G190)),ISNUMBER(SEARCH("تعويض",G190))),"تعویض کامل دستگاه (Replacement)","سایر (نیازمند بررسی دستی)")))))))))))))))))))))))))))))))))))))))))))</f>
        <v/>
      </c>
      <c r="P190" s="124" t="inlineStr">
        <is>
          <t>میکروسوئیچ 16 نفره</t>
        </is>
      </c>
      <c r="Q190" s="124">
        <f>IF(ISNUMBER(SEARCH("عهده شرکت",F190)),"شرکت",IF(ISNUMBER(SEARCH("عهده مشتري",F190)),"مشتری",IF(ISNUMBER(SEARCH("عهده مشتری",F190)),"مشتری","نامشخص")))</f>
        <v/>
      </c>
      <c r="R190" s="178">
        <f>IF(O190="تعویض کامل دستگاه (Replacement)",IF(SUMIF('قیمت‌ها و مفروضات'!$A$9:$A$13,C190,'قیمت‌ها و مفروضات'!$C$9:$C$13)&lt;&gt;0,SUMIF('قیمت‌ها و مفروضات'!$A$9:$A$13,C190,'قیمت‌ها و مفروضات'!$C$9:$C$13),SUMIF('قیمت‌ها و مفروضات'!$A$9:$A$13,C190,'قیمت‌ها و مفروضات'!$B$9:$B$13)),IF(SUMIF('قیمت‌ها و مفروضات'!$A$18:$A$63,O190,'قیمت‌ها و مفروضات'!$C$18:$C$63)&lt;&gt;0,SUMIF('قیمت‌ها و مفروضات'!$A$18:$A$63,O190,'قیمت‌ها و مفروضات'!$C$18:$C$63),SUMIF('قیمت‌ها و مفروضات'!$A$18:$A$63,O190,'قیمت‌ها و مفروضات'!$B$18:$B$63)))</f>
        <v/>
      </c>
      <c r="S190" s="178">
        <f>'قیمت‌ها و مفروضات'!$B$3+'قیمت‌ها و مفروضات'!$B$4</f>
        <v/>
      </c>
      <c r="T190" s="178">
        <f>R190+S190</f>
        <v/>
      </c>
      <c r="U190" s="178">
        <f>IF(COUNTIF($E$2:E321,E190)&gt;1,"بله (تکراری)","خیر")</f>
        <v/>
      </c>
      <c r="V190" s="178">
        <f>IF(U190="بله (تکراری)",S190,0)</f>
        <v/>
      </c>
      <c r="W190" s="208" t="inlineStr"/>
      <c r="X190" s="208" t="inlineStr"/>
    </row>
    <row r="191" ht="58.5" customHeight="1" s="151">
      <c r="A191" s="176" t="n">
        <v>772652</v>
      </c>
      <c r="B191" s="124">
        <f>CHOOSE(_xlfn.NUMBERVALUE(MID(H191,6,2)),"فروردین","اردیبهشت","خرداد","تیر","مرداد","شهریور","مهر","آبان","آذر","دی","بهمن","اسفند")</f>
        <v/>
      </c>
      <c r="C191" s="176" t="inlineStr">
        <is>
          <t>ماشين لباسشويي</t>
        </is>
      </c>
      <c r="D191" s="176" t="inlineStr">
        <is>
          <t>CWM-BMW9T1</t>
        </is>
      </c>
      <c r="E191" s="176" t="inlineStr">
        <is>
          <t>52210008N01398</t>
        </is>
      </c>
      <c r="F191" s="173" t="inlineStr">
        <is>
          <t>عدم عملکرد کليدهاي ديسپلي**اياب و ذهاب به عهده شرکت</t>
        </is>
      </c>
      <c r="G191" s="173" t="inlineStr">
        <is>
          <t>خرابي ديسپلي</t>
        </is>
      </c>
      <c r="H191" s="176" t="inlineStr">
        <is>
          <t>1405/02/14</t>
        </is>
      </c>
      <c r="I191" s="176" t="inlineStr">
        <is>
          <t>1404/06/12</t>
        </is>
      </c>
      <c r="J191" s="176" t="inlineStr">
        <is>
          <t>1404/06/26</t>
        </is>
      </c>
      <c r="K191" s="177">
        <f>IFERROR(VLOOKUP(LEFT(H191,7),'تبدیل تاریخ'!$A$2:$B$73,2,FALSE())+VALUE(RIGHT(H191,2))-1,"")</f>
        <v/>
      </c>
      <c r="L191" s="177">
        <f>IFERROR(VLOOKUP(LEFT(I191,7),'تبدیل تاریخ'!$A$2:$B$73,2,FALSE())+VALUE(RIGHT(I191,2))-1,"")</f>
        <v/>
      </c>
      <c r="M191" s="177">
        <f>IF(J191="","",IFERROR(VLOOKUP(LEFT(J191,7),'تبدیل تاریخ'!$A$2:$B$73,2,FALSE())+VALUE(RIGHT(J191,2))-1,""))</f>
        <v/>
      </c>
      <c r="N191" s="124">
        <f>IF(OR(K191="",M191=""),"",CEILING((K191-M191)/30,1))</f>
        <v/>
      </c>
      <c r="O191" s="124">
        <f>IF(OR(ISNUMBER(SEARCH("بدون مورد",G191)),ISNUMBER(SEARCH("غير گارانتي",G191)),ISNUMBER(SEARCH("غیر گارانتی",G191)),ISNUMBER(SEARCH("بدون اجرت",G191)),ISNUMBER(SEARCH("فيلتر",G191)),ISNUMBER(SEARCH("فیلتر",G191))),"غیرگارانتی/بدون قطعه",IF(OR(ISNUMBER(SEARCH("ريست",G191)),ISNUMBER(SEARCH("ریست",G191))),"ریست نرم‌افزاری (بدون قطعه)",IF(OR(ISNUMBER(SEARCH("تعویض محصول",G191)),ISNUMBER(SEARCH("تعویض دستگاه",G191))),"تعویض کامل دستگاه (Replacement)",IF(ISNUMBER(SEARCH("پمپ",G191)),IF(ISNUMBER(SEARCH("نشت",G191)),"نشتی - پمپ تخلیه (تعمیر/آب‌بندی)","خرابی - پمپ تخلیه (تعویض)"),IF(ISNUMBER(SEARCH("کمپرسور",G191)),"خرابی - کمپرسور (تعویض)",IF(ISNUMBER(SEARCH("کمک فنر",G191)),"خرابی - کمک فنر (تعویض)",IF(ISNUMBER(SEARCH("لولا",G191)),"مکانیزم درب - لولا (تعویض)",IF(OR(ISNUMBER(SEARCH("قلاب",G191)),ISNUMBER(SEARCH("ميکروسوئيچ",G191)),ISNUMBER(SEARCH("میکروسوئیچ",G191))),"مکانیزم درب - میکروسوئیچ/قلاب (تعویض/تنظیم)",IF(ISNUMBER(SEARCH("زبانه",G191)),"مکانیزم درب - زبانه (تعویض)",IF(OR(ISNUMBER(SEARCH("شيلنگ",G191)),ISNUMBER(SEARCH("شیلنگ",G191))),IF(OR(ISNUMBER(SEARCH("نشتی",G191)),ISNUMBER(SEARCH("نشتي",G191))),"نشتی - شیلنگ (تعمیر/آب‌بندی)",IF(OR(ISNUMBER(SEARCH("يخ",G191)),ISNUMBER(SEARCH("یخ",G191))),"شیلنگ یخساز - یخ‌زدگی (بازبینی)","شیلنگ - برخورد/لهیدگی (بازبینی)")),IF(OR(ISNUMBER(SEARCH("تنظيم ديسپل",G191)),ISNUMBER(SEARCH("تنظیم دیسپل",G191)),ISNUMBER(SEARCH("تنظيم صفحه نمايش",G191)),ISNUMBER(SEARCH("تنظیم صفحه نمایش",G191))),"تنظیم - تنظیمات دستگاه/دیسپلی (تعمیر)",IF(OR(ISNUMBER(SEARCH("برد",G191)),ISNUMBER(SEARCH("سوکت",G191)),ISNUMBER(SEARCH("ديسپل",G191)),ISNUMBER(SEARCH("دیسپل",G191))),"خرابی - برد الکترونیک (تعویض)",IF(OR(ISNUMBER(SEARCH("يخساز",G191)),ISNUMBER(SEARCH("یخساز",G191)),ISNUMBER(SEARCH("دمپر",G191))),IF(OR(ISNUMBER(SEARCH("خرابی",G191)),ISNUMBER(SEARCH("خراب",G191)),ISNUMBER(SEARCH("عدم کارکرد",G191)),ISNUMBER(SEARCH("عدم عملکرد",G191))),"یخساز - خرابی موتور/سنسور/برد (تعویض)","یخساز - تنظیم/عایق (تعمیر)"),IF(OR(ISNUMBER(SEARCH("لاستيک",G191)),ISNUMBER(SEARCH("لاستیک",G191))),"لاستیک درزگیر - دفرمگی/پارگی (تعویض)",IF(OR(ISNUMBER(SEARCH("گسکت",G191)),ISNUMBER(SEARCH("گسگت",G191))),"لاستیک درزگیر - دفرمگی/پارگی (تعویض)",IF(ISNUMBER(SEARCH("مخزن نمک",G191)),"نشتی - درب مخزن نمک (تعمیر/آب‌بندی)",IF(ISNUMBER(SEARCH("براکت",G191)),"نشتی - براکت ریل (تعمیر/آب‌بندی)",IF(ISNUMBER(SEARCH("جاپودر",G191)),"نشتی - جاپودری (تعمیر/آب‌بندی)",IF(ISNUMBER(SEARCH("مقسم",G191)),"نشتی - مقسم آب (تعمیر/آب‌بندی)",IF(OR(ISNUMBER(SEARCH("سنسور دما",G191)),ISNUMBER(SEARCH("ترموستات",G191))),"خرابی - ترموستات (تعویض)",IF(OR(ISNUMBER(SEARCH("هيدروستات",G191)),ISNUMBER(SEARCH("هیدروستات",G191))),"خرابی - هیدروستات (تعویض)",IF(OR(ISNUMBER(SEARCH("بلبرينگ",G191)),ISNUMBER(SEARCH("بلبرینگ",G191))),"خرابی - بلبرینگ (تعویض)",IF(OR(ISNUMBER(SEARCH("شيربرق",G191)),ISNUMBER(SEARCH("شیربرق",G191))),"خرابی - شیربرقی (تعویض)",IF(OR(ISNUMBER(SEARCH("واتر جت",G191)),ISNUMBER(SEARCH("واترجت",G191))),"خرابی - واترجت (تعویض)",IF(OR(ISNUMBER(SEARCH("سيم",G191)),ISNUMBER(SEARCH("سیم",G191)),ISNUMBER(SEARCH("اتصال",G191))),"سیم‌کشی/اتصالات (تعویض/بازبینی)",IF(OR(ISNUMBER(SEARCH("تصوير",G191)),ISNUMBER(SEARCH("تصویر",G191))),"برد نمایش تلویزیون (تعویض)",IF(OR(ISNUMBER(SEARCH("ريموت",G191)),ISNUMBER(SEARCH("ریموت",G191))),"ریموت کنترل (تعویض/تعمیر)",IF(OR(ISNUMBER(SEARCH("ال اي دي",G191)),ISNUMBER(SEARCH("ال ای دی",G191)),ISNUMBER(SEARCH("LED",G191))),"خرابی - لامپ/LED داخلی (تعویض)",IF(ISNUMBER(SEARCH("زنگ زدگ",G191)),"زنگ‌زدگی بدنه/قطعه (تعویض)",IF(OR(ISNUMBER(SEARCH("قطعات تزئين",G191)),ISNUMBER(SEARCH("قطعات تزئین",G191))),"قطعات تزئینی - شکستگی/کسری (تعویض)",IF(ISNUMBER(SEARCH("سبد",G191)),"سبد ظرفشویی - شکستگی (تعویض)",IF(ISNUMBER(SEARCH("تاب درام",G191)),"خرابی - تاب برداشتن درام (تعویض)",IF(ISNUMBER(SEARCH("درام",G191)),"خرابی - سایر ایراد درام (تعویض)",IF(ISNUMBER(SEARCH("موتور",G191)),"خرابی - موتور (تعویض)",IF(ISNUMBER(SEARCH("تسمه",G191)),"خرابی - تسمه (تعویض)",IF(OR(ISNUMBER(SEARCH("پيچ ولوم",G191)),ISNUMBER(SEARCH("پیچ ولوم",G191))),"تنظیم - پیچ ولوم/دکمه (تعمیر)",IF(OR(ISNUMBER(SEARCH("کسري قطعات",G191)),ISNUMBER(SEARCH("کسری قطعات",G191))),"کسری قطعات تزئینی (تعویض)",IF(ISNUMBER(SEARCH("پرچ",G191)),"پرچ/بدنه کابین(تعمیر)",IF(OR(ISNUMBER(SEARCH("نشت",G191)),ISNUMBER(SEARCH("آبريزش",G191)),ISNUMBER(SEARCH("آبریزش",G191))),"نشتی آب - محل نامشخص (نیازمند بازدید)",IF(ISNUMBER(SEARCH("درب",G191)),"سایر اجزای درب (بازبینی)",IF(ISNUMBER(SEARCH("ضربه",G191)),"بدنه/کابین - ضربه (بازبینی/تعویض پنل)",IF(ISNUMBER(SEARCH("تراز",G191)),"تراز/لرزش - نصب (رگلاژ پایه)",IF(OR(ISNUMBER(SEARCH("تعویض",G191)),ISNUMBER(SEARCH("تعويض",G191))),"تعویض کامل دستگاه (Replacement)","سایر (نیازمند بررسی دستی)")))))))))))))))))))))))))))))))))))))))))))</f>
        <v/>
      </c>
      <c r="P191" s="124" t="inlineStr">
        <is>
          <t>برد لباسشویی</t>
        </is>
      </c>
      <c r="Q191" s="124">
        <f>IF(ISNUMBER(SEARCH("عهده شرکت",F191)),"شرکت",IF(ISNUMBER(SEARCH("عهده مشتري",F191)),"مشتری",IF(ISNUMBER(SEARCH("عهده مشتری",F191)),"مشتری","نامشخص")))</f>
        <v/>
      </c>
      <c r="R191" s="178">
        <f>IF(O191="تعویض کامل دستگاه (Replacement)",IF(SUMIF('قیمت‌ها و مفروضات'!$A$9:$A$13,C191,'قیمت‌ها و مفروضات'!$C$9:$C$13)&lt;&gt;0,SUMIF('قیمت‌ها و مفروضات'!$A$9:$A$13,C191,'قیمت‌ها و مفروضات'!$C$9:$C$13),SUMIF('قیمت‌ها و مفروضات'!$A$9:$A$13,C191,'قیمت‌ها و مفروضات'!$B$9:$B$13)),IF(SUMIF('قیمت‌ها و مفروضات'!$A$18:$A$63,O191,'قیمت‌ها و مفروضات'!$C$18:$C$63)&lt;&gt;0,SUMIF('قیمت‌ها و مفروضات'!$A$18:$A$63,O191,'قیمت‌ها و مفروضات'!$C$18:$C$63),SUMIF('قیمت‌ها و مفروضات'!$A$18:$A$63,O191,'قیمت‌ها و مفروضات'!$B$18:$B$63)))</f>
        <v/>
      </c>
      <c r="S191" s="178">
        <f>'قیمت‌ها و مفروضات'!$B$3+'قیمت‌ها و مفروضات'!$B$4</f>
        <v/>
      </c>
      <c r="T191" s="178">
        <f>R191+S191</f>
        <v/>
      </c>
      <c r="U191" s="178">
        <f>IF(COUNTIF($E$2:E322,E191)&gt;1,"بله (تکراری)","خیر")</f>
        <v/>
      </c>
      <c r="V191" s="178">
        <f>IF(U191="بله (تکراری)",S191,0)</f>
        <v/>
      </c>
      <c r="W191" s="208" t="inlineStr"/>
      <c r="X191" s="208" t="inlineStr"/>
    </row>
    <row r="192" ht="58.5" customHeight="1" s="151">
      <c r="A192" s="176" t="n">
        <v>775970</v>
      </c>
      <c r="B192" s="124">
        <f>CHOOSE(_xlfn.NUMBERVALUE(MID(H192,6,2)),"فروردین","اردیبهشت","خرداد","تیر","مرداد","شهریور","مهر","آبان","آذر","دی","بهمن","اسفند")</f>
        <v/>
      </c>
      <c r="C192" s="176" t="inlineStr">
        <is>
          <t>یخچال ساید‌بای‌ساید</t>
        </is>
      </c>
      <c r="D192" s="176" t="inlineStr">
        <is>
          <t>C2S-29HS1</t>
        </is>
      </c>
      <c r="E192" s="176" t="inlineStr">
        <is>
          <t>52240001N01673</t>
        </is>
      </c>
      <c r="F192" s="173" t="inlineStr">
        <is>
          <t>تعويض فيلتر - غيرگارانتي</t>
        </is>
      </c>
      <c r="G192" s="173" t="inlineStr">
        <is>
          <t>تعويض فيلتر - غيرگارانتي</t>
        </is>
      </c>
      <c r="H192" s="176" t="inlineStr">
        <is>
          <t>1405/02/29</t>
        </is>
      </c>
      <c r="I192" s="176" t="inlineStr">
        <is>
          <t>1403/09/17</t>
        </is>
      </c>
      <c r="J192" s="176" t="inlineStr">
        <is>
          <t>1404/06/05</t>
        </is>
      </c>
      <c r="K192" s="177">
        <f>IFERROR(VLOOKUP(LEFT(H192,7),'تبدیل تاریخ'!$A$2:$B$73,2,FALSE())+VALUE(RIGHT(H192,2))-1,"")</f>
        <v/>
      </c>
      <c r="L192" s="177">
        <f>IFERROR(VLOOKUP(LEFT(I192,7),'تبدیل تاریخ'!$A$2:$B$73,2,FALSE())+VALUE(RIGHT(I192,2))-1,"")</f>
        <v/>
      </c>
      <c r="M192" s="177">
        <f>IF(J192="","",IFERROR(VLOOKUP(LEFT(J192,7),'تبدیل تاریخ'!$A$2:$B$73,2,FALSE())+VALUE(RIGHT(J192,2))-1,""))</f>
        <v/>
      </c>
      <c r="N192" s="124">
        <f>IF(OR(K192="",M192=""),"",CEILING((K192-M192)/30,1))</f>
        <v/>
      </c>
      <c r="O192" s="124">
        <f>IF(OR(ISNUMBER(SEARCH("بدون مورد",G192)),ISNUMBER(SEARCH("غير گارانتي",G192)),ISNUMBER(SEARCH("غیر گارانتی",G192)),ISNUMBER(SEARCH("بدون اجرت",G192)),ISNUMBER(SEARCH("فيلتر",G192)),ISNUMBER(SEARCH("فیلتر",G192))),"غیرگارانتی/بدون قطعه",IF(OR(ISNUMBER(SEARCH("ريست",G192)),ISNUMBER(SEARCH("ریست",G192))),"ریست نرم‌افزاری (بدون قطعه)",IF(OR(ISNUMBER(SEARCH("تعویض محصول",G192)),ISNUMBER(SEARCH("تعویض دستگاه",G192))),"تعویض کامل دستگاه (Replacement)",IF(ISNUMBER(SEARCH("پمپ",G192)),IF(ISNUMBER(SEARCH("نشت",G192)),"نشتی - پمپ تخلیه (تعمیر/آب‌بندی)","خرابی - پمپ تخلیه (تعویض)"),IF(ISNUMBER(SEARCH("کمپرسور",G192)),"خرابی - کمپرسور (تعویض)",IF(ISNUMBER(SEARCH("کمک فنر",G192)),"خرابی - کمک فنر (تعویض)",IF(ISNUMBER(SEARCH("لولا",G192)),"مکانیزم درب - لولا (تعویض)",IF(OR(ISNUMBER(SEARCH("قلاب",G192)),ISNUMBER(SEARCH("ميکروسوئيچ",G192)),ISNUMBER(SEARCH("میکروسوئیچ",G192))),"مکانیزم درب - میکروسوئیچ/قلاب (تعویض/تنظیم)",IF(ISNUMBER(SEARCH("زبانه",G192)),"مکانیزم درب - زبانه (تعویض)",IF(OR(ISNUMBER(SEARCH("شيلنگ",G192)),ISNUMBER(SEARCH("شیلنگ",G192))),IF(OR(ISNUMBER(SEARCH("نشتی",G192)),ISNUMBER(SEARCH("نشتي",G192))),"نشتی - شیلنگ (تعمیر/آب‌بندی)",IF(OR(ISNUMBER(SEARCH("يخ",G192)),ISNUMBER(SEARCH("یخ",G192))),"شیلنگ یخساز - یخ‌زدگی (بازبینی)","شیلنگ - برخورد/لهیدگی (بازبینی)")),IF(OR(ISNUMBER(SEARCH("تنظيم ديسپل",G192)),ISNUMBER(SEARCH("تنظیم دیسپل",G192)),ISNUMBER(SEARCH("تنظيم صفحه نمايش",G192)),ISNUMBER(SEARCH("تنظیم صفحه نمایش",G192))),"تنظیم - تنظیمات دستگاه/دیسپلی (تعمیر)",IF(OR(ISNUMBER(SEARCH("برد",G192)),ISNUMBER(SEARCH("سوکت",G192)),ISNUMBER(SEARCH("ديسپل",G192)),ISNUMBER(SEARCH("دیسپل",G192))),"خرابی - برد الکترونیک (تعویض)",IF(OR(ISNUMBER(SEARCH("يخساز",G192)),ISNUMBER(SEARCH("یخساز",G192)),ISNUMBER(SEARCH("دمپر",G192))),IF(OR(ISNUMBER(SEARCH("خرابی",G192)),ISNUMBER(SEARCH("خراب",G192)),ISNUMBER(SEARCH("عدم کارکرد",G192)),ISNUMBER(SEARCH("عدم عملکرد",G192))),"یخساز - خرابی موتور/سنسور/برد (تعویض)","یخساز - تنظیم/عایق (تعمیر)"),IF(OR(ISNUMBER(SEARCH("لاستيک",G192)),ISNUMBER(SEARCH("لاستیک",G192))),"لاستیک درزگیر - دفرمگی/پارگی (تعویض)",IF(OR(ISNUMBER(SEARCH("گسکت",G192)),ISNUMBER(SEARCH("گسگت",G192))),"لاستیک درزگیر - دفرمگی/پارگی (تعویض)",IF(ISNUMBER(SEARCH("مخزن نمک",G192)),"نشتی - درب مخزن نمک (تعمیر/آب‌بندی)",IF(ISNUMBER(SEARCH("براکت",G192)),"نشتی - براکت ریل (تعمیر/آب‌بندی)",IF(ISNUMBER(SEARCH("جاپودر",G192)),"نشتی - جاپودری (تعمیر/آب‌بندی)",IF(ISNUMBER(SEARCH("مقسم",G192)),"نشتی - مقسم آب (تعمیر/آب‌بندی)",IF(OR(ISNUMBER(SEARCH("سنسور دما",G192)),ISNUMBER(SEARCH("ترموستات",G192))),"خرابی - ترموستات (تعویض)",IF(OR(ISNUMBER(SEARCH("هيدروستات",G192)),ISNUMBER(SEARCH("هیدروستات",G192))),"خرابی - هیدروستات (تعویض)",IF(OR(ISNUMBER(SEARCH("بلبرينگ",G192)),ISNUMBER(SEARCH("بلبرینگ",G192))),"خرابی - بلبرینگ (تعویض)",IF(OR(ISNUMBER(SEARCH("شيربرق",G192)),ISNUMBER(SEARCH("شیربرق",G192))),"خرابی - شیربرقی (تعویض)",IF(OR(ISNUMBER(SEARCH("واتر جت",G192)),ISNUMBER(SEARCH("واترجت",G192))),"خرابی - واترجت (تعویض)",IF(OR(ISNUMBER(SEARCH("سيم",G192)),ISNUMBER(SEARCH("سیم",G192)),ISNUMBER(SEARCH("اتصال",G192))),"سیم‌کشی/اتصالات (تعویض/بازبینی)",IF(OR(ISNUMBER(SEARCH("تصوير",G192)),ISNUMBER(SEARCH("تصویر",G192))),"برد نمایش تلویزیون (تعویض)",IF(OR(ISNUMBER(SEARCH("ريموت",G192)),ISNUMBER(SEARCH("ریموت",G192))),"ریموت کنترل (تعویض/تعمیر)",IF(OR(ISNUMBER(SEARCH("ال اي دي",G192)),ISNUMBER(SEARCH("ال ای دی",G192)),ISNUMBER(SEARCH("LED",G192))),"خرابی - لامپ/LED داخلی (تعویض)",IF(ISNUMBER(SEARCH("زنگ زدگ",G192)),"زنگ‌زدگی بدنه/قطعه (تعویض)",IF(OR(ISNUMBER(SEARCH("قطعات تزئين",G192)),ISNUMBER(SEARCH("قطعات تزئین",G192))),"قطعات تزئینی - شکستگی/کسری (تعویض)",IF(ISNUMBER(SEARCH("سبد",G192)),"سبد ظرفشویی - شکستگی (تعویض)",IF(ISNUMBER(SEARCH("تاب درام",G192)),"خرابی - تاب برداشتن درام (تعویض)",IF(ISNUMBER(SEARCH("درام",G192)),"خرابی - سایر ایراد درام (تعویض)",IF(ISNUMBER(SEARCH("موتور",G192)),"خرابی - موتور (تعویض)",IF(ISNUMBER(SEARCH("تسمه",G192)),"خرابی - تسمه (تعویض)",IF(OR(ISNUMBER(SEARCH("پيچ ولوم",G192)),ISNUMBER(SEARCH("پیچ ولوم",G192))),"تنظیم - پیچ ولوم/دکمه (تعمیر)",IF(OR(ISNUMBER(SEARCH("کسري قطعات",G192)),ISNUMBER(SEARCH("کسری قطعات",G192))),"کسری قطعات تزئینی (تعویض)",IF(ISNUMBER(SEARCH("پرچ",G192)),"پرچ/بدنه کابین(تعمیر)",IF(OR(ISNUMBER(SEARCH("نشت",G192)),ISNUMBER(SEARCH("آبريزش",G192)),ISNUMBER(SEARCH("آبریزش",G192))),"نشتی آب - محل نامشخص (نیازمند بازدید)",IF(ISNUMBER(SEARCH("درب",G192)),"سایر اجزای درب (بازبینی)",IF(ISNUMBER(SEARCH("ضربه",G192)),"بدنه/کابین - ضربه (بازبینی/تعویض پنل)",IF(ISNUMBER(SEARCH("تراز",G192)),"تراز/لرزش - نصب (رگلاژ پایه)",IF(OR(ISNUMBER(SEARCH("تعویض",G192)),ISNUMBER(SEARCH("تعويض",G192))),"تعویض کامل دستگاه (Replacement)","سایر (نیازمند بررسی دستی)")))))))))))))))))))))))))))))))))))))))))))</f>
        <v/>
      </c>
      <c r="P192" s="124" t="inlineStr">
        <is>
          <t>*</t>
        </is>
      </c>
      <c r="Q192" s="124">
        <f>IF(ISNUMBER(SEARCH("عهده شرکت",F192)),"شرکت",IF(ISNUMBER(SEARCH("عهده مشتري",F192)),"مشتری",IF(ISNUMBER(SEARCH("عهده مشتری",F192)),"مشتری","نامشخص")))</f>
        <v/>
      </c>
      <c r="R192" s="178">
        <f>IF(O192="تعویض کامل دستگاه (Replacement)",IF(SUMIF('قیمت‌ها و مفروضات'!$A$9:$A$13,C192,'قیمت‌ها و مفروضات'!$C$9:$C$13)&lt;&gt;0,SUMIF('قیمت‌ها و مفروضات'!$A$9:$A$13,C192,'قیمت‌ها و مفروضات'!$C$9:$C$13),SUMIF('قیمت‌ها و مفروضات'!$A$9:$A$13,C192,'قیمت‌ها و مفروضات'!$B$9:$B$13)),IF(SUMIF('قیمت‌ها و مفروضات'!$A$18:$A$63,O192,'قیمت‌ها و مفروضات'!$C$18:$C$63)&lt;&gt;0,SUMIF('قیمت‌ها و مفروضات'!$A$18:$A$63,O192,'قیمت‌ها و مفروضات'!$C$18:$C$63),SUMIF('قیمت‌ها و مفروضات'!$A$18:$A$63,O192,'قیمت‌ها و مفروضات'!$B$18:$B$63)))</f>
        <v/>
      </c>
      <c r="S192" s="178">
        <f>'قیمت‌ها و مفروضات'!$B$3+'قیمت‌ها و مفروضات'!$B$4</f>
        <v/>
      </c>
      <c r="T192" s="178">
        <f>R192+S192</f>
        <v/>
      </c>
      <c r="U192" s="178">
        <f>IF(COUNTIF($E$2:E323,E192)&gt;1,"بله (تکراری)","خیر")</f>
        <v/>
      </c>
      <c r="V192" s="178">
        <f>IF(U192="بله (تکراری)",S192,0)</f>
        <v/>
      </c>
      <c r="W192" s="208" t="inlineStr"/>
      <c r="X192" s="208" t="inlineStr"/>
    </row>
    <row r="193" ht="58.5" customHeight="1" s="151">
      <c r="A193" s="176" t="n">
        <v>775086</v>
      </c>
      <c r="B193" s="124">
        <f>CHOOSE(_xlfn.NUMBERVALUE(MID(H193,6,2)),"فروردین","اردیبهشت","خرداد","تیر","مرداد","شهریور","مهر","آبان","آذر","دی","بهمن","اسفند")</f>
        <v/>
      </c>
      <c r="C193" s="176" t="inlineStr">
        <is>
          <t>ماشين ظرفشويي</t>
        </is>
      </c>
      <c r="D193" s="176" t="inlineStr">
        <is>
          <t>CDW-H15V</t>
        </is>
      </c>
      <c r="E193" s="176" t="inlineStr">
        <is>
          <t>52220002N01535</t>
        </is>
      </c>
      <c r="F193" s="173" t="inlineStr">
        <is>
          <t>باز نشدن درب اياب و ذهاب به عهده شرکت</t>
        </is>
      </c>
      <c r="G193" s="173" t="inlineStr">
        <is>
          <t>اصلاح ميکروسوئيچ درب</t>
        </is>
      </c>
      <c r="H193" s="176" t="inlineStr">
        <is>
          <t>1405/02/21</t>
        </is>
      </c>
      <c r="I193" s="176" t="inlineStr">
        <is>
          <t>1403/10/28</t>
        </is>
      </c>
      <c r="J193" s="176" t="inlineStr">
        <is>
          <t>1405/02/20</t>
        </is>
      </c>
      <c r="K193" s="177">
        <f>IFERROR(VLOOKUP(LEFT(H193,7),'تبدیل تاریخ'!$A$2:$B$73,2,FALSE())+VALUE(RIGHT(H193,2))-1,"")</f>
        <v/>
      </c>
      <c r="L193" s="177">
        <f>IFERROR(VLOOKUP(LEFT(I193,7),'تبدیل تاریخ'!$A$2:$B$73,2,FALSE())+VALUE(RIGHT(I193,2))-1,"")</f>
        <v/>
      </c>
      <c r="M193" s="177">
        <f>IF(J193="","",IFERROR(VLOOKUP(LEFT(J193,7),'تبدیل تاریخ'!$A$2:$B$73,2,FALSE())+VALUE(RIGHT(J193,2))-1,""))</f>
        <v/>
      </c>
      <c r="N193" s="124">
        <f>IF(OR(K193="",M193=""),"",CEILING((K193-M193)/30,1))</f>
        <v/>
      </c>
      <c r="O193" s="124">
        <f>IF(OR(ISNUMBER(SEARCH("بدون مورد",G193)),ISNUMBER(SEARCH("غير گارانتي",G193)),ISNUMBER(SEARCH("غیر گارانتی",G193)),ISNUMBER(SEARCH("بدون اجرت",G193)),ISNUMBER(SEARCH("فيلتر",G193)),ISNUMBER(SEARCH("فیلتر",G193))),"غیرگارانتی/بدون قطعه",IF(OR(ISNUMBER(SEARCH("ريست",G193)),ISNUMBER(SEARCH("ریست",G193))),"ریست نرم‌افزاری (بدون قطعه)",IF(OR(ISNUMBER(SEARCH("تعویض محصول",G193)),ISNUMBER(SEARCH("تعویض دستگاه",G193))),"تعویض کامل دستگاه (Replacement)",IF(ISNUMBER(SEARCH("پمپ",G193)),IF(ISNUMBER(SEARCH("نشت",G193)),"نشتی - پمپ تخلیه (تعمیر/آب‌بندی)","خرابی - پمپ تخلیه (تعویض)"),IF(ISNUMBER(SEARCH("کمپرسور",G193)),"خرابی - کمپرسور (تعویض)",IF(ISNUMBER(SEARCH("کمک فنر",G193)),"خرابی - کمک فنر (تعویض)",IF(ISNUMBER(SEARCH("لولا",G193)),"مکانیزم درب - لولا (تعویض)",IF(OR(ISNUMBER(SEARCH("قلاب",G193)),ISNUMBER(SEARCH("ميکروسوئيچ",G193)),ISNUMBER(SEARCH("میکروسوئیچ",G193))),"مکانیزم درب - میکروسوئیچ/قلاب (تعویض/تنظیم)",IF(ISNUMBER(SEARCH("زبانه",G193)),"مکانیزم درب - زبانه (تعویض)",IF(OR(ISNUMBER(SEARCH("شيلنگ",G193)),ISNUMBER(SEARCH("شیلنگ",G193))),IF(OR(ISNUMBER(SEARCH("نشتی",G193)),ISNUMBER(SEARCH("نشتي",G193))),"نشتی - شیلنگ (تعمیر/آب‌بندی)",IF(OR(ISNUMBER(SEARCH("يخ",G193)),ISNUMBER(SEARCH("یخ",G193))),"شیلنگ یخساز - یخ‌زدگی (بازبینی)","شیلنگ - برخورد/لهیدگی (بازبینی)")),IF(OR(ISNUMBER(SEARCH("تنظيم ديسپل",G193)),ISNUMBER(SEARCH("تنظیم دیسپل",G193)),ISNUMBER(SEARCH("تنظيم صفحه نمايش",G193)),ISNUMBER(SEARCH("تنظیم صفحه نمایش",G193))),"تنظیم - تنظیمات دستگاه/دیسپلی (تعمیر)",IF(OR(ISNUMBER(SEARCH("برد",G193)),ISNUMBER(SEARCH("سوکت",G193)),ISNUMBER(SEARCH("ديسپل",G193)),ISNUMBER(SEARCH("دیسپل",G193))),"خرابی - برد الکترونیک (تعویض)",IF(OR(ISNUMBER(SEARCH("يخساز",G193)),ISNUMBER(SEARCH("یخساز",G193)),ISNUMBER(SEARCH("دمپر",G193))),IF(OR(ISNUMBER(SEARCH("خرابی",G193)),ISNUMBER(SEARCH("خراب",G193)),ISNUMBER(SEARCH("عدم کارکرد",G193)),ISNUMBER(SEARCH("عدم عملکرد",G193))),"یخساز - خرابی موتور/سنسور/برد (تعویض)","یخساز - تنظیم/عایق (تعمیر)"),IF(OR(ISNUMBER(SEARCH("لاستيک",G193)),ISNUMBER(SEARCH("لاستیک",G193))),"لاستیک درزگیر - دفرمگی/پارگی (تعویض)",IF(OR(ISNUMBER(SEARCH("گسکت",G193)),ISNUMBER(SEARCH("گسگت",G193))),"لاستیک درزگیر - دفرمگی/پارگی (تعویض)",IF(ISNUMBER(SEARCH("مخزن نمک",G193)),"نشتی - درب مخزن نمک (تعمیر/آب‌بندی)",IF(ISNUMBER(SEARCH("براکت",G193)),"نشتی - براکت ریل (تعمیر/آب‌بندی)",IF(ISNUMBER(SEARCH("جاپودر",G193)),"نشتی - جاپودری (تعمیر/آب‌بندی)",IF(ISNUMBER(SEARCH("مقسم",G193)),"نشتی - مقسم آب (تعمیر/آب‌بندی)",IF(OR(ISNUMBER(SEARCH("سنسور دما",G193)),ISNUMBER(SEARCH("ترموستات",G193))),"خرابی - ترموستات (تعویض)",IF(OR(ISNUMBER(SEARCH("هيدروستات",G193)),ISNUMBER(SEARCH("هیدروستات",G193))),"خرابی - هیدروستات (تعویض)",IF(OR(ISNUMBER(SEARCH("بلبرينگ",G193)),ISNUMBER(SEARCH("بلبرینگ",G193))),"خرابی - بلبرینگ (تعویض)",IF(OR(ISNUMBER(SEARCH("شيربرق",G193)),ISNUMBER(SEARCH("شیربرق",G193))),"خرابی - شیربرقی (تعویض)",IF(OR(ISNUMBER(SEARCH("واتر جت",G193)),ISNUMBER(SEARCH("واترجت",G193))),"خرابی - واترجت (تعویض)",IF(OR(ISNUMBER(SEARCH("سيم",G193)),ISNUMBER(SEARCH("سیم",G193)),ISNUMBER(SEARCH("اتصال",G193))),"سیم‌کشی/اتصالات (تعویض/بازبینی)",IF(OR(ISNUMBER(SEARCH("تصوير",G193)),ISNUMBER(SEARCH("تصویر",G193))),"برد نمایش تلویزیون (تعویض)",IF(OR(ISNUMBER(SEARCH("ريموت",G193)),ISNUMBER(SEARCH("ریموت",G193))),"ریموت کنترل (تعویض/تعمیر)",IF(OR(ISNUMBER(SEARCH("ال اي دي",G193)),ISNUMBER(SEARCH("ال ای دی",G193)),ISNUMBER(SEARCH("LED",G193))),"خرابی - لامپ/LED داخلی (تعویض)",IF(ISNUMBER(SEARCH("زنگ زدگ",G193)),"زنگ‌زدگی بدنه/قطعه (تعویض)",IF(OR(ISNUMBER(SEARCH("قطعات تزئين",G193)),ISNUMBER(SEARCH("قطعات تزئین",G193))),"قطعات تزئینی - شکستگی/کسری (تعویض)",IF(ISNUMBER(SEARCH("سبد",G193)),"سبد ظرفشویی - شکستگی (تعویض)",IF(ISNUMBER(SEARCH("تاب درام",G193)),"خرابی - تاب برداشتن درام (تعویض)",IF(ISNUMBER(SEARCH("درام",G193)),"خرابی - سایر ایراد درام (تعویض)",IF(ISNUMBER(SEARCH("موتور",G193)),"خرابی - موتور (تعویض)",IF(ISNUMBER(SEARCH("تسمه",G193)),"خرابی - تسمه (تعویض)",IF(OR(ISNUMBER(SEARCH("پيچ ولوم",G193)),ISNUMBER(SEARCH("پیچ ولوم",G193))),"تنظیم - پیچ ولوم/دکمه (تعمیر)",IF(OR(ISNUMBER(SEARCH("کسري قطعات",G193)),ISNUMBER(SEARCH("کسری قطعات",G193))),"کسری قطعات تزئینی (تعویض)",IF(ISNUMBER(SEARCH("پرچ",G193)),"پرچ/بدنه کابین(تعمیر)",IF(OR(ISNUMBER(SEARCH("نشت",G193)),ISNUMBER(SEARCH("آبريزش",G193)),ISNUMBER(SEARCH("آبریزش",G193))),"نشتی آب - محل نامشخص (نیازمند بازدید)",IF(ISNUMBER(SEARCH("درب",G193)),"سایر اجزای درب (بازبینی)",IF(ISNUMBER(SEARCH("ضربه",G193)),"بدنه/کابین - ضربه (بازبینی/تعویض پنل)",IF(ISNUMBER(SEARCH("تراز",G193)),"تراز/لرزش - نصب (رگلاژ پایه)",IF(OR(ISNUMBER(SEARCH("تعویض",G193)),ISNUMBER(SEARCH("تعويض",G193))),"تعویض کامل دستگاه (Replacement)","سایر (نیازمند بررسی دستی)")))))))))))))))))))))))))))))))))))))))))))</f>
        <v/>
      </c>
      <c r="P193" s="124" t="inlineStr">
        <is>
          <t>میکروسوئیچ 15 نفره</t>
        </is>
      </c>
      <c r="Q193" s="124">
        <f>IF(ISNUMBER(SEARCH("عهده شرکت",F193)),"شرکت",IF(ISNUMBER(SEARCH("عهده مشتري",F193)),"مشتری",IF(ISNUMBER(SEARCH("عهده مشتری",F193)),"مشتری","نامشخص")))</f>
        <v/>
      </c>
      <c r="R193" s="178">
        <f>IF(O193="تعویض کامل دستگاه (Replacement)",IF(SUMIF('قیمت‌ها و مفروضات'!$A$9:$A$13,C193,'قیمت‌ها و مفروضات'!$C$9:$C$13)&lt;&gt;0,SUMIF('قیمت‌ها و مفروضات'!$A$9:$A$13,C193,'قیمت‌ها و مفروضات'!$C$9:$C$13),SUMIF('قیمت‌ها و مفروضات'!$A$9:$A$13,C193,'قیمت‌ها و مفروضات'!$B$9:$B$13)),IF(SUMIF('قیمت‌ها و مفروضات'!$A$18:$A$63,O193,'قیمت‌ها و مفروضات'!$C$18:$C$63)&lt;&gt;0,SUMIF('قیمت‌ها و مفروضات'!$A$18:$A$63,O193,'قیمت‌ها و مفروضات'!$C$18:$C$63),SUMIF('قیمت‌ها و مفروضات'!$A$18:$A$63,O193,'قیمت‌ها و مفروضات'!$B$18:$B$63)))</f>
        <v/>
      </c>
      <c r="S193" s="178">
        <f>'قیمت‌ها و مفروضات'!$B$3+'قیمت‌ها و مفروضات'!$B$4</f>
        <v/>
      </c>
      <c r="T193" s="178">
        <f>R193+S193</f>
        <v/>
      </c>
      <c r="U193" s="178">
        <f>IF(COUNTIF($E$2:E324,E193)&gt;1,"بله (تکراری)","خیر")</f>
        <v/>
      </c>
      <c r="V193" s="178">
        <f>IF(U193="بله (تکراری)",S193,0)</f>
        <v/>
      </c>
      <c r="W193" s="208" t="inlineStr"/>
      <c r="X193" s="208" t="inlineStr"/>
    </row>
    <row r="194" ht="58.5" customHeight="1" s="151">
      <c r="A194" s="176" t="n">
        <v>770306</v>
      </c>
      <c r="B194" s="124">
        <f>CHOOSE(_xlfn.NUMBERVALUE(MID(H194,6,2)),"فروردین","اردیبهشت","خرداد","تیر","مرداد","شهریور","مهر","آبان","آذر","دی","بهمن","اسفند")</f>
        <v/>
      </c>
      <c r="C194" s="176" t="inlineStr">
        <is>
          <t>يخچال ميني</t>
        </is>
      </c>
      <c r="D194" s="176" t="inlineStr">
        <is>
          <t>CM-RS5BK1</t>
        </is>
      </c>
      <c r="E194" s="176" t="inlineStr">
        <is>
          <t>52240002N00838</t>
        </is>
      </c>
      <c r="F194" s="173" t="inlineStr">
        <is>
          <t>گرم شدن محصول اياب و ذهاب به عهده شرکت</t>
        </is>
      </c>
      <c r="G194" s="173" t="inlineStr">
        <is>
          <t>نشتي گاز - نامشخص - يخچال ميني</t>
        </is>
      </c>
      <c r="H194" s="176" t="inlineStr">
        <is>
          <t>1405/02/08</t>
        </is>
      </c>
      <c r="I194" s="176" t="inlineStr">
        <is>
          <t>1403/12/11</t>
        </is>
      </c>
      <c r="J194" s="176" t="inlineStr">
        <is>
          <t>1404/05/28</t>
        </is>
      </c>
      <c r="K194" s="177">
        <f>IFERROR(VLOOKUP(LEFT(H194,7),'تبدیل تاریخ'!$A$2:$B$73,2,FALSE())+VALUE(RIGHT(H194,2))-1,"")</f>
        <v/>
      </c>
      <c r="L194" s="177">
        <f>IFERROR(VLOOKUP(LEFT(I194,7),'تبدیل تاریخ'!$A$2:$B$73,2,FALSE())+VALUE(RIGHT(I194,2))-1,"")</f>
        <v/>
      </c>
      <c r="M194" s="177">
        <f>IF(J194="","",IFERROR(VLOOKUP(LEFT(J194,7),'تبدیل تاریخ'!$A$2:$B$73,2,FALSE())+VALUE(RIGHT(J194,2))-1,""))</f>
        <v/>
      </c>
      <c r="N194" s="124">
        <f>IF(OR(K194="",M194=""),"",CEILING((K194-M194)/30,1))</f>
        <v/>
      </c>
      <c r="O194" s="124">
        <f>IF(OR(ISNUMBER(SEARCH("بدون مورد",G194)),ISNUMBER(SEARCH("غير گارانتي",G194)),ISNUMBER(SEARCH("غیر گارانتی",G194)),ISNUMBER(SEARCH("بدون اجرت",G194)),ISNUMBER(SEARCH("فيلتر",G194)),ISNUMBER(SEARCH("فیلتر",G194))),"غیرگارانتی/بدون قطعه",IF(OR(ISNUMBER(SEARCH("ريست",G194)),ISNUMBER(SEARCH("ریست",G194))),"ریست نرم‌افزاری (بدون قطعه)",IF(OR(ISNUMBER(SEARCH("تعویض محصول",G194)),ISNUMBER(SEARCH("تعویض دستگاه",G194))),"تعویض کامل دستگاه (Replacement)",IF(ISNUMBER(SEARCH("پمپ",G194)),IF(ISNUMBER(SEARCH("نشت",G194)),"نشتی - پمپ تخلیه (تعمیر/آب‌بندی)","خرابی - پمپ تخلیه (تعویض)"),IF(ISNUMBER(SEARCH("کمپرسور",G194)),"خرابی - کمپرسور (تعویض)",IF(ISNUMBER(SEARCH("کمک فنر",G194)),"خرابی - کمک فنر (تعویض)",IF(ISNUMBER(SEARCH("لولا",G194)),"مکانیزم درب - لولا (تعویض)",IF(OR(ISNUMBER(SEARCH("قلاب",G194)),ISNUMBER(SEARCH("ميکروسوئيچ",G194)),ISNUMBER(SEARCH("میکروسوئیچ",G194))),"مکانیزم درب - میکروسوئیچ/قلاب (تعویض/تنظیم)",IF(ISNUMBER(SEARCH("زبانه",G194)),"مکانیزم درب - زبانه (تعویض)",IF(OR(ISNUMBER(SEARCH("شيلنگ",G194)),ISNUMBER(SEARCH("شیلنگ",G194))),IF(OR(ISNUMBER(SEARCH("نشتی",G194)),ISNUMBER(SEARCH("نشتي",G194))),"نشتی - شیلنگ (تعمیر/آب‌بندی)",IF(OR(ISNUMBER(SEARCH("يخ",G194)),ISNUMBER(SEARCH("یخ",G194))),"شیلنگ یخساز - یخ‌زدگی (بازبینی)","شیلنگ - برخورد/لهیدگی (بازبینی)")),IF(OR(ISNUMBER(SEARCH("تنظيم ديسپل",G194)),ISNUMBER(SEARCH("تنظیم دیسپل",G194)),ISNUMBER(SEARCH("تنظيم صفحه نمايش",G194)),ISNUMBER(SEARCH("تنظیم صفحه نمایش",G194))),"تنظیم - تنظیمات دستگاه/دیسپلی (تعمیر)",IF(OR(ISNUMBER(SEARCH("برد",G194)),ISNUMBER(SEARCH("سوکت",G194)),ISNUMBER(SEARCH("ديسپل",G194)),ISNUMBER(SEARCH("دیسپل",G194))),"خرابی - برد الکترونیک (تعویض)",IF(OR(ISNUMBER(SEARCH("يخساز",G194)),ISNUMBER(SEARCH("یخساز",G194)),ISNUMBER(SEARCH("دمپر",G194))),IF(OR(ISNUMBER(SEARCH("خرابی",G194)),ISNUMBER(SEARCH("خراب",G194)),ISNUMBER(SEARCH("عدم کارکرد",G194)),ISNUMBER(SEARCH("عدم عملکرد",G194))),"یخساز - خرابی موتور/سنسور/برد (تعویض)","یخساز - تنظیم/عایق (تعمیر)"),IF(OR(ISNUMBER(SEARCH("لاستيک",G194)),ISNUMBER(SEARCH("لاستیک",G194))),"لاستیک درزگیر - دفرمگی/پارگی (تعویض)",IF(OR(ISNUMBER(SEARCH("گسکت",G194)),ISNUMBER(SEARCH("گسگت",G194))),"لاستیک درزگیر - دفرمگی/پارگی (تعویض)",IF(ISNUMBER(SEARCH("مخزن نمک",G194)),"نشتی - درب مخزن نمک (تعمیر/آب‌بندی)",IF(ISNUMBER(SEARCH("براکت",G194)),"نشتی - براکت ریل (تعمیر/آب‌بندی)",IF(ISNUMBER(SEARCH("جاپودر",G194)),"نشتی - جاپودری (تعمیر/آب‌بندی)",IF(ISNUMBER(SEARCH("مقسم",G194)),"نشتی - مقسم آب (تعمیر/آب‌بندی)",IF(OR(ISNUMBER(SEARCH("سنسور دما",G194)),ISNUMBER(SEARCH("ترموستات",G194))),"خرابی - ترموستات (تعویض)",IF(OR(ISNUMBER(SEARCH("هيدروستات",G194)),ISNUMBER(SEARCH("هیدروستات",G194))),"خرابی - هیدروستات (تعویض)",IF(OR(ISNUMBER(SEARCH("بلبرينگ",G194)),ISNUMBER(SEARCH("بلبرینگ",G194))),"خرابی - بلبرینگ (تعویض)",IF(OR(ISNUMBER(SEARCH("شيربرق",G194)),ISNUMBER(SEARCH("شیربرق",G194))),"خرابی - شیربرقی (تعویض)",IF(OR(ISNUMBER(SEARCH("واتر جت",G194)),ISNUMBER(SEARCH("واترجت",G194))),"خرابی - واترجت (تعویض)",IF(OR(ISNUMBER(SEARCH("سيم",G194)),ISNUMBER(SEARCH("سیم",G194)),ISNUMBER(SEARCH("اتصال",G194))),"سیم‌کشی/اتصالات (تعویض/بازبینی)",IF(OR(ISNUMBER(SEARCH("تصوير",G194)),ISNUMBER(SEARCH("تصویر",G194))),"برد نمایش تلویزیون (تعویض)",IF(OR(ISNUMBER(SEARCH("ريموت",G194)),ISNUMBER(SEARCH("ریموت",G194))),"ریموت کنترل (تعویض/تعمیر)",IF(OR(ISNUMBER(SEARCH("ال اي دي",G194)),ISNUMBER(SEARCH("ال ای دی",G194)),ISNUMBER(SEARCH("LED",G194))),"خرابی - لامپ/LED داخلی (تعویض)",IF(ISNUMBER(SEARCH("زنگ زدگ",G194)),"زنگ‌زدگی بدنه/قطعه (تعویض)",IF(OR(ISNUMBER(SEARCH("قطعات تزئين",G194)),ISNUMBER(SEARCH("قطعات تزئین",G194))),"قطعات تزئینی - شکستگی/کسری (تعویض)",IF(ISNUMBER(SEARCH("سبد",G194)),"سبد ظرفشویی - شکستگی (تعویض)",IF(ISNUMBER(SEARCH("تاب درام",G194)),"خرابی - تاب برداشتن درام (تعویض)",IF(ISNUMBER(SEARCH("درام",G194)),"خرابی - سایر ایراد درام (تعویض)",IF(ISNUMBER(SEARCH("موتور",G194)),"خرابی - موتور (تعویض)",IF(ISNUMBER(SEARCH("تسمه",G194)),"خرابی - تسمه (تعویض)",IF(OR(ISNUMBER(SEARCH("پيچ ولوم",G194)),ISNUMBER(SEARCH("پیچ ولوم",G194))),"تنظیم - پیچ ولوم/دکمه (تعمیر)",IF(OR(ISNUMBER(SEARCH("کسري قطعات",G194)),ISNUMBER(SEARCH("کسری قطعات",G194))),"کسری قطعات تزئینی (تعویض)",IF(ISNUMBER(SEARCH("پرچ",G194)),"پرچ/بدنه کابین(تعمیر)",IF(OR(ISNUMBER(SEARCH("نشت",G194)),ISNUMBER(SEARCH("آبريزش",G194)),ISNUMBER(SEARCH("آبریزش",G194))),"نشتی آب - محل نامشخص (نیازمند بازدید)",IF(ISNUMBER(SEARCH("درب",G194)),"سایر اجزای درب (بازبینی)",IF(ISNUMBER(SEARCH("ضربه",G194)),"بدنه/کابین - ضربه (بازبینی/تعویض پنل)",IF(ISNUMBER(SEARCH("تراز",G194)),"تراز/لرزش - نصب (رگلاژ پایه)",IF(OR(ISNUMBER(SEARCH("تعویض",G194)),ISNUMBER(SEARCH("تعويض",G194))),"تعویض کامل دستگاه (Replacement)","سایر (نیازمند بررسی دستی)")))))))))))))))))))))))))))))))))))))))))))</f>
        <v/>
      </c>
      <c r="P194" s="124" t="inlineStr">
        <is>
          <t>*</t>
        </is>
      </c>
      <c r="Q194" s="124">
        <f>IF(ISNUMBER(SEARCH("عهده شرکت",F194)),"شرکت",IF(ISNUMBER(SEARCH("عهده مشتري",F194)),"مشتری",IF(ISNUMBER(SEARCH("عهده مشتری",F194)),"مشتری","نامشخص")))</f>
        <v/>
      </c>
      <c r="R194" s="178">
        <f>IF(O194="تعویض کامل دستگاه (Replacement)",IF(SUMIF('قیمت‌ها و مفروضات'!$A$9:$A$13,C194,'قیمت‌ها و مفروضات'!$C$9:$C$13)&lt;&gt;0,SUMIF('قیمت‌ها و مفروضات'!$A$9:$A$13,C194,'قیمت‌ها و مفروضات'!$C$9:$C$13),SUMIF('قیمت‌ها و مفروضات'!$A$9:$A$13,C194,'قیمت‌ها و مفروضات'!$B$9:$B$13)),IF(SUMIF('قیمت‌ها و مفروضات'!$A$18:$A$63,O194,'قیمت‌ها و مفروضات'!$C$18:$C$63)&lt;&gt;0,SUMIF('قیمت‌ها و مفروضات'!$A$18:$A$63,O194,'قیمت‌ها و مفروضات'!$C$18:$C$63),SUMIF('قیمت‌ها و مفروضات'!$A$18:$A$63,O194,'قیمت‌ها و مفروضات'!$B$18:$B$63)))</f>
        <v/>
      </c>
      <c r="S194" s="178">
        <f>'قیمت‌ها و مفروضات'!$B$3+'قیمت‌ها و مفروضات'!$B$4</f>
        <v/>
      </c>
      <c r="T194" s="178">
        <f>R194+S194</f>
        <v/>
      </c>
      <c r="U194" s="178">
        <f>IF(COUNTIF($E$2:E325,E194)&gt;1,"بله (تکراری)","خیر")</f>
        <v/>
      </c>
      <c r="V194" s="178">
        <f>IF(U194="بله (تکراری)",S194,0)</f>
        <v/>
      </c>
      <c r="W194" s="208" t="inlineStr"/>
      <c r="X194" s="208" t="inlineStr"/>
    </row>
    <row r="195" ht="58.5" customHeight="1" s="151">
      <c r="A195" s="176" t="n">
        <v>210005406</v>
      </c>
      <c r="B195" s="124">
        <f>CHOOSE(_xlfn.NUMBERVALUE(MID(H195,6,2)),"فروردین","اردیبهشت","خرداد","تیر","مرداد","شهریور","مهر","آبان","آذر","دی","بهمن","اسفند")</f>
        <v/>
      </c>
      <c r="C195" s="176" t="inlineStr">
        <is>
          <t>ماشين لباسشويي</t>
        </is>
      </c>
      <c r="D195" s="176" t="inlineStr">
        <is>
          <t>CWM-BMW7.5VI1</t>
        </is>
      </c>
      <c r="E195" s="176" t="inlineStr">
        <is>
          <t>52210002N00242</t>
        </is>
      </c>
      <c r="F195" s="173" t="inlineStr">
        <is>
          <t>لرزش و حرکت محصول**اياب و ذهاب به عهده شرکت</t>
        </is>
      </c>
      <c r="G195" s="173" t="inlineStr">
        <is>
          <t>تراز پايه تنظيم</t>
        </is>
      </c>
      <c r="H195" s="176" t="inlineStr">
        <is>
          <t>1405/02/31</t>
        </is>
      </c>
      <c r="I195" s="176" t="inlineStr">
        <is>
          <t>1404/03/13</t>
        </is>
      </c>
      <c r="J195" s="176" t="inlineStr">
        <is>
          <t>1404/09/18</t>
        </is>
      </c>
      <c r="K195" s="177">
        <f>IFERROR(VLOOKUP(LEFT(H195,7),'تبدیل تاریخ'!$A$2:$B$73,2,FALSE())+VALUE(RIGHT(H195,2))-1,"")</f>
        <v/>
      </c>
      <c r="L195" s="177">
        <f>IFERROR(VLOOKUP(LEFT(I195,7),'تبدیل تاریخ'!$A$2:$B$73,2,FALSE())+VALUE(RIGHT(I195,2))-1,"")</f>
        <v/>
      </c>
      <c r="M195" s="177">
        <f>IF(J195="","",IFERROR(VLOOKUP(LEFT(J195,7),'تبدیل تاریخ'!$A$2:$B$73,2,FALSE())+VALUE(RIGHT(J195,2))-1,""))</f>
        <v/>
      </c>
      <c r="N195" s="124">
        <f>IF(OR(K195="",M195=""),"",CEILING((K195-M195)/30,1))</f>
        <v/>
      </c>
      <c r="O195" s="124">
        <f>IF(OR(ISNUMBER(SEARCH("بدون مورد",G195)),ISNUMBER(SEARCH("غير گارانتي",G195)),ISNUMBER(SEARCH("غیر گارانتی",G195)),ISNUMBER(SEARCH("بدون اجرت",G195)),ISNUMBER(SEARCH("فيلتر",G195)),ISNUMBER(SEARCH("فیلتر",G195))),"غیرگارانتی/بدون قطعه",IF(OR(ISNUMBER(SEARCH("ريست",G195)),ISNUMBER(SEARCH("ریست",G195))),"ریست نرم‌افزاری (بدون قطعه)",IF(OR(ISNUMBER(SEARCH("تعویض محصول",G195)),ISNUMBER(SEARCH("تعویض دستگاه",G195))),"تعویض کامل دستگاه (Replacement)",IF(ISNUMBER(SEARCH("پمپ",G195)),IF(ISNUMBER(SEARCH("نشت",G195)),"نشتی - پمپ تخلیه (تعمیر/آب‌بندی)","خرابی - پمپ تخلیه (تعویض)"),IF(ISNUMBER(SEARCH("کمپرسور",G195)),"خرابی - کمپرسور (تعویض)",IF(ISNUMBER(SEARCH("کمک فنر",G195)),"خرابی - کمک فنر (تعویض)",IF(ISNUMBER(SEARCH("لولا",G195)),"مکانیزم درب - لولا (تعویض)",IF(OR(ISNUMBER(SEARCH("قلاب",G195)),ISNUMBER(SEARCH("ميکروسوئيچ",G195)),ISNUMBER(SEARCH("میکروسوئیچ",G195))),"مکانیزم درب - میکروسوئیچ/قلاب (تعویض/تنظیم)",IF(ISNUMBER(SEARCH("زبانه",G195)),"مکانیزم درب - زبانه (تعویض)",IF(OR(ISNUMBER(SEARCH("شيلنگ",G195)),ISNUMBER(SEARCH("شیلنگ",G195))),IF(OR(ISNUMBER(SEARCH("نشتی",G195)),ISNUMBER(SEARCH("نشتي",G195))),"نشتی - شیلنگ (تعمیر/آب‌بندی)",IF(OR(ISNUMBER(SEARCH("يخ",G195)),ISNUMBER(SEARCH("یخ",G195))),"شیلنگ یخساز - یخ‌زدگی (بازبینی)","شیلنگ - برخورد/لهیدگی (بازبینی)")),IF(OR(ISNUMBER(SEARCH("تنظيم ديسپل",G195)),ISNUMBER(SEARCH("تنظیم دیسپل",G195)),ISNUMBER(SEARCH("تنظيم صفحه نمايش",G195)),ISNUMBER(SEARCH("تنظیم صفحه نمایش",G195))),"تنظیم - تنظیمات دستگاه/دیسپلی (تعمیر)",IF(OR(ISNUMBER(SEARCH("برد",G195)),ISNUMBER(SEARCH("سوکت",G195)),ISNUMBER(SEARCH("ديسپل",G195)),ISNUMBER(SEARCH("دیسپل",G195))),"خرابی - برد الکترونیک (تعویض)",IF(OR(ISNUMBER(SEARCH("يخساز",G195)),ISNUMBER(SEARCH("یخساز",G195)),ISNUMBER(SEARCH("دمپر",G195))),IF(OR(ISNUMBER(SEARCH("خرابی",G195)),ISNUMBER(SEARCH("خراب",G195)),ISNUMBER(SEARCH("عدم کارکرد",G195)),ISNUMBER(SEARCH("عدم عملکرد",G195))),"یخساز - خرابی موتور/سنسور/برد (تعویض)","یخساز - تنظیم/عایق (تعمیر)"),IF(OR(ISNUMBER(SEARCH("لاستيک",G195)),ISNUMBER(SEARCH("لاستیک",G195))),"لاستیک درزگیر - دفرمگی/پارگی (تعویض)",IF(OR(ISNUMBER(SEARCH("گسکت",G195)),ISNUMBER(SEARCH("گسگت",G195))),"لاستیک درزگیر - دفرمگی/پارگی (تعویض)",IF(ISNUMBER(SEARCH("مخزن نمک",G195)),"نشتی - درب مخزن نمک (تعمیر/آب‌بندی)",IF(ISNUMBER(SEARCH("براکت",G195)),"نشتی - براکت ریل (تعمیر/آب‌بندی)",IF(ISNUMBER(SEARCH("جاپودر",G195)),"نشتی - جاپودری (تعمیر/آب‌بندی)",IF(ISNUMBER(SEARCH("مقسم",G195)),"نشتی - مقسم آب (تعمیر/آب‌بندی)",IF(OR(ISNUMBER(SEARCH("سنسور دما",G195)),ISNUMBER(SEARCH("ترموستات",G195))),"خرابی - ترموستات (تعویض)",IF(OR(ISNUMBER(SEARCH("هيدروستات",G195)),ISNUMBER(SEARCH("هیدروستات",G195))),"خرابی - هیدروستات (تعویض)",IF(OR(ISNUMBER(SEARCH("بلبرينگ",G195)),ISNUMBER(SEARCH("بلبرینگ",G195))),"خرابی - بلبرینگ (تعویض)",IF(OR(ISNUMBER(SEARCH("شيربرق",G195)),ISNUMBER(SEARCH("شیربرق",G195))),"خرابی - شیربرقی (تعویض)",IF(OR(ISNUMBER(SEARCH("واتر جت",G195)),ISNUMBER(SEARCH("واترجت",G195))),"خرابی - واترجت (تعویض)",IF(OR(ISNUMBER(SEARCH("سيم",G195)),ISNUMBER(SEARCH("سیم",G195)),ISNUMBER(SEARCH("اتصال",G195))),"سیم‌کشی/اتصالات (تعویض/بازبینی)",IF(OR(ISNUMBER(SEARCH("تصوير",G195)),ISNUMBER(SEARCH("تصویر",G195))),"برد نمایش تلویزیون (تعویض)",IF(OR(ISNUMBER(SEARCH("ريموت",G195)),ISNUMBER(SEARCH("ریموت",G195))),"ریموت کنترل (تعویض/تعمیر)",IF(OR(ISNUMBER(SEARCH("ال اي دي",G195)),ISNUMBER(SEARCH("ال ای دی",G195)),ISNUMBER(SEARCH("LED",G195))),"خرابی - لامپ/LED داخلی (تعویض)",IF(ISNUMBER(SEARCH("زنگ زدگ",G195)),"زنگ‌زدگی بدنه/قطعه (تعویض)",IF(OR(ISNUMBER(SEARCH("قطعات تزئين",G195)),ISNUMBER(SEARCH("قطعات تزئین",G195))),"قطعات تزئینی - شکستگی/کسری (تعویض)",IF(ISNUMBER(SEARCH("سبد",G195)),"سبد ظرفشویی - شکستگی (تعویض)",IF(ISNUMBER(SEARCH("تاب درام",G195)),"خرابی - تاب برداشتن درام (تعویض)",IF(ISNUMBER(SEARCH("درام",G195)),"خرابی - سایر ایراد درام (تعویض)",IF(ISNUMBER(SEARCH("موتور",G195)),"خرابی - موتور (تعویض)",IF(ISNUMBER(SEARCH("تسمه",G195)),"خرابی - تسمه (تعویض)",IF(OR(ISNUMBER(SEARCH("پيچ ولوم",G195)),ISNUMBER(SEARCH("پیچ ولوم",G195))),"تنظیم - پیچ ولوم/دکمه (تعمیر)",IF(OR(ISNUMBER(SEARCH("کسري قطعات",G195)),ISNUMBER(SEARCH("کسری قطعات",G195))),"کسری قطعات تزئینی (تعویض)",IF(ISNUMBER(SEARCH("پرچ",G195)),"پرچ/بدنه کابین(تعمیر)",IF(OR(ISNUMBER(SEARCH("نشت",G195)),ISNUMBER(SEARCH("آبريزش",G195)),ISNUMBER(SEARCH("آبریزش",G195))),"نشتی آب - محل نامشخص (نیازمند بازدید)",IF(ISNUMBER(SEARCH("درب",G195)),"سایر اجزای درب (بازبینی)",IF(ISNUMBER(SEARCH("ضربه",G195)),"بدنه/کابین - ضربه (بازبینی/تعویض پنل)",IF(ISNUMBER(SEARCH("تراز",G195)),"تراز/لرزش - نصب (رگلاژ پایه)",IF(OR(ISNUMBER(SEARCH("تعویض",G195)),ISNUMBER(SEARCH("تعويض",G195))),"تعویض کامل دستگاه (Replacement)","سایر (نیازمند بررسی دستی)")))))))))))))))))))))))))))))))))))))))))))</f>
        <v/>
      </c>
      <c r="P195" s="124" t="inlineStr">
        <is>
          <t>رگلاژ پایه تنظیم لباسشویی</t>
        </is>
      </c>
      <c r="Q195" s="124">
        <f>IF(ISNUMBER(SEARCH("عهده شرکت",F195)),"شرکت",IF(ISNUMBER(SEARCH("عهده مشتري",F195)),"مشتری",IF(ISNUMBER(SEARCH("عهده مشتری",F195)),"مشتری","نامشخص")))</f>
        <v/>
      </c>
      <c r="R195" s="178">
        <f>IF(O195="تعویض کامل دستگاه (Replacement)",IF(SUMIF('قیمت‌ها و مفروضات'!$A$9:$A$13,C195,'قیمت‌ها و مفروضات'!$C$9:$C$13)&lt;&gt;0,SUMIF('قیمت‌ها و مفروضات'!$A$9:$A$13,C195,'قیمت‌ها و مفروضات'!$C$9:$C$13),SUMIF('قیمت‌ها و مفروضات'!$A$9:$A$13,C195,'قیمت‌ها و مفروضات'!$B$9:$B$13)),IF(SUMIF('قیمت‌ها و مفروضات'!$A$18:$A$63,O195,'قیمت‌ها و مفروضات'!$C$18:$C$63)&lt;&gt;0,SUMIF('قیمت‌ها و مفروضات'!$A$18:$A$63,O195,'قیمت‌ها و مفروضات'!$C$18:$C$63),SUMIF('قیمت‌ها و مفروضات'!$A$18:$A$63,O195,'قیمت‌ها و مفروضات'!$B$18:$B$63)))</f>
        <v/>
      </c>
      <c r="S195" s="178">
        <f>'قیمت‌ها و مفروضات'!$B$3+'قیمت‌ها و مفروضات'!$B$4</f>
        <v/>
      </c>
      <c r="T195" s="178">
        <f>R195+S195</f>
        <v/>
      </c>
      <c r="U195" s="178">
        <f>IF(COUNTIF($E$2:E326,E195)&gt;1,"بله (تکراری)","خیر")</f>
        <v/>
      </c>
      <c r="V195" s="178">
        <f>IF(U195="بله (تکراری)",S195,0)</f>
        <v/>
      </c>
      <c r="W195" s="208" t="inlineStr"/>
      <c r="X195" s="208" t="inlineStr"/>
    </row>
    <row r="196" ht="58.5" customHeight="1" s="151">
      <c r="A196" s="176" t="n">
        <v>210005400</v>
      </c>
      <c r="B196" s="124">
        <f>CHOOSE(_xlfn.NUMBERVALUE(MID(H196,6,2)),"فروردین","اردیبهشت","خرداد","تیر","مرداد","شهریور","مهر","آبان","آذر","دی","بهمن","اسفند")</f>
        <v/>
      </c>
      <c r="C196" s="176" t="inlineStr">
        <is>
          <t>ماشين لباسشويي</t>
        </is>
      </c>
      <c r="D196" s="176" t="inlineStr">
        <is>
          <t>CWM-BMW9T1</t>
        </is>
      </c>
      <c r="E196" s="176" t="inlineStr">
        <is>
          <t>52210008N00878</t>
        </is>
      </c>
      <c r="F196" s="173" t="inlineStr">
        <is>
          <t>اياب و ذهاب به عهده شرکت صداي غيرعادي هنگام خشک کن</t>
        </is>
      </c>
      <c r="G196" s="173" t="inlineStr">
        <is>
          <t>تراز پايه تنظيم</t>
        </is>
      </c>
      <c r="H196" s="176" t="inlineStr">
        <is>
          <t>1405/02/31</t>
        </is>
      </c>
      <c r="I196" s="176" t="inlineStr">
        <is>
          <t>1404/03/20</t>
        </is>
      </c>
      <c r="J196" s="176" t="inlineStr">
        <is>
          <t>1404/07/14</t>
        </is>
      </c>
      <c r="K196" s="177">
        <f>IFERROR(VLOOKUP(LEFT(H196,7),'تبدیل تاریخ'!$A$2:$B$73,2,FALSE())+VALUE(RIGHT(H196,2))-1,"")</f>
        <v/>
      </c>
      <c r="L196" s="177">
        <f>IFERROR(VLOOKUP(LEFT(I196,7),'تبدیل تاریخ'!$A$2:$B$73,2,FALSE())+VALUE(RIGHT(I196,2))-1,"")</f>
        <v/>
      </c>
      <c r="M196" s="177">
        <f>IF(J196="","",IFERROR(VLOOKUP(LEFT(J196,7),'تبدیل تاریخ'!$A$2:$B$73,2,FALSE())+VALUE(RIGHT(J196,2))-1,""))</f>
        <v/>
      </c>
      <c r="N196" s="124">
        <f>IF(OR(K196="",M196=""),"",CEILING((K196-M196)/30,1))</f>
        <v/>
      </c>
      <c r="O196" s="124">
        <f>IF(OR(ISNUMBER(SEARCH("بدون مورد",G196)),ISNUMBER(SEARCH("غير گارانتي",G196)),ISNUMBER(SEARCH("غیر گارانتی",G196)),ISNUMBER(SEARCH("بدون اجرت",G196)),ISNUMBER(SEARCH("فيلتر",G196)),ISNUMBER(SEARCH("فیلتر",G196))),"غیرگارانتی/بدون قطعه",IF(OR(ISNUMBER(SEARCH("ريست",G196)),ISNUMBER(SEARCH("ریست",G196))),"ریست نرم‌افزاری (بدون قطعه)",IF(OR(ISNUMBER(SEARCH("تعویض محصول",G196)),ISNUMBER(SEARCH("تعویض دستگاه",G196))),"تعویض کامل دستگاه (Replacement)",IF(ISNUMBER(SEARCH("پمپ",G196)),IF(ISNUMBER(SEARCH("نشت",G196)),"نشتی - پمپ تخلیه (تعمیر/آب‌بندی)","خرابی - پمپ تخلیه (تعویض)"),IF(ISNUMBER(SEARCH("کمپرسور",G196)),"خرابی - کمپرسور (تعویض)",IF(ISNUMBER(SEARCH("کمک فنر",G196)),"خرابی - کمک فنر (تعویض)",IF(ISNUMBER(SEARCH("لولا",G196)),"مکانیزم درب - لولا (تعویض)",IF(OR(ISNUMBER(SEARCH("قلاب",G196)),ISNUMBER(SEARCH("ميکروسوئيچ",G196)),ISNUMBER(SEARCH("میکروسوئیچ",G196))),"مکانیزم درب - میکروسوئیچ/قلاب (تعویض/تنظیم)",IF(ISNUMBER(SEARCH("زبانه",G196)),"مکانیزم درب - زبانه (تعویض)",IF(OR(ISNUMBER(SEARCH("شيلنگ",G196)),ISNUMBER(SEARCH("شیلنگ",G196))),IF(OR(ISNUMBER(SEARCH("نشتی",G196)),ISNUMBER(SEARCH("نشتي",G196))),"نشتی - شیلنگ (تعمیر/آب‌بندی)",IF(OR(ISNUMBER(SEARCH("يخ",G196)),ISNUMBER(SEARCH("یخ",G196))),"شیلنگ یخساز - یخ‌زدگی (بازبینی)","شیلنگ - برخورد/لهیدگی (بازبینی)")),IF(OR(ISNUMBER(SEARCH("تنظيم ديسپل",G196)),ISNUMBER(SEARCH("تنظیم دیسپل",G196)),ISNUMBER(SEARCH("تنظيم صفحه نمايش",G196)),ISNUMBER(SEARCH("تنظیم صفحه نمایش",G196))),"تنظیم - تنظیمات دستگاه/دیسپلی (تعمیر)",IF(OR(ISNUMBER(SEARCH("برد",G196)),ISNUMBER(SEARCH("سوکت",G196)),ISNUMBER(SEARCH("ديسپل",G196)),ISNUMBER(SEARCH("دیسپل",G196))),"خرابی - برد الکترونیک (تعویض)",IF(OR(ISNUMBER(SEARCH("يخساز",G196)),ISNUMBER(SEARCH("یخساز",G196)),ISNUMBER(SEARCH("دمپر",G196))),IF(OR(ISNUMBER(SEARCH("خرابی",G196)),ISNUMBER(SEARCH("خراب",G196)),ISNUMBER(SEARCH("عدم کارکرد",G196)),ISNUMBER(SEARCH("عدم عملکرد",G196))),"یخساز - خرابی موتور/سنسور/برد (تعویض)","یخساز - تنظیم/عایق (تعمیر)"),IF(OR(ISNUMBER(SEARCH("لاستيک",G196)),ISNUMBER(SEARCH("لاستیک",G196))),"لاستیک درزگیر - دفرمگی/پارگی (تعویض)",IF(OR(ISNUMBER(SEARCH("گسکت",G196)),ISNUMBER(SEARCH("گسگت",G196))),"لاستیک درزگیر - دفرمگی/پارگی (تعویض)",IF(ISNUMBER(SEARCH("مخزن نمک",G196)),"نشتی - درب مخزن نمک (تعمیر/آب‌بندی)",IF(ISNUMBER(SEARCH("براکت",G196)),"نشتی - براکت ریل (تعمیر/آب‌بندی)",IF(ISNUMBER(SEARCH("جاپودر",G196)),"نشتی - جاپودری (تعمیر/آب‌بندی)",IF(ISNUMBER(SEARCH("مقسم",G196)),"نشتی - مقسم آب (تعمیر/آب‌بندی)",IF(OR(ISNUMBER(SEARCH("سنسور دما",G196)),ISNUMBER(SEARCH("ترموستات",G196))),"خرابی - ترموستات (تعویض)",IF(OR(ISNUMBER(SEARCH("هيدروستات",G196)),ISNUMBER(SEARCH("هیدروستات",G196))),"خرابی - هیدروستات (تعویض)",IF(OR(ISNUMBER(SEARCH("بلبرينگ",G196)),ISNUMBER(SEARCH("بلبرینگ",G196))),"خرابی - بلبرینگ (تعویض)",IF(OR(ISNUMBER(SEARCH("شيربرق",G196)),ISNUMBER(SEARCH("شیربرق",G196))),"خرابی - شیربرقی (تعویض)",IF(OR(ISNUMBER(SEARCH("واتر جت",G196)),ISNUMBER(SEARCH("واترجت",G196))),"خرابی - واترجت (تعویض)",IF(OR(ISNUMBER(SEARCH("سيم",G196)),ISNUMBER(SEARCH("سیم",G196)),ISNUMBER(SEARCH("اتصال",G196))),"سیم‌کشی/اتصالات (تعویض/بازبینی)",IF(OR(ISNUMBER(SEARCH("تصوير",G196)),ISNUMBER(SEARCH("تصویر",G196))),"برد نمایش تلویزیون (تعویض)",IF(OR(ISNUMBER(SEARCH("ريموت",G196)),ISNUMBER(SEARCH("ریموت",G196))),"ریموت کنترل (تعویض/تعمیر)",IF(OR(ISNUMBER(SEARCH("ال اي دي",G196)),ISNUMBER(SEARCH("ال ای دی",G196)),ISNUMBER(SEARCH("LED",G196))),"خرابی - لامپ/LED داخلی (تعویض)",IF(ISNUMBER(SEARCH("زنگ زدگ",G196)),"زنگ‌زدگی بدنه/قطعه (تعویض)",IF(OR(ISNUMBER(SEARCH("قطعات تزئين",G196)),ISNUMBER(SEARCH("قطعات تزئین",G196))),"قطعات تزئینی - شکستگی/کسری (تعویض)",IF(ISNUMBER(SEARCH("سبد",G196)),"سبد ظرفشویی - شکستگی (تعویض)",IF(ISNUMBER(SEARCH("تاب درام",G196)),"خرابی - تاب برداشتن درام (تعویض)",IF(ISNUMBER(SEARCH("درام",G196)),"خرابی - سایر ایراد درام (تعویض)",IF(ISNUMBER(SEARCH("موتور",G196)),"خرابی - موتور (تعویض)",IF(ISNUMBER(SEARCH("تسمه",G196)),"خرابی - تسمه (تعویض)",IF(OR(ISNUMBER(SEARCH("پيچ ولوم",G196)),ISNUMBER(SEARCH("پیچ ولوم",G196))),"تنظیم - پیچ ولوم/دکمه (تعمیر)",IF(OR(ISNUMBER(SEARCH("کسري قطعات",G196)),ISNUMBER(SEARCH("کسری قطعات",G196))),"کسری قطعات تزئینی (تعویض)",IF(ISNUMBER(SEARCH("پرچ",G196)),"پرچ/بدنه کابین(تعمیر)",IF(OR(ISNUMBER(SEARCH("نشت",G196)),ISNUMBER(SEARCH("آبريزش",G196)),ISNUMBER(SEARCH("آبریزش",G196))),"نشتی آب - محل نامشخص (نیازمند بازدید)",IF(ISNUMBER(SEARCH("درب",G196)),"سایر اجزای درب (بازبینی)",IF(ISNUMBER(SEARCH("ضربه",G196)),"بدنه/کابین - ضربه (بازبینی/تعویض پنل)",IF(ISNUMBER(SEARCH("تراز",G196)),"تراز/لرزش - نصب (رگلاژ پایه)",IF(OR(ISNUMBER(SEARCH("تعویض",G196)),ISNUMBER(SEARCH("تعويض",G196))),"تعویض کامل دستگاه (Replacement)","سایر (نیازمند بررسی دستی)")))))))))))))))))))))))))))))))))))))))))))</f>
        <v/>
      </c>
      <c r="P196" s="124" t="inlineStr">
        <is>
          <t>رگلاژ پایه تنظیم لباسشویی</t>
        </is>
      </c>
      <c r="Q196" s="124">
        <f>IF(ISNUMBER(SEARCH("عهده شرکت",F196)),"شرکت",IF(ISNUMBER(SEARCH("عهده مشتري",F196)),"مشتری",IF(ISNUMBER(SEARCH("عهده مشتری",F196)),"مشتری","نامشخص")))</f>
        <v/>
      </c>
      <c r="R196" s="178">
        <f>IF(O196="تعویض کامل دستگاه (Replacement)",IF(SUMIF('قیمت‌ها و مفروضات'!$A$9:$A$13,C196,'قیمت‌ها و مفروضات'!$C$9:$C$13)&lt;&gt;0,SUMIF('قیمت‌ها و مفروضات'!$A$9:$A$13,C196,'قیمت‌ها و مفروضات'!$C$9:$C$13),SUMIF('قیمت‌ها و مفروضات'!$A$9:$A$13,C196,'قیمت‌ها و مفروضات'!$B$9:$B$13)),IF(SUMIF('قیمت‌ها و مفروضات'!$A$18:$A$63,O196,'قیمت‌ها و مفروضات'!$C$18:$C$63)&lt;&gt;0,SUMIF('قیمت‌ها و مفروضات'!$A$18:$A$63,O196,'قیمت‌ها و مفروضات'!$C$18:$C$63),SUMIF('قیمت‌ها و مفروضات'!$A$18:$A$63,O196,'قیمت‌ها و مفروضات'!$B$18:$B$63)))</f>
        <v/>
      </c>
      <c r="S196" s="178">
        <f>'قیمت‌ها و مفروضات'!$B$3+'قیمت‌ها و مفروضات'!$B$4</f>
        <v/>
      </c>
      <c r="T196" s="178">
        <f>R196+S196</f>
        <v/>
      </c>
      <c r="U196" s="178">
        <f>IF(COUNTIF($E$2:E327,E196)&gt;1,"بله (تکراری)","خیر")</f>
        <v/>
      </c>
      <c r="V196" s="178">
        <f>IF(U196="بله (تکراری)",S196,0)</f>
        <v/>
      </c>
      <c r="W196" s="208" t="inlineStr"/>
      <c r="X196" s="208" t="inlineStr"/>
    </row>
    <row r="197" ht="58.5" customHeight="1" s="151">
      <c r="A197" s="176" t="n">
        <v>310000608</v>
      </c>
      <c r="B197" s="124">
        <f>CHOOSE(_xlfn.NUMBERVALUE(MID(H197,6,2)),"فروردین","اردیبهشت","خرداد","تیر","مرداد","شهریور","مهر","آبان","آذر","دی","بهمن","اسفند")</f>
        <v/>
      </c>
      <c r="C197" s="176" t="inlineStr">
        <is>
          <t>یخچال ساید‌بای‌ساید</t>
        </is>
      </c>
      <c r="D197" s="176" t="inlineStr">
        <is>
          <t>C2S-29HS1</t>
        </is>
      </c>
      <c r="E197" s="176" t="inlineStr">
        <is>
          <t>210120001N00120</t>
        </is>
      </c>
      <c r="F197" s="173" t="inlineStr">
        <is>
          <t>تعويض فيلتر - غيرگارانتي</t>
        </is>
      </c>
      <c r="G197" s="173" t="inlineStr">
        <is>
          <t>تعويض فيلتر / غيرگارانتي - سايد باي سايد</t>
        </is>
      </c>
      <c r="H197" s="176" t="inlineStr">
        <is>
          <t>1405/02/31</t>
        </is>
      </c>
      <c r="I197" s="176" t="inlineStr">
        <is>
          <t>1403/03/07</t>
        </is>
      </c>
      <c r="J197" s="176" t="inlineStr">
        <is>
          <t>1403/06/05</t>
        </is>
      </c>
      <c r="K197" s="177">
        <f>IFERROR(VLOOKUP(LEFT(H197,7),'تبدیل تاریخ'!$A$2:$B$73,2,FALSE())+VALUE(RIGHT(H197,2))-1,"")</f>
        <v/>
      </c>
      <c r="L197" s="177">
        <f>IFERROR(VLOOKUP(LEFT(I197,7),'تبدیل تاریخ'!$A$2:$B$73,2,FALSE())+VALUE(RIGHT(I197,2))-1,"")</f>
        <v/>
      </c>
      <c r="M197" s="177">
        <f>IF(J197="","",IFERROR(VLOOKUP(LEFT(J197,7),'تبدیل تاریخ'!$A$2:$B$73,2,FALSE())+VALUE(RIGHT(J197,2))-1,""))</f>
        <v/>
      </c>
      <c r="N197" s="124">
        <f>IF(OR(K197="",M197=""),"",CEILING((K197-M197)/30,1))</f>
        <v/>
      </c>
      <c r="O197" s="124">
        <f>IF(OR(ISNUMBER(SEARCH("بدون مورد",G197)),ISNUMBER(SEARCH("غير گارانتي",G197)),ISNUMBER(SEARCH("غیر گارانتی",G197)),ISNUMBER(SEARCH("بدون اجرت",G197)),ISNUMBER(SEARCH("فيلتر",G197)),ISNUMBER(SEARCH("فیلتر",G197))),"غیرگارانتی/بدون قطعه",IF(OR(ISNUMBER(SEARCH("ريست",G197)),ISNUMBER(SEARCH("ریست",G197))),"ریست نرم‌افزاری (بدون قطعه)",IF(OR(ISNUMBER(SEARCH("تعویض محصول",G197)),ISNUMBER(SEARCH("تعویض دستگاه",G197))),"تعویض کامل دستگاه (Replacement)",IF(ISNUMBER(SEARCH("پمپ",G197)),IF(ISNUMBER(SEARCH("نشت",G197)),"نشتی - پمپ تخلیه (تعمیر/آب‌بندی)","خرابی - پمپ تخلیه (تعویض)"),IF(ISNUMBER(SEARCH("کمپرسور",G197)),"خرابی - کمپرسور (تعویض)",IF(ISNUMBER(SEARCH("کمک فنر",G197)),"خرابی - کمک فنر (تعویض)",IF(ISNUMBER(SEARCH("لولا",G197)),"مکانیزم درب - لولا (تعویض)",IF(OR(ISNUMBER(SEARCH("قلاب",G197)),ISNUMBER(SEARCH("ميکروسوئيچ",G197)),ISNUMBER(SEARCH("میکروسوئیچ",G197))),"مکانیزم درب - میکروسوئیچ/قلاب (تعویض/تنظیم)",IF(ISNUMBER(SEARCH("زبانه",G197)),"مکانیزم درب - زبانه (تعویض)",IF(OR(ISNUMBER(SEARCH("شيلنگ",G197)),ISNUMBER(SEARCH("شیلنگ",G197))),IF(OR(ISNUMBER(SEARCH("نشتی",G197)),ISNUMBER(SEARCH("نشتي",G197))),"نشتی - شیلنگ (تعمیر/آب‌بندی)",IF(OR(ISNUMBER(SEARCH("يخ",G197)),ISNUMBER(SEARCH("یخ",G197))),"شیلنگ یخساز - یخ‌زدگی (بازبینی)","شیلنگ - برخورد/لهیدگی (بازبینی)")),IF(OR(ISNUMBER(SEARCH("تنظيم ديسپل",G197)),ISNUMBER(SEARCH("تنظیم دیسپل",G197)),ISNUMBER(SEARCH("تنظيم صفحه نمايش",G197)),ISNUMBER(SEARCH("تنظیم صفحه نمایش",G197))),"تنظیم - تنظیمات دستگاه/دیسپلی (تعمیر)",IF(OR(ISNUMBER(SEARCH("برد",G197)),ISNUMBER(SEARCH("سوکت",G197)),ISNUMBER(SEARCH("ديسپل",G197)),ISNUMBER(SEARCH("دیسپل",G197))),"خرابی - برد الکترونیک (تعویض)",IF(OR(ISNUMBER(SEARCH("يخساز",G197)),ISNUMBER(SEARCH("یخساز",G197)),ISNUMBER(SEARCH("دمپر",G197))),IF(OR(ISNUMBER(SEARCH("خرابی",G197)),ISNUMBER(SEARCH("خراب",G197)),ISNUMBER(SEARCH("عدم کارکرد",G197)),ISNUMBER(SEARCH("عدم عملکرد",G197))),"یخساز - خرابی موتور/سنسور/برد (تعویض)","یخساز - تنظیم/عایق (تعمیر)"),IF(OR(ISNUMBER(SEARCH("لاستيک",G197)),ISNUMBER(SEARCH("لاستیک",G197))),"لاستیک درزگیر - دفرمگی/پارگی (تعویض)",IF(OR(ISNUMBER(SEARCH("گسکت",G197)),ISNUMBER(SEARCH("گسگت",G197))),"لاستیک درزگیر - دفرمگی/پارگی (تعویض)",IF(ISNUMBER(SEARCH("مخزن نمک",G197)),"نشتی - درب مخزن نمک (تعمیر/آب‌بندی)",IF(ISNUMBER(SEARCH("براکت",G197)),"نشتی - براکت ریل (تعمیر/آب‌بندی)",IF(ISNUMBER(SEARCH("جاپودر",G197)),"نشتی - جاپودری (تعمیر/آب‌بندی)",IF(ISNUMBER(SEARCH("مقسم",G197)),"نشتی - مقسم آب (تعمیر/آب‌بندی)",IF(OR(ISNUMBER(SEARCH("سنسور دما",G197)),ISNUMBER(SEARCH("ترموستات",G197))),"خرابی - ترموستات (تعویض)",IF(OR(ISNUMBER(SEARCH("هيدروستات",G197)),ISNUMBER(SEARCH("هیدروستات",G197))),"خرابی - هیدروستات (تعویض)",IF(OR(ISNUMBER(SEARCH("بلبرينگ",G197)),ISNUMBER(SEARCH("بلبرینگ",G197))),"خرابی - بلبرینگ (تعویض)",IF(OR(ISNUMBER(SEARCH("شيربرق",G197)),ISNUMBER(SEARCH("شیربرق",G197))),"خرابی - شیربرقی (تعویض)",IF(OR(ISNUMBER(SEARCH("واتر جت",G197)),ISNUMBER(SEARCH("واترجت",G197))),"خرابی - واترجت (تعویض)",IF(OR(ISNUMBER(SEARCH("سيم",G197)),ISNUMBER(SEARCH("سیم",G197)),ISNUMBER(SEARCH("اتصال",G197))),"سیم‌کشی/اتصالات (تعویض/بازبینی)",IF(OR(ISNUMBER(SEARCH("تصوير",G197)),ISNUMBER(SEARCH("تصویر",G197))),"برد نمایش تلویزیون (تعویض)",IF(OR(ISNUMBER(SEARCH("ريموت",G197)),ISNUMBER(SEARCH("ریموت",G197))),"ریموت کنترل (تعویض/تعمیر)",IF(OR(ISNUMBER(SEARCH("ال اي دي",G197)),ISNUMBER(SEARCH("ال ای دی",G197)),ISNUMBER(SEARCH("LED",G197))),"خرابی - لامپ/LED داخلی (تعویض)",IF(ISNUMBER(SEARCH("زنگ زدگ",G197)),"زنگ‌زدگی بدنه/قطعه (تعویض)",IF(OR(ISNUMBER(SEARCH("قطعات تزئين",G197)),ISNUMBER(SEARCH("قطعات تزئین",G197))),"قطعات تزئینی - شکستگی/کسری (تعویض)",IF(ISNUMBER(SEARCH("سبد",G197)),"سبد ظرفشویی - شکستگی (تعویض)",IF(ISNUMBER(SEARCH("تاب درام",G197)),"خرابی - تاب برداشتن درام (تعویض)",IF(ISNUMBER(SEARCH("درام",G197)),"خرابی - سایر ایراد درام (تعویض)",IF(ISNUMBER(SEARCH("موتور",G197)),"خرابی - موتور (تعویض)",IF(ISNUMBER(SEARCH("تسمه",G197)),"خرابی - تسمه (تعویض)",IF(OR(ISNUMBER(SEARCH("پيچ ولوم",G197)),ISNUMBER(SEARCH("پیچ ولوم",G197))),"تنظیم - پیچ ولوم/دکمه (تعمیر)",IF(OR(ISNUMBER(SEARCH("کسري قطعات",G197)),ISNUMBER(SEARCH("کسری قطعات",G197))),"کسری قطعات تزئینی (تعویض)",IF(ISNUMBER(SEARCH("پرچ",G197)),"پرچ/بدنه کابین(تعمیر)",IF(OR(ISNUMBER(SEARCH("نشت",G197)),ISNUMBER(SEARCH("آبريزش",G197)),ISNUMBER(SEARCH("آبریزش",G197))),"نشتی آب - محل نامشخص (نیازمند بازدید)",IF(ISNUMBER(SEARCH("درب",G197)),"سایر اجزای درب (بازبینی)",IF(ISNUMBER(SEARCH("ضربه",G197)),"بدنه/کابین - ضربه (بازبینی/تعویض پنل)",IF(ISNUMBER(SEARCH("تراز",G197)),"تراز/لرزش - نصب (رگلاژ پایه)",IF(OR(ISNUMBER(SEARCH("تعویض",G197)),ISNUMBER(SEARCH("تعويض",G197))),"تعویض کامل دستگاه (Replacement)","سایر (نیازمند بررسی دستی)")))))))))))))))))))))))))))))))))))))))))))</f>
        <v/>
      </c>
      <c r="P197" s="124" t="inlineStr">
        <is>
          <t>*</t>
        </is>
      </c>
      <c r="Q197" s="124">
        <f>IF(ISNUMBER(SEARCH("عهده شرکت",F197)),"شرکت",IF(ISNUMBER(SEARCH("عهده مشتري",F197)),"مشتری",IF(ISNUMBER(SEARCH("عهده مشتری",F197)),"مشتری","نامشخص")))</f>
        <v/>
      </c>
      <c r="R197" s="178">
        <f>IF(O197="تعویض کامل دستگاه (Replacement)",IF(SUMIF('قیمت‌ها و مفروضات'!$A$9:$A$13,C197,'قیمت‌ها و مفروضات'!$C$9:$C$13)&lt;&gt;0,SUMIF('قیمت‌ها و مفروضات'!$A$9:$A$13,C197,'قیمت‌ها و مفروضات'!$C$9:$C$13),SUMIF('قیمت‌ها و مفروضات'!$A$9:$A$13,C197,'قیمت‌ها و مفروضات'!$B$9:$B$13)),IF(SUMIF('قیمت‌ها و مفروضات'!$A$18:$A$63,O197,'قیمت‌ها و مفروضات'!$C$18:$C$63)&lt;&gt;0,SUMIF('قیمت‌ها و مفروضات'!$A$18:$A$63,O197,'قیمت‌ها و مفروضات'!$C$18:$C$63),SUMIF('قیمت‌ها و مفروضات'!$A$18:$A$63,O197,'قیمت‌ها و مفروضات'!$B$18:$B$63)))</f>
        <v/>
      </c>
      <c r="S197" s="178">
        <f>'قیمت‌ها و مفروضات'!$B$3+'قیمت‌ها و مفروضات'!$B$4</f>
        <v/>
      </c>
      <c r="T197" s="178">
        <f>R197+S197</f>
        <v/>
      </c>
      <c r="U197" s="178">
        <f>IF(COUNTIF($E$2:E328,E197)&gt;1,"بله (تکراری)","خیر")</f>
        <v/>
      </c>
      <c r="V197" s="178">
        <f>IF(U197="بله (تکراری)",S197,0)</f>
        <v/>
      </c>
      <c r="W197" s="208" t="inlineStr"/>
      <c r="X197" s="208" t="inlineStr"/>
    </row>
    <row r="198" ht="58.5" customHeight="1" s="151">
      <c r="A198" s="176" t="n">
        <v>210008229</v>
      </c>
      <c r="B198" s="124">
        <f>CHOOSE(_xlfn.NUMBERVALUE(MID(H198,6,2)),"فروردین","اردیبهشت","خرداد","تیر","مرداد","شهریور","مهر","آبان","آذر","دی","بهمن","اسفند")</f>
        <v/>
      </c>
      <c r="C198" s="176" t="inlineStr">
        <is>
          <t>ماشين لباسشويي</t>
        </is>
      </c>
      <c r="D198" s="176" t="inlineStr">
        <is>
          <t>CWM-BMW8T2</t>
        </is>
      </c>
      <c r="E198" s="176" t="inlineStr">
        <is>
          <t>52210010N02062</t>
        </is>
      </c>
      <c r="F198" s="173" t="inlineStr">
        <is>
          <t>اياب و ذهاب به عهده شرکت خطای CE</t>
        </is>
      </c>
      <c r="G198" s="173" t="inlineStr">
        <is>
          <t>از کار افتادن محصول -خرابی برد</t>
        </is>
      </c>
      <c r="H198" s="176" t="inlineStr">
        <is>
          <t>1405/02/21</t>
        </is>
      </c>
      <c r="I198" s="176" t="inlineStr">
        <is>
          <t>1404/09/05</t>
        </is>
      </c>
      <c r="J198" s="176" t="inlineStr">
        <is>
          <t>1404/09/18</t>
        </is>
      </c>
      <c r="K198" s="177">
        <f>IFERROR(VLOOKUP(LEFT(H198,7),'تبدیل تاریخ'!$A$2:$B$73,2,FALSE())+VALUE(RIGHT(H198,2))-1,"")</f>
        <v/>
      </c>
      <c r="L198" s="177">
        <f>IFERROR(VLOOKUP(LEFT(I198,7),'تبدیل تاریخ'!$A$2:$B$73,2,FALSE())+VALUE(RIGHT(I198,2))-1,"")</f>
        <v/>
      </c>
      <c r="M198" s="177">
        <f>IF(J198="","",IFERROR(VLOOKUP(LEFT(J198,7),'تبدیل تاریخ'!$A$2:$B$73,2,FALSE())+VALUE(RIGHT(J198,2))-1,""))</f>
        <v/>
      </c>
      <c r="N198" s="124">
        <f>IF(OR(K198="",M198=""),"",CEILING((K198-M198)/30,1))</f>
        <v/>
      </c>
      <c r="O198" s="124">
        <f>IF(OR(ISNUMBER(SEARCH("بدون مورد",G198)),ISNUMBER(SEARCH("غير گارانتي",G198)),ISNUMBER(SEARCH("غیر گارانتی",G198)),ISNUMBER(SEARCH("بدون اجرت",G198)),ISNUMBER(SEARCH("فيلتر",G198)),ISNUMBER(SEARCH("فیلتر",G198))),"غیرگارانتی/بدون قطعه",IF(OR(ISNUMBER(SEARCH("ريست",G198)),ISNUMBER(SEARCH("ریست",G198))),"ریست نرم‌افزاری (بدون قطعه)",IF(OR(ISNUMBER(SEARCH("تعویض محصول",G198)),ISNUMBER(SEARCH("تعویض دستگاه",G198))),"تعویض کامل دستگاه (Replacement)",IF(ISNUMBER(SEARCH("پمپ",G198)),IF(ISNUMBER(SEARCH("نشت",G198)),"نشتی - پمپ تخلیه (تعمیر/آب‌بندی)","خرابی - پمپ تخلیه (تعویض)"),IF(ISNUMBER(SEARCH("کمپرسور",G198)),"خرابی - کمپرسور (تعویض)",IF(ISNUMBER(SEARCH("کمک فنر",G198)),"خرابی - کمک فنر (تعویض)",IF(ISNUMBER(SEARCH("لولا",G198)),"مکانیزم درب - لولا (تعویض)",IF(OR(ISNUMBER(SEARCH("قلاب",G198)),ISNUMBER(SEARCH("ميکروسوئيچ",G198)),ISNUMBER(SEARCH("میکروسوئیچ",G198))),"مکانیزم درب - میکروسوئیچ/قلاب (تعویض/تنظیم)",IF(ISNUMBER(SEARCH("زبانه",G198)),"مکانیزم درب - زبانه (تعویض)",IF(OR(ISNUMBER(SEARCH("شيلنگ",G198)),ISNUMBER(SEARCH("شیلنگ",G198))),IF(OR(ISNUMBER(SEARCH("نشتی",G198)),ISNUMBER(SEARCH("نشتي",G198))),"نشتی - شیلنگ (تعمیر/آب‌بندی)",IF(OR(ISNUMBER(SEARCH("يخ",G198)),ISNUMBER(SEARCH("یخ",G198))),"شیلنگ یخساز - یخ‌زدگی (بازبینی)","شیلنگ - برخورد/لهیدگی (بازبینی)")),IF(OR(ISNUMBER(SEARCH("تنظيم ديسپل",G198)),ISNUMBER(SEARCH("تنظیم دیسپل",G198)),ISNUMBER(SEARCH("تنظيم صفحه نمايش",G198)),ISNUMBER(SEARCH("تنظیم صفحه نمایش",G198))),"تنظیم - تنظیمات دستگاه/دیسپلی (تعمیر)",IF(OR(ISNUMBER(SEARCH("برد",G198)),ISNUMBER(SEARCH("سوکت",G198)),ISNUMBER(SEARCH("ديسپل",G198)),ISNUMBER(SEARCH("دیسپل",G198))),"خرابی - برد الکترونیک (تعویض)",IF(OR(ISNUMBER(SEARCH("يخساز",G198)),ISNUMBER(SEARCH("یخساز",G198)),ISNUMBER(SEARCH("دمپر",G198))),IF(OR(ISNUMBER(SEARCH("خرابی",G198)),ISNUMBER(SEARCH("خراب",G198)),ISNUMBER(SEARCH("عدم کارکرد",G198)),ISNUMBER(SEARCH("عدم عملکرد",G198))),"یخساز - خرابی موتور/سنسور/برد (تعویض)","یخساز - تنظیم/عایق (تعمیر)"),IF(OR(ISNUMBER(SEARCH("لاستيک",G198)),ISNUMBER(SEARCH("لاستیک",G198))),"لاستیک درزگیر - دفرمگی/پارگی (تعویض)",IF(OR(ISNUMBER(SEARCH("گسکت",G198)),ISNUMBER(SEARCH("گسگت",G198))),"لاستیک درزگیر - دفرمگی/پارگی (تعویض)",IF(ISNUMBER(SEARCH("مخزن نمک",G198)),"نشتی - درب مخزن نمک (تعمیر/آب‌بندی)",IF(ISNUMBER(SEARCH("براکت",G198)),"نشتی - براکت ریل (تعمیر/آب‌بندی)",IF(ISNUMBER(SEARCH("جاپودر",G198)),"نشتی - جاپودری (تعمیر/آب‌بندی)",IF(ISNUMBER(SEARCH("مقسم",G198)),"نشتی - مقسم آب (تعمیر/آب‌بندی)",IF(OR(ISNUMBER(SEARCH("سنسور دما",G198)),ISNUMBER(SEARCH("ترموستات",G198))),"خرابی - ترموستات (تعویض)",IF(OR(ISNUMBER(SEARCH("هيدروستات",G198)),ISNUMBER(SEARCH("هیدروستات",G198))),"خرابی - هیدروستات (تعویض)",IF(OR(ISNUMBER(SEARCH("بلبرينگ",G198)),ISNUMBER(SEARCH("بلبرینگ",G198))),"خرابی - بلبرینگ (تعویض)",IF(OR(ISNUMBER(SEARCH("شيربرق",G198)),ISNUMBER(SEARCH("شیربرق",G198))),"خرابی - شیربرقی (تعویض)",IF(OR(ISNUMBER(SEARCH("واتر جت",G198)),ISNUMBER(SEARCH("واترجت",G198))),"خرابی - واترجت (تعویض)",IF(OR(ISNUMBER(SEARCH("سيم",G198)),ISNUMBER(SEARCH("سیم",G198)),ISNUMBER(SEARCH("اتصال",G198))),"سیم‌کشی/اتصالات (تعویض/بازبینی)",IF(OR(ISNUMBER(SEARCH("تصوير",G198)),ISNUMBER(SEARCH("تصویر",G198))),"برد نمایش تلویزیون (تعویض)",IF(OR(ISNUMBER(SEARCH("ريموت",G198)),ISNUMBER(SEARCH("ریموت",G198))),"ریموت کنترل (تعویض/تعمیر)",IF(OR(ISNUMBER(SEARCH("ال اي دي",G198)),ISNUMBER(SEARCH("ال ای دی",G198)),ISNUMBER(SEARCH("LED",G198))),"خرابی - لامپ/LED داخلی (تعویض)",IF(ISNUMBER(SEARCH("زنگ زدگ",G198)),"زنگ‌زدگی بدنه/قطعه (تعویض)",IF(OR(ISNUMBER(SEARCH("قطعات تزئين",G198)),ISNUMBER(SEARCH("قطعات تزئین",G198))),"قطعات تزئینی - شکستگی/کسری (تعویض)",IF(ISNUMBER(SEARCH("سبد",G198)),"سبد ظرفشویی - شکستگی (تعویض)",IF(ISNUMBER(SEARCH("تاب درام",G198)),"خرابی - تاب برداشتن درام (تعویض)",IF(ISNUMBER(SEARCH("درام",G198)),"خرابی - سایر ایراد درام (تعویض)",IF(ISNUMBER(SEARCH("موتور",G198)),"خرابی - موتور (تعویض)",IF(ISNUMBER(SEARCH("تسمه",G198)),"خرابی - تسمه (تعویض)",IF(OR(ISNUMBER(SEARCH("پيچ ولوم",G198)),ISNUMBER(SEARCH("پیچ ولوم",G198))),"تنظیم - پیچ ولوم/دکمه (تعمیر)",IF(OR(ISNUMBER(SEARCH("کسري قطعات",G198)),ISNUMBER(SEARCH("کسری قطعات",G198))),"کسری قطعات تزئینی (تعویض)",IF(ISNUMBER(SEARCH("پرچ",G198)),"پرچ/بدنه کابین(تعمیر)",IF(OR(ISNUMBER(SEARCH("نشت",G198)),ISNUMBER(SEARCH("آبريزش",G198)),ISNUMBER(SEARCH("آبریزش",G198))),"نشتی آب - محل نامشخص (نیازمند بازدید)",IF(ISNUMBER(SEARCH("درب",G198)),"سایر اجزای درب (بازبینی)",IF(ISNUMBER(SEARCH("ضربه",G198)),"بدنه/کابین - ضربه (بازبینی/تعویض پنل)",IF(ISNUMBER(SEARCH("تراز",G198)),"تراز/لرزش - نصب (رگلاژ پایه)",IF(OR(ISNUMBER(SEARCH("تعویض",G198)),ISNUMBER(SEARCH("تعويض",G198))),"تعویض کامل دستگاه (Replacement)","سایر (نیازمند بررسی دستی)")))))))))))))))))))))))))))))))))))))))))))</f>
        <v/>
      </c>
      <c r="P198" s="124" t="inlineStr">
        <is>
          <t>برد لباسشویی</t>
        </is>
      </c>
      <c r="Q198" s="124">
        <f>IF(ISNUMBER(SEARCH("عهده شرکت",F198)),"شرکت",IF(ISNUMBER(SEARCH("عهده مشتري",F198)),"مشتری",IF(ISNUMBER(SEARCH("عهده مشتری",F198)),"مشتری","نامشخص")))</f>
        <v/>
      </c>
      <c r="R198" s="178">
        <f>IF(O198="تعویض کامل دستگاه (Replacement)",IF(SUMIF('قیمت‌ها و مفروضات'!$A$9:$A$13,C198,'قیمت‌ها و مفروضات'!$C$9:$C$13)&lt;&gt;0,SUMIF('قیمت‌ها و مفروضات'!$A$9:$A$13,C198,'قیمت‌ها و مفروضات'!$C$9:$C$13),SUMIF('قیمت‌ها و مفروضات'!$A$9:$A$13,C198,'قیمت‌ها و مفروضات'!$B$9:$B$13)),IF(SUMIF('قیمت‌ها و مفروضات'!$A$18:$A$63,O198,'قیمت‌ها و مفروضات'!$C$18:$C$63)&lt;&gt;0,SUMIF('قیمت‌ها و مفروضات'!$A$18:$A$63,O198,'قیمت‌ها و مفروضات'!$C$18:$C$63),SUMIF('قیمت‌ها و مفروضات'!$A$18:$A$63,O198,'قیمت‌ها و مفروضات'!$B$18:$B$63)))</f>
        <v/>
      </c>
      <c r="S198" s="178">
        <f>'قیمت‌ها و مفروضات'!$B$3+'قیمت‌ها و مفروضات'!$B$4</f>
        <v/>
      </c>
      <c r="T198" s="178">
        <f>R198+S198</f>
        <v/>
      </c>
      <c r="U198" s="178">
        <f>IF(COUNTIF($E$2:E329,E198)&gt;1,"بله (تکراری)","خیر")</f>
        <v/>
      </c>
      <c r="V198" s="178">
        <f>IF(U198="بله (تکراری)",S198,0)</f>
        <v/>
      </c>
      <c r="W198" s="208" t="inlineStr"/>
      <c r="X198" s="208" t="inlineStr"/>
    </row>
    <row r="199" ht="58.5" customHeight="1" s="151">
      <c r="A199" s="176" t="n">
        <v>210009179</v>
      </c>
      <c r="B199" s="124">
        <f>CHOOSE(_xlfn.NUMBERVALUE(MID(H199,6,2)),"فروردین","اردیبهشت","خرداد","تیر","مرداد","شهریور","مهر","آبان","آذر","دی","بهمن","اسفند")</f>
        <v/>
      </c>
      <c r="C199" s="176" t="inlineStr">
        <is>
          <t>يخچال ميني</t>
        </is>
      </c>
      <c r="D199" s="176" t="inlineStr">
        <is>
          <t>CM-RS5BK1</t>
        </is>
      </c>
      <c r="E199" s="176" t="inlineStr">
        <is>
          <t>52240002N01230</t>
        </is>
      </c>
      <c r="F199" s="173" t="inlineStr">
        <is>
          <t>خاموش بودن LED کاور / سقفي**اياب و ذهاب به عهده شرکت</t>
        </is>
      </c>
      <c r="G199" s="173" t="inlineStr">
        <is>
          <t>خرابی LED</t>
        </is>
      </c>
      <c r="H199" s="176" t="inlineStr">
        <is>
          <t>1405/02/15</t>
        </is>
      </c>
      <c r="I199" s="176" t="inlineStr">
        <is>
          <t>1404/05/22</t>
        </is>
      </c>
      <c r="J199" s="176" t="inlineStr">
        <is>
          <t>1404/08/10</t>
        </is>
      </c>
      <c r="K199" s="177">
        <f>IFERROR(VLOOKUP(LEFT(H199,7),'تبدیل تاریخ'!$A$2:$B$73,2,FALSE())+VALUE(RIGHT(H199,2))-1,"")</f>
        <v/>
      </c>
      <c r="L199" s="177">
        <f>IFERROR(VLOOKUP(LEFT(I199,7),'تبدیل تاریخ'!$A$2:$B$73,2,FALSE())+VALUE(RIGHT(I199,2))-1,"")</f>
        <v/>
      </c>
      <c r="M199" s="177">
        <f>IF(J199="","",IFERROR(VLOOKUP(LEFT(J199,7),'تبدیل تاریخ'!$A$2:$B$73,2,FALSE())+VALUE(RIGHT(J199,2))-1,""))</f>
        <v/>
      </c>
      <c r="N199" s="124">
        <f>IF(OR(K199="",M199=""),"",CEILING((K199-M199)/30,1))</f>
        <v/>
      </c>
      <c r="O199" s="124">
        <f>IF(OR(ISNUMBER(SEARCH("بدون مورد",G199)),ISNUMBER(SEARCH("غير گارانتي",G199)),ISNUMBER(SEARCH("غیر گارانتی",G199)),ISNUMBER(SEARCH("بدون اجرت",G199)),ISNUMBER(SEARCH("فيلتر",G199)),ISNUMBER(SEARCH("فیلتر",G199))),"غیرگارانتی/بدون قطعه",IF(OR(ISNUMBER(SEARCH("ريست",G199)),ISNUMBER(SEARCH("ریست",G199))),"ریست نرم‌افزاری (بدون قطعه)",IF(OR(ISNUMBER(SEARCH("تعویض محصول",G199)),ISNUMBER(SEARCH("تعویض دستگاه",G199))),"تعویض کامل دستگاه (Replacement)",IF(ISNUMBER(SEARCH("پمپ",G199)),IF(ISNUMBER(SEARCH("نشت",G199)),"نشتی - پمپ تخلیه (تعمیر/آب‌بندی)","خرابی - پمپ تخلیه (تعویض)"),IF(ISNUMBER(SEARCH("کمپرسور",G199)),"خرابی - کمپرسور (تعویض)",IF(ISNUMBER(SEARCH("کمک فنر",G199)),"خرابی - کمک فنر (تعویض)",IF(ISNUMBER(SEARCH("لولا",G199)),"مکانیزم درب - لولا (تعویض)",IF(OR(ISNUMBER(SEARCH("قلاب",G199)),ISNUMBER(SEARCH("ميکروسوئيچ",G199)),ISNUMBER(SEARCH("میکروسوئیچ",G199))),"مکانیزم درب - میکروسوئیچ/قلاب (تعویض/تنظیم)",IF(ISNUMBER(SEARCH("زبانه",G199)),"مکانیزم درب - زبانه (تعویض)",IF(OR(ISNUMBER(SEARCH("شيلنگ",G199)),ISNUMBER(SEARCH("شیلنگ",G199))),IF(OR(ISNUMBER(SEARCH("نشتی",G199)),ISNUMBER(SEARCH("نشتي",G199))),"نشتی - شیلنگ (تعمیر/آب‌بندی)",IF(OR(ISNUMBER(SEARCH("يخ",G199)),ISNUMBER(SEARCH("یخ",G199))),"شیلنگ یخساز - یخ‌زدگی (بازبینی)","شیلنگ - برخورد/لهیدگی (بازبینی)")),IF(OR(ISNUMBER(SEARCH("تنظيم ديسپل",G199)),ISNUMBER(SEARCH("تنظیم دیسپل",G199)),ISNUMBER(SEARCH("تنظيم صفحه نمايش",G199)),ISNUMBER(SEARCH("تنظیم صفحه نمایش",G199))),"تنظیم - تنظیمات دستگاه/دیسپلی (تعمیر)",IF(OR(ISNUMBER(SEARCH("برد",G199)),ISNUMBER(SEARCH("سوکت",G199)),ISNUMBER(SEARCH("ديسپل",G199)),ISNUMBER(SEARCH("دیسپل",G199))),"خرابی - برد الکترونیک (تعویض)",IF(OR(ISNUMBER(SEARCH("يخساز",G199)),ISNUMBER(SEARCH("یخساز",G199)),ISNUMBER(SEARCH("دمپر",G199))),IF(OR(ISNUMBER(SEARCH("خرابی",G199)),ISNUMBER(SEARCH("خراب",G199)),ISNUMBER(SEARCH("عدم کارکرد",G199)),ISNUMBER(SEARCH("عدم عملکرد",G199))),"یخساز - خرابی موتور/سنسور/برد (تعویض)","یخساز - تنظیم/عایق (تعمیر)"),IF(OR(ISNUMBER(SEARCH("لاستيک",G199)),ISNUMBER(SEARCH("لاستیک",G199))),"لاستیک درزگیر - دفرمگی/پارگی (تعویض)",IF(OR(ISNUMBER(SEARCH("گسکت",G199)),ISNUMBER(SEARCH("گسگت",G199))),"لاستیک درزگیر - دفرمگی/پارگی (تعویض)",IF(ISNUMBER(SEARCH("مخزن نمک",G199)),"نشتی - درب مخزن نمک (تعمیر/آب‌بندی)",IF(ISNUMBER(SEARCH("براکت",G199)),"نشتی - براکت ریل (تعمیر/آب‌بندی)",IF(ISNUMBER(SEARCH("جاپودر",G199)),"نشتی - جاپودری (تعمیر/آب‌بندی)",IF(ISNUMBER(SEARCH("مقسم",G199)),"نشتی - مقسم آب (تعمیر/آب‌بندی)",IF(OR(ISNUMBER(SEARCH("سنسور دما",G199)),ISNUMBER(SEARCH("ترموستات",G199))),"خرابی - ترموستات (تعویض)",IF(OR(ISNUMBER(SEARCH("هيدروستات",G199)),ISNUMBER(SEARCH("هیدروستات",G199))),"خرابی - هیدروستات (تعویض)",IF(OR(ISNUMBER(SEARCH("بلبرينگ",G199)),ISNUMBER(SEARCH("بلبرینگ",G199))),"خرابی - بلبرینگ (تعویض)",IF(OR(ISNUMBER(SEARCH("شيربرق",G199)),ISNUMBER(SEARCH("شیربرق",G199))),"خرابی - شیربرقی (تعویض)",IF(OR(ISNUMBER(SEARCH("واتر جت",G199)),ISNUMBER(SEARCH("واترجت",G199))),"خرابی - واترجت (تعویض)",IF(OR(ISNUMBER(SEARCH("سيم",G199)),ISNUMBER(SEARCH("سیم",G199)),ISNUMBER(SEARCH("اتصال",G199))),"سیم‌کشی/اتصالات (تعویض/بازبینی)",IF(OR(ISNUMBER(SEARCH("تصوير",G199)),ISNUMBER(SEARCH("تصویر",G199))),"برد نمایش تلویزیون (تعویض)",IF(OR(ISNUMBER(SEARCH("ريموت",G199)),ISNUMBER(SEARCH("ریموت",G199))),"ریموت کنترل (تعویض/تعمیر)",IF(OR(ISNUMBER(SEARCH("ال اي دي",G199)),ISNUMBER(SEARCH("ال ای دی",G199)),ISNUMBER(SEARCH("LED",G199))),"خرابی - لامپ/LED داخلی (تعویض)",IF(ISNUMBER(SEARCH("زنگ زدگ",G199)),"زنگ‌زدگی بدنه/قطعه (تعویض)",IF(OR(ISNUMBER(SEARCH("قطعات تزئين",G199)),ISNUMBER(SEARCH("قطعات تزئین",G199))),"قطعات تزئینی - شکستگی/کسری (تعویض)",IF(ISNUMBER(SEARCH("سبد",G199)),"سبد ظرفشویی - شکستگی (تعویض)",IF(ISNUMBER(SEARCH("تاب درام",G199)),"خرابی - تاب برداشتن درام (تعویض)",IF(ISNUMBER(SEARCH("درام",G199)),"خرابی - سایر ایراد درام (تعویض)",IF(ISNUMBER(SEARCH("موتور",G199)),"خرابی - موتور (تعویض)",IF(ISNUMBER(SEARCH("تسمه",G199)),"خرابی - تسمه (تعویض)",IF(OR(ISNUMBER(SEARCH("پيچ ولوم",G199)),ISNUMBER(SEARCH("پیچ ولوم",G199))),"تنظیم - پیچ ولوم/دکمه (تعمیر)",IF(OR(ISNUMBER(SEARCH("کسري قطعات",G199)),ISNUMBER(SEARCH("کسری قطعات",G199))),"کسری قطعات تزئینی (تعویض)",IF(ISNUMBER(SEARCH("پرچ",G199)),"پرچ/بدنه کابین(تعمیر)",IF(OR(ISNUMBER(SEARCH("نشت",G199)),ISNUMBER(SEARCH("آبريزش",G199)),ISNUMBER(SEARCH("آبریزش",G199))),"نشتی آب - محل نامشخص (نیازمند بازدید)",IF(ISNUMBER(SEARCH("درب",G199)),"سایر اجزای درب (بازبینی)",IF(ISNUMBER(SEARCH("ضربه",G199)),"بدنه/کابین - ضربه (بازبینی/تعویض پنل)",IF(ISNUMBER(SEARCH("تراز",G199)),"تراز/لرزش - نصب (رگلاژ پایه)",IF(OR(ISNUMBER(SEARCH("تعویض",G199)),ISNUMBER(SEARCH("تعويض",G199))),"تعویض کامل دستگاه (Replacement)","سایر (نیازمند بررسی دستی)")))))))))))))))))))))))))))))))))))))))))))</f>
        <v/>
      </c>
      <c r="P199" s="124" t="inlineStr">
        <is>
          <t>لامپ مینی</t>
        </is>
      </c>
      <c r="Q199" s="124">
        <f>IF(ISNUMBER(SEARCH("عهده شرکت",F199)),"شرکت",IF(ISNUMBER(SEARCH("عهده مشتري",F199)),"مشتری",IF(ISNUMBER(SEARCH("عهده مشتری",F199)),"مشتری","نامشخص")))</f>
        <v/>
      </c>
      <c r="R199" s="178">
        <f>IF(O199="تعویض کامل دستگاه (Replacement)",IF(SUMIF('قیمت‌ها و مفروضات'!$A$9:$A$13,C199,'قیمت‌ها و مفروضات'!$C$9:$C$13)&lt;&gt;0,SUMIF('قیمت‌ها و مفروضات'!$A$9:$A$13,C199,'قیمت‌ها و مفروضات'!$C$9:$C$13),SUMIF('قیمت‌ها و مفروضات'!$A$9:$A$13,C199,'قیمت‌ها و مفروضات'!$B$9:$B$13)),IF(SUMIF('قیمت‌ها و مفروضات'!$A$18:$A$63,O199,'قیمت‌ها و مفروضات'!$C$18:$C$63)&lt;&gt;0,SUMIF('قیمت‌ها و مفروضات'!$A$18:$A$63,O199,'قیمت‌ها و مفروضات'!$C$18:$C$63),SUMIF('قیمت‌ها و مفروضات'!$A$18:$A$63,O199,'قیمت‌ها و مفروضات'!$B$18:$B$63)))</f>
        <v/>
      </c>
      <c r="S199" s="178">
        <f>'قیمت‌ها و مفروضات'!$B$3+'قیمت‌ها و مفروضات'!$B$4</f>
        <v/>
      </c>
      <c r="T199" s="178">
        <f>R199+S199</f>
        <v/>
      </c>
      <c r="U199" s="178">
        <f>IF(COUNTIF($E$2:E330,E199)&gt;1,"بله (تکراری)","خیر")</f>
        <v/>
      </c>
      <c r="V199" s="178">
        <f>IF(U199="بله (تکراری)",S199,0)</f>
        <v/>
      </c>
      <c r="W199" s="208" t="inlineStr"/>
      <c r="X199" s="208" t="inlineStr"/>
    </row>
    <row r="200" ht="58.5" customHeight="1" s="151">
      <c r="A200" s="176" t="n">
        <v>100003779</v>
      </c>
      <c r="B200" s="124">
        <f>CHOOSE(_xlfn.NUMBERVALUE(MID(H200,6,2)),"فروردین","اردیبهشت","خرداد","تیر","مرداد","شهریور","مهر","آبان","آذر","دی","بهمن","اسفند")</f>
        <v/>
      </c>
      <c r="C200" s="176" t="inlineStr">
        <is>
          <t>تلویزیون</t>
        </is>
      </c>
      <c r="D200" s="176" t="inlineStr">
        <is>
          <t>CTV-65UHJS2</t>
        </is>
      </c>
      <c r="E200" s="176" t="inlineStr">
        <is>
          <t>52230004N00275</t>
        </is>
      </c>
      <c r="F200" s="173" t="inlineStr">
        <is>
          <t>قطعي صدا در اتصال تلفن همراه به تلويزيون**اياب و ذهاب به عهده شرکت</t>
        </is>
      </c>
      <c r="G200" s="173" t="inlineStr">
        <is>
          <t xml:space="preserve">قطعی صدا  در تلویزیون - خرابی مین برد </t>
        </is>
      </c>
      <c r="H200" s="176" t="inlineStr">
        <is>
          <t>1405/02/10</t>
        </is>
      </c>
      <c r="I200" s="124" t="inlineStr">
        <is>
          <t>1404/02/30</t>
        </is>
      </c>
      <c r="J200" s="124" t="inlineStr">
        <is>
          <t>1404/12/28</t>
        </is>
      </c>
      <c r="K200" s="177">
        <f>IFERROR(VLOOKUP(LEFT(H200,7),'تبدیل تاریخ'!$A$2:$B$73,2,FALSE())+VALUE(RIGHT(H200,2))-1,"")</f>
        <v/>
      </c>
      <c r="L200" s="177">
        <f>IFERROR(VLOOKUP(LEFT(I200,7),'تبدیل تاریخ'!$A$2:$B$73,2,FALSE())+VALUE(RIGHT(I200,2))-1,"")</f>
        <v/>
      </c>
      <c r="M200" s="177">
        <f>IF(J200="","",IFERROR(VLOOKUP(LEFT(J200,7),'تبدیل تاریخ'!$A$2:$B$73,2,FALSE())+VALUE(RIGHT(J200,2))-1,""))</f>
        <v/>
      </c>
      <c r="N200" s="124">
        <f>IF(OR(K200="",M200=""),"",CEILING((K200-M200)/30,1))</f>
        <v/>
      </c>
      <c r="O200" s="124">
        <f>IF(OR(ISNUMBER(SEARCH("بدون مورد",G200)),ISNUMBER(SEARCH("غير گارانتي",G200)),ISNUMBER(SEARCH("غیر گارانتی",G200)),ISNUMBER(SEARCH("بدون اجرت",G200)),ISNUMBER(SEARCH("فيلتر",G200)),ISNUMBER(SEARCH("فیلتر",G200))),"غیرگارانتی/بدون قطعه",IF(OR(ISNUMBER(SEARCH("ريست",G200)),ISNUMBER(SEARCH("ریست",G200))),"ریست نرم‌افزاری (بدون قطعه)",IF(OR(ISNUMBER(SEARCH("تعویض محصول",G200)),ISNUMBER(SEARCH("تعویض دستگاه",G200))),"تعویض کامل دستگاه (Replacement)",IF(ISNUMBER(SEARCH("پمپ",G200)),IF(ISNUMBER(SEARCH("نشت",G200)),"نشتی - پمپ تخلیه (تعمیر/آب‌بندی)","خرابی - پمپ تخلیه (تعویض)"),IF(ISNUMBER(SEARCH("کمپرسور",G200)),"خرابی - کمپرسور (تعویض)",IF(ISNUMBER(SEARCH("کمک فنر",G200)),"خرابی - کمک فنر (تعویض)",IF(ISNUMBER(SEARCH("لولا",G200)),"مکانیزم درب - لولا (تعویض)",IF(OR(ISNUMBER(SEARCH("قلاب",G200)),ISNUMBER(SEARCH("ميکروسوئيچ",G200)),ISNUMBER(SEARCH("میکروسوئیچ",G200))),"مکانیزم درب - میکروسوئیچ/قلاب (تعویض/تنظیم)",IF(ISNUMBER(SEARCH("زبانه",G200)),"مکانیزم درب - زبانه (تعویض)",IF(OR(ISNUMBER(SEARCH("شيلنگ",G200)),ISNUMBER(SEARCH("شیلنگ",G200))),IF(OR(ISNUMBER(SEARCH("نشتی",G200)),ISNUMBER(SEARCH("نشتي",G200))),"نشتی - شیلنگ (تعمیر/آب‌بندی)",IF(OR(ISNUMBER(SEARCH("يخ",G200)),ISNUMBER(SEARCH("یخ",G200))),"شیلنگ یخساز - یخ‌زدگی (بازبینی)","شیلنگ - برخورد/لهیدگی (بازبینی)")),IF(OR(ISNUMBER(SEARCH("تنظيم ديسپل",G200)),ISNUMBER(SEARCH("تنظیم دیسپل",G200)),ISNUMBER(SEARCH("تنظيم صفحه نمايش",G200)),ISNUMBER(SEARCH("تنظیم صفحه نمایش",G200))),"تنظیم - تنظیمات دستگاه/دیسپلی (تعمیر)",IF(OR(ISNUMBER(SEARCH("برد",G200)),ISNUMBER(SEARCH("سوکت",G200)),ISNUMBER(SEARCH("ديسپل",G200)),ISNUMBER(SEARCH("دیسپل",G200))),"خرابی - برد الکترونیک (تعویض)",IF(OR(ISNUMBER(SEARCH("يخساز",G200)),ISNUMBER(SEARCH("یخساز",G200)),ISNUMBER(SEARCH("دمپر",G200))),IF(OR(ISNUMBER(SEARCH("خرابی",G200)),ISNUMBER(SEARCH("خراب",G200)),ISNUMBER(SEARCH("عدم کارکرد",G200)),ISNUMBER(SEARCH("عدم عملکرد",G200))),"یخساز - خرابی موتور/سنسور/برد (تعویض)","یخساز - تنظیم/عایق (تعمیر)"),IF(OR(ISNUMBER(SEARCH("لاستيک",G200)),ISNUMBER(SEARCH("لاستیک",G200))),"لاستیک درزگیر - دفرمگی/پارگی (تعویض)",IF(OR(ISNUMBER(SEARCH("گسکت",G200)),ISNUMBER(SEARCH("گسگت",G200))),"لاستیک درزگیر - دفرمگی/پارگی (تعویض)",IF(ISNUMBER(SEARCH("مخزن نمک",G200)),"نشتی - درب مخزن نمک (تعمیر/آب‌بندی)",IF(ISNUMBER(SEARCH("براکت",G200)),"نشتی - براکت ریل (تعمیر/آب‌بندی)",IF(ISNUMBER(SEARCH("جاپودر",G200)),"نشتی - جاپودری (تعمیر/آب‌بندی)",IF(ISNUMBER(SEARCH("مقسم",G200)),"نشتی - مقسم آب (تعمیر/آب‌بندی)",IF(OR(ISNUMBER(SEARCH("سنسور دما",G200)),ISNUMBER(SEARCH("ترموستات",G200))),"خرابی - ترموستات (تعویض)",IF(OR(ISNUMBER(SEARCH("هيدروستات",G200)),ISNUMBER(SEARCH("هیدروستات",G200))),"خرابی - هیدروستات (تعویض)",IF(OR(ISNUMBER(SEARCH("بلبرينگ",G200)),ISNUMBER(SEARCH("بلبرینگ",G200))),"خرابی - بلبرینگ (تعویض)",IF(OR(ISNUMBER(SEARCH("شيربرق",G200)),ISNUMBER(SEARCH("شیربرق",G200))),"خرابی - شیربرقی (تعویض)",IF(OR(ISNUMBER(SEARCH("واتر جت",G200)),ISNUMBER(SEARCH("واترجت",G200))),"خرابی - واترجت (تعویض)",IF(OR(ISNUMBER(SEARCH("سيم",G200)),ISNUMBER(SEARCH("سیم",G200)),ISNUMBER(SEARCH("اتصال",G200))),"سیم‌کشی/اتصالات (تعویض/بازبینی)",IF(OR(ISNUMBER(SEARCH("تصوير",G200)),ISNUMBER(SEARCH("تصویر",G200))),"برد نمایش تلویزیون (تعویض)",IF(OR(ISNUMBER(SEARCH("ريموت",G200)),ISNUMBER(SEARCH("ریموت",G200))),"ریموت کنترل (تعویض/تعمیر)",IF(OR(ISNUMBER(SEARCH("ال اي دي",G200)),ISNUMBER(SEARCH("ال ای دی",G200)),ISNUMBER(SEARCH("LED",G200))),"خرابی - لامپ/LED داخلی (تعویض)",IF(ISNUMBER(SEARCH("زنگ زدگ",G200)),"زنگ‌زدگی بدنه/قطعه (تعویض)",IF(OR(ISNUMBER(SEARCH("قطعات تزئين",G200)),ISNUMBER(SEARCH("قطعات تزئین",G200))),"قطعات تزئینی - شکستگی/کسری (تعویض)",IF(ISNUMBER(SEARCH("سبد",G200)),"سبد ظرفشویی - شکستگی (تعویض)",IF(ISNUMBER(SEARCH("تاب درام",G200)),"خرابی - تاب برداشتن درام (تعویض)",IF(ISNUMBER(SEARCH("درام",G200)),"خرابی - سایر ایراد درام (تعویض)",IF(ISNUMBER(SEARCH("موتور",G200)),"خرابی - موتور (تعویض)",IF(ISNUMBER(SEARCH("تسمه",G200)),"خرابی - تسمه (تعویض)",IF(OR(ISNUMBER(SEARCH("پيچ ولوم",G200)),ISNUMBER(SEARCH("پیچ ولوم",G200))),"تنظیم - پیچ ولوم/دکمه (تعمیر)",IF(OR(ISNUMBER(SEARCH("کسري قطعات",G200)),ISNUMBER(SEARCH("کسری قطعات",G200))),"کسری قطعات تزئینی (تعویض)",IF(ISNUMBER(SEARCH("پرچ",G200)),"پرچ/بدنه کابین(تعمیر)",IF(OR(ISNUMBER(SEARCH("نشت",G200)),ISNUMBER(SEARCH("آبريزش",G200)),ISNUMBER(SEARCH("آبریزش",G200))),"نشتی آب - محل نامشخص (نیازمند بازدید)",IF(ISNUMBER(SEARCH("درب",G200)),"سایر اجزای درب (بازبینی)",IF(ISNUMBER(SEARCH("ضربه",G200)),"بدنه/کابین - ضربه (بازبینی/تعویض پنل)",IF(ISNUMBER(SEARCH("تراز",G200)),"تراز/لرزش - نصب (رگلاژ پایه)",IF(OR(ISNUMBER(SEARCH("تعویض",G200)),ISNUMBER(SEARCH("تعويض",G200))),"تعویض کامل دستگاه (Replacement)","سایر (نیازمند بررسی دستی)")))))))))))))))))))))))))))))))))))))))))))</f>
        <v/>
      </c>
      <c r="P200" s="124" t="inlineStr">
        <is>
          <t>برد تلویزیون</t>
        </is>
      </c>
      <c r="Q200" s="124">
        <f>IF(ISNUMBER(SEARCH("عهده شرکت",F200)),"شرکت",IF(ISNUMBER(SEARCH("عهده مشتري",F200)),"مشتری",IF(ISNUMBER(SEARCH("عهده مشتری",F200)),"مشتری","نامشخص")))</f>
        <v/>
      </c>
      <c r="R200" s="178">
        <f>IF(O200="تعویض کامل دستگاه (Replacement)",IF(SUMIF('قیمت‌ها و مفروضات'!$A$9:$A$13,C200,'قیمت‌ها و مفروضات'!$C$9:$C$13)&lt;&gt;0,SUMIF('قیمت‌ها و مفروضات'!$A$9:$A$13,C200,'قیمت‌ها و مفروضات'!$C$9:$C$13),SUMIF('قیمت‌ها و مفروضات'!$A$9:$A$13,C200,'قیمت‌ها و مفروضات'!$B$9:$B$13)),IF(SUMIF('قیمت‌ها و مفروضات'!$A$18:$A$63,O200,'قیمت‌ها و مفروضات'!$C$18:$C$63)&lt;&gt;0,SUMIF('قیمت‌ها و مفروضات'!$A$18:$A$63,O200,'قیمت‌ها و مفروضات'!$C$18:$C$63),SUMIF('قیمت‌ها و مفروضات'!$A$18:$A$63,O200,'قیمت‌ها و مفروضات'!$B$18:$B$63)))</f>
        <v/>
      </c>
      <c r="S200" s="178">
        <f>'قیمت‌ها و مفروضات'!$B$3+'قیمت‌ها و مفروضات'!$B$4</f>
        <v/>
      </c>
      <c r="T200" s="178">
        <f>R200+S200</f>
        <v/>
      </c>
      <c r="U200" s="178">
        <f>IF(COUNTIF($E$2:E331,E200)&gt;1,"بله (تکراری)","خیر")</f>
        <v/>
      </c>
      <c r="V200" s="178">
        <f>IF(U200="بله (تکراری)",S200,0)</f>
        <v/>
      </c>
      <c r="W200" s="208" t="inlineStr"/>
      <c r="X200" s="208" t="inlineStr"/>
    </row>
    <row r="201" ht="58.5" customHeight="1" s="151">
      <c r="A201" s="176" t="n">
        <v>810002893</v>
      </c>
      <c r="B201" s="124">
        <f>CHOOSE(_xlfn.NUMBERVALUE(MID(H201,6,2)),"فروردین","اردیبهشت","خرداد","تیر","مرداد","شهریور","مهر","آبان","آذر","دی","بهمن","اسفند")</f>
        <v/>
      </c>
      <c r="C201" s="176" t="inlineStr">
        <is>
          <t>ماشين ظرفشويي</t>
        </is>
      </c>
      <c r="D201" s="176" t="inlineStr">
        <is>
          <t>CDW-H16T</t>
        </is>
      </c>
      <c r="E201" s="176" t="inlineStr">
        <is>
          <t>52220004N04080</t>
        </is>
      </c>
      <c r="F201" s="173" t="inlineStr">
        <is>
          <t>اياب و ذهاب به عهده شرکت جمع شدن آب داخل محصول</t>
        </is>
      </c>
      <c r="G201" s="173" t="inlineStr">
        <is>
          <t>خرابي شيربرقي</t>
        </is>
      </c>
      <c r="H201" s="176" t="inlineStr">
        <is>
          <t>1405/02/17</t>
        </is>
      </c>
      <c r="I201" s="124" t="inlineStr">
        <is>
          <t>1404/08/06</t>
        </is>
      </c>
      <c r="J201" s="124" t="inlineStr">
        <is>
          <t>1405/02/17</t>
        </is>
      </c>
      <c r="K201" s="177">
        <f>IFERROR(VLOOKUP(LEFT(H201,7),'تبدیل تاریخ'!$A$2:$B$73,2,FALSE())+VALUE(RIGHT(H201,2))-1,"")</f>
        <v/>
      </c>
      <c r="L201" s="177">
        <f>IFERROR(VLOOKUP(LEFT(I201,7),'تبدیل تاریخ'!$A$2:$B$73,2,FALSE())+VALUE(RIGHT(I201,2))-1,"")</f>
        <v/>
      </c>
      <c r="M201" s="177">
        <f>IF(J201="","",IFERROR(VLOOKUP(LEFT(J201,7),'تبدیل تاریخ'!$A$2:$B$73,2,FALSE())+VALUE(RIGHT(J201,2))-1,""))</f>
        <v/>
      </c>
      <c r="N201" s="124">
        <f>IF(OR(K201="",M201=""),"",CEILING((K201-M201)/30,1))</f>
        <v/>
      </c>
      <c r="O201" s="124">
        <f>IF(OR(ISNUMBER(SEARCH("بدون مورد",G201)),ISNUMBER(SEARCH("غير گارانتي",G201)),ISNUMBER(SEARCH("غیر گارانتی",G201)),ISNUMBER(SEARCH("بدون اجرت",G201)),ISNUMBER(SEARCH("فيلتر",G201)),ISNUMBER(SEARCH("فیلتر",G201))),"غیرگارانتی/بدون قطعه",IF(OR(ISNUMBER(SEARCH("ريست",G201)),ISNUMBER(SEARCH("ریست",G201))),"ریست نرم‌افزاری (بدون قطعه)",IF(OR(ISNUMBER(SEARCH("تعویض محصول",G201)),ISNUMBER(SEARCH("تعویض دستگاه",G201))),"تعویض کامل دستگاه (Replacement)",IF(ISNUMBER(SEARCH("پمپ",G201)),IF(ISNUMBER(SEARCH("نشت",G201)),"نشتی - پمپ تخلیه (تعمیر/آب‌بندی)","خرابی - پمپ تخلیه (تعویض)"),IF(ISNUMBER(SEARCH("کمپرسور",G201)),"خرابی - کمپرسور (تعویض)",IF(ISNUMBER(SEARCH("کمک فنر",G201)),"خرابی - کمک فنر (تعویض)",IF(ISNUMBER(SEARCH("لولا",G201)),"مکانیزم درب - لولا (تعویض)",IF(OR(ISNUMBER(SEARCH("قلاب",G201)),ISNUMBER(SEARCH("ميکروسوئيچ",G201)),ISNUMBER(SEARCH("میکروسوئیچ",G201))),"مکانیزم درب - میکروسوئیچ/قلاب (تعویض/تنظیم)",IF(ISNUMBER(SEARCH("زبانه",G201)),"مکانیزم درب - زبانه (تعویض)",IF(OR(ISNUMBER(SEARCH("شيلنگ",G201)),ISNUMBER(SEARCH("شیلنگ",G201))),IF(OR(ISNUMBER(SEARCH("نشتی",G201)),ISNUMBER(SEARCH("نشتي",G201))),"نشتی - شیلنگ (تعمیر/آب‌بندی)",IF(OR(ISNUMBER(SEARCH("يخ",G201)),ISNUMBER(SEARCH("یخ",G201))),"شیلنگ یخساز - یخ‌زدگی (بازبینی)","شیلنگ - برخورد/لهیدگی (بازبینی)")),IF(OR(ISNUMBER(SEARCH("تنظيم ديسپل",G201)),ISNUMBER(SEARCH("تنظیم دیسپل",G201)),ISNUMBER(SEARCH("تنظيم صفحه نمايش",G201)),ISNUMBER(SEARCH("تنظیم صفحه نمایش",G201))),"تنظیم - تنظیمات دستگاه/دیسپلی (تعمیر)",IF(OR(ISNUMBER(SEARCH("برد",G201)),ISNUMBER(SEARCH("سوکت",G201)),ISNUMBER(SEARCH("ديسپل",G201)),ISNUMBER(SEARCH("دیسپل",G201))),"خرابی - برد الکترونیک (تعویض)",IF(OR(ISNUMBER(SEARCH("يخساز",G201)),ISNUMBER(SEARCH("یخساز",G201)),ISNUMBER(SEARCH("دمپر",G201))),IF(OR(ISNUMBER(SEARCH("خرابی",G201)),ISNUMBER(SEARCH("خراب",G201)),ISNUMBER(SEARCH("عدم کارکرد",G201)),ISNUMBER(SEARCH("عدم عملکرد",G201))),"یخساز - خرابی موتور/سنسور/برد (تعویض)","یخساز - تنظیم/عایق (تعمیر)"),IF(OR(ISNUMBER(SEARCH("لاستيک",G201)),ISNUMBER(SEARCH("لاستیک",G201))),"لاستیک درزگیر - دفرمگی/پارگی (تعویض)",IF(OR(ISNUMBER(SEARCH("گسکت",G201)),ISNUMBER(SEARCH("گسگت",G201))),"لاستیک درزگیر - دفرمگی/پارگی (تعویض)",IF(ISNUMBER(SEARCH("مخزن نمک",G201)),"نشتی - درب مخزن نمک (تعمیر/آب‌بندی)",IF(ISNUMBER(SEARCH("براکت",G201)),"نشتی - براکت ریل (تعمیر/آب‌بندی)",IF(ISNUMBER(SEARCH("جاپودر",G201)),"نشتی - جاپودری (تعمیر/آب‌بندی)",IF(ISNUMBER(SEARCH("مقسم",G201)),"نشتی - مقسم آب (تعمیر/آب‌بندی)",IF(OR(ISNUMBER(SEARCH("سنسور دما",G201)),ISNUMBER(SEARCH("ترموستات",G201))),"خرابی - ترموستات (تعویض)",IF(OR(ISNUMBER(SEARCH("هيدروستات",G201)),ISNUMBER(SEARCH("هیدروستات",G201))),"خرابی - هیدروستات (تعویض)",IF(OR(ISNUMBER(SEARCH("بلبرينگ",G201)),ISNUMBER(SEARCH("بلبرینگ",G201))),"خرابی - بلبرینگ (تعویض)",IF(OR(ISNUMBER(SEARCH("شيربرق",G201)),ISNUMBER(SEARCH("شیربرق",G201))),"خرابی - شیربرقی (تعویض)",IF(OR(ISNUMBER(SEARCH("واتر جت",G201)),ISNUMBER(SEARCH("واترجت",G201))),"خرابی - واترجت (تعویض)",IF(OR(ISNUMBER(SEARCH("سيم",G201)),ISNUMBER(SEARCH("سیم",G201)),ISNUMBER(SEARCH("اتصال",G201))),"سیم‌کشی/اتصالات (تعویض/بازبینی)",IF(OR(ISNUMBER(SEARCH("تصوير",G201)),ISNUMBER(SEARCH("تصویر",G201))),"برد نمایش تلویزیون (تعویض)",IF(OR(ISNUMBER(SEARCH("ريموت",G201)),ISNUMBER(SEARCH("ریموت",G201))),"ریموت کنترل (تعویض/تعمیر)",IF(OR(ISNUMBER(SEARCH("ال اي دي",G201)),ISNUMBER(SEARCH("ال ای دی",G201)),ISNUMBER(SEARCH("LED",G201))),"خرابی - لامپ/LED داخلی (تعویض)",IF(ISNUMBER(SEARCH("زنگ زدگ",G201)),"زنگ‌زدگی بدنه/قطعه (تعویض)",IF(OR(ISNUMBER(SEARCH("قطعات تزئين",G201)),ISNUMBER(SEARCH("قطعات تزئین",G201))),"قطعات تزئینی - شکستگی/کسری (تعویض)",IF(ISNUMBER(SEARCH("سبد",G201)),"سبد ظرفشویی - شکستگی (تعویض)",IF(ISNUMBER(SEARCH("تاب درام",G201)),"خرابی - تاب برداشتن درام (تعویض)",IF(ISNUMBER(SEARCH("درام",G201)),"خرابی - سایر ایراد درام (تعویض)",IF(ISNUMBER(SEARCH("موتور",G201)),"خرابی - موتور (تعویض)",IF(ISNUMBER(SEARCH("تسمه",G201)),"خرابی - تسمه (تعویض)",IF(OR(ISNUMBER(SEARCH("پيچ ولوم",G201)),ISNUMBER(SEARCH("پیچ ولوم",G201))),"تنظیم - پیچ ولوم/دکمه (تعمیر)",IF(OR(ISNUMBER(SEARCH("کسري قطعات",G201)),ISNUMBER(SEARCH("کسری قطعات",G201))),"کسری قطعات تزئینی (تعویض)",IF(ISNUMBER(SEARCH("پرچ",G201)),"پرچ/بدنه کابین(تعمیر)",IF(OR(ISNUMBER(SEARCH("نشت",G201)),ISNUMBER(SEARCH("آبريزش",G201)),ISNUMBER(SEARCH("آبریزش",G201))),"نشتی آب - محل نامشخص (نیازمند بازدید)",IF(ISNUMBER(SEARCH("درب",G201)),"سایر اجزای درب (بازبینی)",IF(ISNUMBER(SEARCH("ضربه",G201)),"بدنه/کابین - ضربه (بازبینی/تعویض پنل)",IF(ISNUMBER(SEARCH("تراز",G201)),"تراز/لرزش - نصب (رگلاژ پایه)",IF(OR(ISNUMBER(SEARCH("تعویض",G201)),ISNUMBER(SEARCH("تعويض",G201))),"تعویض کامل دستگاه (Replacement)","سایر (نیازمند بررسی دستی)")))))))))))))))))))))))))))))))))))))))))))</f>
        <v/>
      </c>
      <c r="P201" s="124" t="inlineStr">
        <is>
          <t>شیر برقی ظرفشویی</t>
        </is>
      </c>
      <c r="Q201" s="124">
        <f>IF(ISNUMBER(SEARCH("عهده شرکت",F201)),"شرکت",IF(ISNUMBER(SEARCH("عهده مشتري",F201)),"مشتری",IF(ISNUMBER(SEARCH("عهده مشتری",F201)),"مشتری","نامشخص")))</f>
        <v/>
      </c>
      <c r="R201" s="178">
        <f>IF(O201="تعویض کامل دستگاه (Replacement)",IF(SUMIF('قیمت‌ها و مفروضات'!$A$9:$A$13,C201,'قیمت‌ها و مفروضات'!$C$9:$C$13)&lt;&gt;0,SUMIF('قیمت‌ها و مفروضات'!$A$9:$A$13,C201,'قیمت‌ها و مفروضات'!$C$9:$C$13),SUMIF('قیمت‌ها و مفروضات'!$A$9:$A$13,C201,'قیمت‌ها و مفروضات'!$B$9:$B$13)),IF(SUMIF('قیمت‌ها و مفروضات'!$A$18:$A$63,O201,'قیمت‌ها و مفروضات'!$C$18:$C$63)&lt;&gt;0,SUMIF('قیمت‌ها و مفروضات'!$A$18:$A$63,O201,'قیمت‌ها و مفروضات'!$C$18:$C$63),SUMIF('قیمت‌ها و مفروضات'!$A$18:$A$63,O201,'قیمت‌ها و مفروضات'!$B$18:$B$63)))</f>
        <v/>
      </c>
      <c r="S201" s="178">
        <f>'قیمت‌ها و مفروضات'!$B$3+'قیمت‌ها و مفروضات'!$B$4</f>
        <v/>
      </c>
      <c r="T201" s="178">
        <f>R201+S201</f>
        <v/>
      </c>
      <c r="U201" s="178">
        <f>IF(COUNTIF($E$2:E332,E201)&gt;1,"بله (تکراری)","خیر")</f>
        <v/>
      </c>
      <c r="V201" s="178">
        <f>IF(U201="بله (تکراری)",S201,0)</f>
        <v/>
      </c>
      <c r="W201" s="208" t="inlineStr"/>
      <c r="X201" s="208" t="inlineStr"/>
    </row>
    <row r="202" ht="58.5" customHeight="1" s="151">
      <c r="A202" s="176" t="n">
        <v>210006698</v>
      </c>
      <c r="B202" s="124">
        <f>CHOOSE(_xlfn.NUMBERVALUE(MID(H202,6,2)),"فروردین","اردیبهشت","خرداد","تیر","مرداد","شهریور","مهر","آبان","آذر","دی","بهمن","اسفند")</f>
        <v/>
      </c>
      <c r="C202" s="176" t="inlineStr">
        <is>
          <t>ماشين لباسشويي</t>
        </is>
      </c>
      <c r="D202" s="176" t="inlineStr">
        <is>
          <t>CWM-BMW9T1</t>
        </is>
      </c>
      <c r="E202" s="176" t="inlineStr">
        <is>
          <t>52210007N01041</t>
        </is>
      </c>
      <c r="F202" s="173" t="inlineStr">
        <is>
          <t>ريزش آب از درب**اياب و ذهاب به عهده شرکت</t>
        </is>
      </c>
      <c r="G202" s="173" t="inlineStr">
        <is>
          <t>نشتي از لاستيک دور درب</t>
        </is>
      </c>
      <c r="H202" s="176" t="inlineStr">
        <is>
          <t>1405/02/16</t>
        </is>
      </c>
      <c r="I202" s="124" t="inlineStr">
        <is>
          <t>1404/03/21</t>
        </is>
      </c>
      <c r="J202" s="124" t="inlineStr">
        <is>
          <t>1404/06/03</t>
        </is>
      </c>
      <c r="K202" s="177">
        <f>IFERROR(VLOOKUP(LEFT(H202,7),'تبدیل تاریخ'!$A$2:$B$73,2,FALSE())+VALUE(RIGHT(H202,2))-1,"")</f>
        <v/>
      </c>
      <c r="L202" s="177">
        <f>IFERROR(VLOOKUP(LEFT(I202,7),'تبدیل تاریخ'!$A$2:$B$73,2,FALSE())+VALUE(RIGHT(I202,2))-1,"")</f>
        <v/>
      </c>
      <c r="M202" s="177">
        <f>IF(J202="","",IFERROR(VLOOKUP(LEFT(J202,7),'تبدیل تاریخ'!$A$2:$B$73,2,FALSE())+VALUE(RIGHT(J202,2))-1,""))</f>
        <v/>
      </c>
      <c r="N202" s="124">
        <f>IF(OR(K202="",M202=""),"",CEILING((K202-M202)/30,1))</f>
        <v/>
      </c>
      <c r="O202" s="124">
        <f>IF(OR(ISNUMBER(SEARCH("بدون مورد",G202)),ISNUMBER(SEARCH("غير گارانتي",G202)),ISNUMBER(SEARCH("غیر گارانتی",G202)),ISNUMBER(SEARCH("بدون اجرت",G202)),ISNUMBER(SEARCH("فيلتر",G202)),ISNUMBER(SEARCH("فیلتر",G202))),"غیرگارانتی/بدون قطعه",IF(OR(ISNUMBER(SEARCH("ريست",G202)),ISNUMBER(SEARCH("ریست",G202))),"ریست نرم‌افزاری (بدون قطعه)",IF(OR(ISNUMBER(SEARCH("تعویض محصول",G202)),ISNUMBER(SEARCH("تعویض دستگاه",G202))),"تعویض کامل دستگاه (Replacement)",IF(ISNUMBER(SEARCH("پمپ",G202)),IF(ISNUMBER(SEARCH("نشت",G202)),"نشتی - پمپ تخلیه (تعمیر/آب‌بندی)","خرابی - پمپ تخلیه (تعویض)"),IF(ISNUMBER(SEARCH("کمپرسور",G202)),"خرابی - کمپرسور (تعویض)",IF(ISNUMBER(SEARCH("کمک فنر",G202)),"خرابی - کمک فنر (تعویض)",IF(ISNUMBER(SEARCH("لولا",G202)),"مکانیزم درب - لولا (تعویض)",IF(OR(ISNUMBER(SEARCH("قلاب",G202)),ISNUMBER(SEARCH("ميکروسوئيچ",G202)),ISNUMBER(SEARCH("میکروسوئیچ",G202))),"مکانیزم درب - میکروسوئیچ/قلاب (تعویض/تنظیم)",IF(ISNUMBER(SEARCH("زبانه",G202)),"مکانیزم درب - زبانه (تعویض)",IF(OR(ISNUMBER(SEARCH("شيلنگ",G202)),ISNUMBER(SEARCH("شیلنگ",G202))),IF(OR(ISNUMBER(SEARCH("نشتی",G202)),ISNUMBER(SEARCH("نشتي",G202))),"نشتی - شیلنگ (تعمیر/آب‌بندی)",IF(OR(ISNUMBER(SEARCH("يخ",G202)),ISNUMBER(SEARCH("یخ",G202))),"شیلنگ یخساز - یخ‌زدگی (بازبینی)","شیلنگ - برخورد/لهیدگی (بازبینی)")),IF(OR(ISNUMBER(SEARCH("تنظيم ديسپل",G202)),ISNUMBER(SEARCH("تنظیم دیسپل",G202)),ISNUMBER(SEARCH("تنظيم صفحه نمايش",G202)),ISNUMBER(SEARCH("تنظیم صفحه نمایش",G202))),"تنظیم - تنظیمات دستگاه/دیسپلی (تعمیر)",IF(OR(ISNUMBER(SEARCH("برد",G202)),ISNUMBER(SEARCH("سوکت",G202)),ISNUMBER(SEARCH("ديسپل",G202)),ISNUMBER(SEARCH("دیسپل",G202))),"خرابی - برد الکترونیک (تعویض)",IF(OR(ISNUMBER(SEARCH("يخساز",G202)),ISNUMBER(SEARCH("یخساز",G202)),ISNUMBER(SEARCH("دمپر",G202))),IF(OR(ISNUMBER(SEARCH("خرابی",G202)),ISNUMBER(SEARCH("خراب",G202)),ISNUMBER(SEARCH("عدم کارکرد",G202)),ISNUMBER(SEARCH("عدم عملکرد",G202))),"یخساز - خرابی موتور/سنسور/برد (تعویض)","یخساز - تنظیم/عایق (تعمیر)"),IF(OR(ISNUMBER(SEARCH("لاستيک",G202)),ISNUMBER(SEARCH("لاستیک",G202))),"لاستیک درزگیر - دفرمگی/پارگی (تعویض)",IF(OR(ISNUMBER(SEARCH("گسکت",G202)),ISNUMBER(SEARCH("گسگت",G202))),"لاستیک درزگیر - دفرمگی/پارگی (تعویض)",IF(ISNUMBER(SEARCH("مخزن نمک",G202)),"نشتی - درب مخزن نمک (تعمیر/آب‌بندی)",IF(ISNUMBER(SEARCH("براکت",G202)),"نشتی - براکت ریل (تعمیر/آب‌بندی)",IF(ISNUMBER(SEARCH("جاپودر",G202)),"نشتی - جاپودری (تعمیر/آب‌بندی)",IF(ISNUMBER(SEARCH("مقسم",G202)),"نشتی - مقسم آب (تعمیر/آب‌بندی)",IF(OR(ISNUMBER(SEARCH("سنسور دما",G202)),ISNUMBER(SEARCH("ترموستات",G202))),"خرابی - ترموستات (تعویض)",IF(OR(ISNUMBER(SEARCH("هيدروستات",G202)),ISNUMBER(SEARCH("هیدروستات",G202))),"خرابی - هیدروستات (تعویض)",IF(OR(ISNUMBER(SEARCH("بلبرينگ",G202)),ISNUMBER(SEARCH("بلبرینگ",G202))),"خرابی - بلبرینگ (تعویض)",IF(OR(ISNUMBER(SEARCH("شيربرق",G202)),ISNUMBER(SEARCH("شیربرق",G202))),"خرابی - شیربرقی (تعویض)",IF(OR(ISNUMBER(SEARCH("واتر جت",G202)),ISNUMBER(SEARCH("واترجت",G202))),"خرابی - واترجت (تعویض)",IF(OR(ISNUMBER(SEARCH("سيم",G202)),ISNUMBER(SEARCH("سیم",G202)),ISNUMBER(SEARCH("اتصال",G202))),"سیم‌کشی/اتصالات (تعویض/بازبینی)",IF(OR(ISNUMBER(SEARCH("تصوير",G202)),ISNUMBER(SEARCH("تصویر",G202))),"برد نمایش تلویزیون (تعویض)",IF(OR(ISNUMBER(SEARCH("ريموت",G202)),ISNUMBER(SEARCH("ریموت",G202))),"ریموت کنترل (تعویض/تعمیر)",IF(OR(ISNUMBER(SEARCH("ال اي دي",G202)),ISNUMBER(SEARCH("ال ای دی",G202)),ISNUMBER(SEARCH("LED",G202))),"خرابی - لامپ/LED داخلی (تعویض)",IF(ISNUMBER(SEARCH("زنگ زدگ",G202)),"زنگ‌زدگی بدنه/قطعه (تعویض)",IF(OR(ISNUMBER(SEARCH("قطعات تزئين",G202)),ISNUMBER(SEARCH("قطعات تزئین",G202))),"قطعات تزئینی - شکستگی/کسری (تعویض)",IF(ISNUMBER(SEARCH("سبد",G202)),"سبد ظرفشویی - شکستگی (تعویض)",IF(ISNUMBER(SEARCH("تاب درام",G202)),"خرابی - تاب برداشتن درام (تعویض)",IF(ISNUMBER(SEARCH("درام",G202)),"خرابی - سایر ایراد درام (تعویض)",IF(ISNUMBER(SEARCH("موتور",G202)),"خرابی - موتور (تعویض)",IF(ISNUMBER(SEARCH("تسمه",G202)),"خرابی - تسمه (تعویض)",IF(OR(ISNUMBER(SEARCH("پيچ ولوم",G202)),ISNUMBER(SEARCH("پیچ ولوم",G202))),"تنظیم - پیچ ولوم/دکمه (تعمیر)",IF(OR(ISNUMBER(SEARCH("کسري قطعات",G202)),ISNUMBER(SEARCH("کسری قطعات",G202))),"کسری قطعات تزئینی (تعویض)",IF(ISNUMBER(SEARCH("پرچ",G202)),"پرچ/بدنه کابین(تعمیر)",IF(OR(ISNUMBER(SEARCH("نشت",G202)),ISNUMBER(SEARCH("آبريزش",G202)),ISNUMBER(SEARCH("آبریزش",G202))),"نشتی آب - محل نامشخص (نیازمند بازدید)",IF(ISNUMBER(SEARCH("درب",G202)),"سایر اجزای درب (بازبینی)",IF(ISNUMBER(SEARCH("ضربه",G202)),"بدنه/کابین - ضربه (بازبینی/تعویض پنل)",IF(ISNUMBER(SEARCH("تراز",G202)),"تراز/لرزش - نصب (رگلاژ پایه)",IF(OR(ISNUMBER(SEARCH("تعویض",G202)),ISNUMBER(SEARCH("تعويض",G202))),"تعویض کامل دستگاه (Replacement)","سایر (نیازمند بررسی دستی)")))))))))))))))))))))))))))))))))))))))))))</f>
        <v/>
      </c>
      <c r="P202" s="124" t="inlineStr">
        <is>
          <t>*</t>
        </is>
      </c>
      <c r="Q202" s="124">
        <f>IF(ISNUMBER(SEARCH("عهده شرکت",F202)),"شرکت",IF(ISNUMBER(SEARCH("عهده مشتري",F202)),"مشتری",IF(ISNUMBER(SEARCH("عهده مشتری",F202)),"مشتری","نامشخص")))</f>
        <v/>
      </c>
      <c r="R202" s="178">
        <f>IF(O202="تعویض کامل دستگاه (Replacement)",IF(SUMIF('قیمت‌ها و مفروضات'!$A$9:$A$13,C202,'قیمت‌ها و مفروضات'!$C$9:$C$13)&lt;&gt;0,SUMIF('قیمت‌ها و مفروضات'!$A$9:$A$13,C202,'قیمت‌ها و مفروضات'!$C$9:$C$13),SUMIF('قیمت‌ها و مفروضات'!$A$9:$A$13,C202,'قیمت‌ها و مفروضات'!$B$9:$B$13)),IF(SUMIF('قیمت‌ها و مفروضات'!$A$18:$A$63,O202,'قیمت‌ها و مفروضات'!$C$18:$C$63)&lt;&gt;0,SUMIF('قیمت‌ها و مفروضات'!$A$18:$A$63,O202,'قیمت‌ها و مفروضات'!$C$18:$C$63),SUMIF('قیمت‌ها و مفروضات'!$A$18:$A$63,O202,'قیمت‌ها و مفروضات'!$B$18:$B$63)))</f>
        <v/>
      </c>
      <c r="S202" s="178">
        <f>'قیمت‌ها و مفروضات'!$B$3+'قیمت‌ها و مفروضات'!$B$4</f>
        <v/>
      </c>
      <c r="T202" s="178">
        <f>R202+S202</f>
        <v/>
      </c>
      <c r="U202" s="178">
        <f>IF(COUNTIF($E$2:E333,E202)&gt;1,"بله (تکراری)","خیر")</f>
        <v/>
      </c>
      <c r="V202" s="178">
        <f>IF(U202="بله (تکراری)",S202,0)</f>
        <v/>
      </c>
      <c r="W202" s="208" t="inlineStr"/>
      <c r="X202" s="208" t="inlineStr"/>
    </row>
    <row r="203" ht="58.5" customHeight="1" s="151">
      <c r="A203" s="176" t="n">
        <v>210014741</v>
      </c>
      <c r="B203" s="124">
        <f>CHOOSE(_xlfn.NUMBERVALUE(MID(H203,6,2)),"فروردین","اردیبهشت","خرداد","تیر","مرداد","شهریور","مهر","آبان","آذر","دی","بهمن","اسفند")</f>
        <v/>
      </c>
      <c r="C203" s="176" t="inlineStr">
        <is>
          <t>ماشين لباسشويي</t>
        </is>
      </c>
      <c r="D203" s="176" t="inlineStr">
        <is>
          <t>CWM-BMW8V1</t>
        </is>
      </c>
      <c r="E203" s="176" t="inlineStr">
        <is>
          <t>210100004N00012</t>
        </is>
      </c>
      <c r="F203" s="173" t="inlineStr">
        <is>
          <t>عدم عملکرد کليدهاي ديسپلي اياب و ذهاب به عهده مشتري</t>
        </is>
      </c>
      <c r="G203" s="173" t="inlineStr">
        <is>
          <t>خرابي برد - عدم عملکرد کليدهاي ديسپلي</t>
        </is>
      </c>
      <c r="H203" s="176" t="inlineStr">
        <is>
          <t>1405/02/17</t>
        </is>
      </c>
      <c r="I203" s="124" t="inlineStr">
        <is>
          <t>1402/08/09</t>
        </is>
      </c>
      <c r="J203" s="124" t="inlineStr">
        <is>
          <t>1403/02/04</t>
        </is>
      </c>
      <c r="K203" s="177">
        <f>IFERROR(VLOOKUP(LEFT(H203,7),'تبدیل تاریخ'!$A$2:$B$73,2,FALSE())+VALUE(RIGHT(H203,2))-1,"")</f>
        <v/>
      </c>
      <c r="L203" s="177">
        <f>IFERROR(VLOOKUP(LEFT(I203,7),'تبدیل تاریخ'!$A$2:$B$73,2,FALSE())+VALUE(RIGHT(I203,2))-1,"")</f>
        <v/>
      </c>
      <c r="M203" s="177">
        <f>IF(J203="","",IFERROR(VLOOKUP(LEFT(J203,7),'تبدیل تاریخ'!$A$2:$B$73,2,FALSE())+VALUE(RIGHT(J203,2))-1,""))</f>
        <v/>
      </c>
      <c r="N203" s="124">
        <f>IF(OR(K203="",M203=""),"",CEILING((K203-M203)/30,1))</f>
        <v/>
      </c>
      <c r="O203" s="124">
        <f>IF(OR(ISNUMBER(SEARCH("بدون مورد",G203)),ISNUMBER(SEARCH("غير گارانتي",G203)),ISNUMBER(SEARCH("غیر گارانتی",G203)),ISNUMBER(SEARCH("بدون اجرت",G203)),ISNUMBER(SEARCH("فيلتر",G203)),ISNUMBER(SEARCH("فیلتر",G203))),"غیرگارانتی/بدون قطعه",IF(OR(ISNUMBER(SEARCH("ريست",G203)),ISNUMBER(SEARCH("ریست",G203))),"ریست نرم‌افزاری (بدون قطعه)",IF(OR(ISNUMBER(SEARCH("تعویض محصول",G203)),ISNUMBER(SEARCH("تعویض دستگاه",G203))),"تعویض کامل دستگاه (Replacement)",IF(ISNUMBER(SEARCH("پمپ",G203)),IF(ISNUMBER(SEARCH("نشت",G203)),"نشتی - پمپ تخلیه (تعمیر/آب‌بندی)","خرابی - پمپ تخلیه (تعویض)"),IF(ISNUMBER(SEARCH("کمپرسور",G203)),"خرابی - کمپرسور (تعویض)",IF(ISNUMBER(SEARCH("کمک فنر",G203)),"خرابی - کمک فنر (تعویض)",IF(ISNUMBER(SEARCH("لولا",G203)),"مکانیزم درب - لولا (تعویض)",IF(OR(ISNUMBER(SEARCH("قلاب",G203)),ISNUMBER(SEARCH("ميکروسوئيچ",G203)),ISNUMBER(SEARCH("میکروسوئیچ",G203))),"مکانیزم درب - میکروسوئیچ/قلاب (تعویض/تنظیم)",IF(ISNUMBER(SEARCH("زبانه",G203)),"مکانیزم درب - زبانه (تعویض)",IF(OR(ISNUMBER(SEARCH("شيلنگ",G203)),ISNUMBER(SEARCH("شیلنگ",G203))),IF(OR(ISNUMBER(SEARCH("نشتی",G203)),ISNUMBER(SEARCH("نشتي",G203))),"نشتی - شیلنگ (تعمیر/آب‌بندی)",IF(OR(ISNUMBER(SEARCH("يخ",G203)),ISNUMBER(SEARCH("یخ",G203))),"شیلنگ یخساز - یخ‌زدگی (بازبینی)","شیلنگ - برخورد/لهیدگی (بازبینی)")),IF(OR(ISNUMBER(SEARCH("تنظيم ديسپل",G203)),ISNUMBER(SEARCH("تنظیم دیسپل",G203)),ISNUMBER(SEARCH("تنظيم صفحه نمايش",G203)),ISNUMBER(SEARCH("تنظیم صفحه نمایش",G203))),"تنظیم - تنظیمات دستگاه/دیسپلی (تعمیر)",IF(OR(ISNUMBER(SEARCH("برد",G203)),ISNUMBER(SEARCH("سوکت",G203)),ISNUMBER(SEARCH("ديسپل",G203)),ISNUMBER(SEARCH("دیسپل",G203))),"خرابی - برد الکترونیک (تعویض)",IF(OR(ISNUMBER(SEARCH("يخساز",G203)),ISNUMBER(SEARCH("یخساز",G203)),ISNUMBER(SEARCH("دمپر",G203))),IF(OR(ISNUMBER(SEARCH("خرابی",G203)),ISNUMBER(SEARCH("خراب",G203)),ISNUMBER(SEARCH("عدم کارکرد",G203)),ISNUMBER(SEARCH("عدم عملکرد",G203))),"یخساز - خرابی موتور/سنسور/برد (تعویض)","یخساز - تنظیم/عایق (تعمیر)"),IF(OR(ISNUMBER(SEARCH("لاستيک",G203)),ISNUMBER(SEARCH("لاستیک",G203))),"لاستیک درزگیر - دفرمگی/پارگی (تعویض)",IF(OR(ISNUMBER(SEARCH("گسکت",G203)),ISNUMBER(SEARCH("گسگت",G203))),"لاستیک درزگیر - دفرمگی/پارگی (تعویض)",IF(ISNUMBER(SEARCH("مخزن نمک",G203)),"نشتی - درب مخزن نمک (تعمیر/آب‌بندی)",IF(ISNUMBER(SEARCH("براکت",G203)),"نشتی - براکت ریل (تعمیر/آب‌بندی)",IF(ISNUMBER(SEARCH("جاپودر",G203)),"نشتی - جاپودری (تعمیر/آب‌بندی)",IF(ISNUMBER(SEARCH("مقسم",G203)),"نشتی - مقسم آب (تعمیر/آب‌بندی)",IF(OR(ISNUMBER(SEARCH("سنسور دما",G203)),ISNUMBER(SEARCH("ترموستات",G203))),"خرابی - ترموستات (تعویض)",IF(OR(ISNUMBER(SEARCH("هيدروستات",G203)),ISNUMBER(SEARCH("هیدروستات",G203))),"خرابی - هیدروستات (تعویض)",IF(OR(ISNUMBER(SEARCH("بلبرينگ",G203)),ISNUMBER(SEARCH("بلبرینگ",G203))),"خرابی - بلبرینگ (تعویض)",IF(OR(ISNUMBER(SEARCH("شيربرق",G203)),ISNUMBER(SEARCH("شیربرق",G203))),"خرابی - شیربرقی (تعویض)",IF(OR(ISNUMBER(SEARCH("واتر جت",G203)),ISNUMBER(SEARCH("واترجت",G203))),"خرابی - واترجت (تعویض)",IF(OR(ISNUMBER(SEARCH("سيم",G203)),ISNUMBER(SEARCH("سیم",G203)),ISNUMBER(SEARCH("اتصال",G203))),"سیم‌کشی/اتصالات (تعویض/بازبینی)",IF(OR(ISNUMBER(SEARCH("تصوير",G203)),ISNUMBER(SEARCH("تصویر",G203))),"برد نمایش تلویزیون (تعویض)",IF(OR(ISNUMBER(SEARCH("ريموت",G203)),ISNUMBER(SEARCH("ریموت",G203))),"ریموت کنترل (تعویض/تعمیر)",IF(OR(ISNUMBER(SEARCH("ال اي دي",G203)),ISNUMBER(SEARCH("ال ای دی",G203)),ISNUMBER(SEARCH("LED",G203))),"خرابی - لامپ/LED داخلی (تعویض)",IF(ISNUMBER(SEARCH("زنگ زدگ",G203)),"زنگ‌زدگی بدنه/قطعه (تعویض)",IF(OR(ISNUMBER(SEARCH("قطعات تزئين",G203)),ISNUMBER(SEARCH("قطعات تزئین",G203))),"قطعات تزئینی - شکستگی/کسری (تعویض)",IF(ISNUMBER(SEARCH("سبد",G203)),"سبد ظرفشویی - شکستگی (تعویض)",IF(ISNUMBER(SEARCH("تاب درام",G203)),"خرابی - تاب برداشتن درام (تعویض)",IF(ISNUMBER(SEARCH("درام",G203)),"خرابی - سایر ایراد درام (تعویض)",IF(ISNUMBER(SEARCH("موتور",G203)),"خرابی - موتور (تعویض)",IF(ISNUMBER(SEARCH("تسمه",G203)),"خرابی - تسمه (تعویض)",IF(OR(ISNUMBER(SEARCH("پيچ ولوم",G203)),ISNUMBER(SEARCH("پیچ ولوم",G203))),"تنظیم - پیچ ولوم/دکمه (تعمیر)",IF(OR(ISNUMBER(SEARCH("کسري قطعات",G203)),ISNUMBER(SEARCH("کسری قطعات",G203))),"کسری قطعات تزئینی (تعویض)",IF(ISNUMBER(SEARCH("پرچ",G203)),"پرچ/بدنه کابین(تعمیر)",IF(OR(ISNUMBER(SEARCH("نشت",G203)),ISNUMBER(SEARCH("آبريزش",G203)),ISNUMBER(SEARCH("آبریزش",G203))),"نشتی آب - محل نامشخص (نیازمند بازدید)",IF(ISNUMBER(SEARCH("درب",G203)),"سایر اجزای درب (بازبینی)",IF(ISNUMBER(SEARCH("ضربه",G203)),"بدنه/کابین - ضربه (بازبینی/تعویض پنل)",IF(ISNUMBER(SEARCH("تراز",G203)),"تراز/لرزش - نصب (رگلاژ پایه)",IF(OR(ISNUMBER(SEARCH("تعویض",G203)),ISNUMBER(SEARCH("تعويض",G203))),"تعویض کامل دستگاه (Replacement)","سایر (نیازمند بررسی دستی)")))))))))))))))))))))))))))))))))))))))))))</f>
        <v/>
      </c>
      <c r="P203" s="124" t="inlineStr">
        <is>
          <t>برد لباسشویی</t>
        </is>
      </c>
      <c r="Q203" s="124">
        <f>IF(ISNUMBER(SEARCH("عهده شرکت",F203)),"شرکت",IF(ISNUMBER(SEARCH("عهده مشتري",F203)),"مشتری",IF(ISNUMBER(SEARCH("عهده مشتری",F203)),"مشتری","نامشخص")))</f>
        <v/>
      </c>
      <c r="R203" s="178">
        <f>IF(O203="تعویض کامل دستگاه (Replacement)",IF(SUMIF('قیمت‌ها و مفروضات'!$A$9:$A$13,C203,'قیمت‌ها و مفروضات'!$C$9:$C$13)&lt;&gt;0,SUMIF('قیمت‌ها و مفروضات'!$A$9:$A$13,C203,'قیمت‌ها و مفروضات'!$C$9:$C$13),SUMIF('قیمت‌ها و مفروضات'!$A$9:$A$13,C203,'قیمت‌ها و مفروضات'!$B$9:$B$13)),IF(SUMIF('قیمت‌ها و مفروضات'!$A$18:$A$63,O203,'قیمت‌ها و مفروضات'!$C$18:$C$63)&lt;&gt;0,SUMIF('قیمت‌ها و مفروضات'!$A$18:$A$63,O203,'قیمت‌ها و مفروضات'!$C$18:$C$63),SUMIF('قیمت‌ها و مفروضات'!$A$18:$A$63,O203,'قیمت‌ها و مفروضات'!$B$18:$B$63)))</f>
        <v/>
      </c>
      <c r="S203" s="178">
        <f>'قیمت‌ها و مفروضات'!$B$3+'قیمت‌ها و مفروضات'!$B$4</f>
        <v/>
      </c>
      <c r="T203" s="178">
        <f>R203+S203</f>
        <v/>
      </c>
      <c r="U203" s="178">
        <f>IF(COUNTIF($E$2:E334,E203)&gt;1,"بله (تکراری)","خیر")</f>
        <v/>
      </c>
      <c r="V203" s="178">
        <f>IF(U203="بله (تکراری)",S203,0)</f>
        <v/>
      </c>
      <c r="W203" s="208" t="inlineStr"/>
      <c r="X203" s="208" t="inlineStr"/>
    </row>
    <row r="204" ht="58.5" customHeight="1" s="151">
      <c r="A204" s="176" t="n">
        <v>210009809</v>
      </c>
      <c r="B204" s="124">
        <f>CHOOSE(_xlfn.NUMBERVALUE(MID(H204,6,2)),"فروردین","اردیبهشت","خرداد","تیر","مرداد","شهریور","مهر","آبان","آذر","دی","بهمن","اسفند")</f>
        <v/>
      </c>
      <c r="C204" s="176" t="inlineStr">
        <is>
          <t>يخچال ميني</t>
        </is>
      </c>
      <c r="D204" s="176" t="inlineStr">
        <is>
          <t>CM-RS5RE1</t>
        </is>
      </c>
      <c r="E204" s="176" t="inlineStr">
        <is>
          <t>52240003N01096</t>
        </is>
      </c>
      <c r="F204" s="173" t="inlineStr">
        <is>
          <t>خاموش بودن LED کاور / سقفي**اياب و ذهاب به عهده شرکت</t>
        </is>
      </c>
      <c r="G204" s="173" t="inlineStr">
        <is>
          <t>خرابي ال اي دي داخل کابين - يخچال ميني</t>
        </is>
      </c>
      <c r="H204" s="176" t="inlineStr">
        <is>
          <t>1405/02/28</t>
        </is>
      </c>
      <c r="I204" s="124" t="inlineStr">
        <is>
          <t>1403/12/16</t>
        </is>
      </c>
      <c r="J204" s="124" t="inlineStr">
        <is>
          <t>1404/06/29</t>
        </is>
      </c>
      <c r="K204" s="177">
        <f>IFERROR(VLOOKUP(LEFT(H204,7),'تبدیل تاریخ'!$A$2:$B$73,2,FALSE())+VALUE(RIGHT(H204,2))-1,"")</f>
        <v/>
      </c>
      <c r="L204" s="177">
        <f>IFERROR(VLOOKUP(LEFT(I204,7),'تبدیل تاریخ'!$A$2:$B$73,2,FALSE())+VALUE(RIGHT(I204,2))-1,"")</f>
        <v/>
      </c>
      <c r="M204" s="177">
        <f>IF(J204="","",IFERROR(VLOOKUP(LEFT(J204,7),'تبدیل تاریخ'!$A$2:$B$73,2,FALSE())+VALUE(RIGHT(J204,2))-1,""))</f>
        <v/>
      </c>
      <c r="N204" s="124">
        <f>IF(OR(K204="",M204=""),"",CEILING((K204-M204)/30,1))</f>
        <v/>
      </c>
      <c r="O204" s="124">
        <f>IF(OR(ISNUMBER(SEARCH("بدون مورد",G204)),ISNUMBER(SEARCH("غير گارانتي",G204)),ISNUMBER(SEARCH("غیر گارانتی",G204)),ISNUMBER(SEARCH("بدون اجرت",G204)),ISNUMBER(SEARCH("فيلتر",G204)),ISNUMBER(SEARCH("فیلتر",G204))),"غیرگارانتی/بدون قطعه",IF(OR(ISNUMBER(SEARCH("ريست",G204)),ISNUMBER(SEARCH("ریست",G204))),"ریست نرم‌افزاری (بدون قطعه)",IF(OR(ISNUMBER(SEARCH("تعویض محصول",G204)),ISNUMBER(SEARCH("تعویض دستگاه",G204))),"تعویض کامل دستگاه (Replacement)",IF(ISNUMBER(SEARCH("پمپ",G204)),IF(ISNUMBER(SEARCH("نشت",G204)),"نشتی - پمپ تخلیه (تعمیر/آب‌بندی)","خرابی - پمپ تخلیه (تعویض)"),IF(ISNUMBER(SEARCH("کمپرسور",G204)),"خرابی - کمپرسور (تعویض)",IF(ISNUMBER(SEARCH("کمک فنر",G204)),"خرابی - کمک فنر (تعویض)",IF(ISNUMBER(SEARCH("لولا",G204)),"مکانیزم درب - لولا (تعویض)",IF(OR(ISNUMBER(SEARCH("قلاب",G204)),ISNUMBER(SEARCH("ميکروسوئيچ",G204)),ISNUMBER(SEARCH("میکروسوئیچ",G204))),"مکانیزم درب - میکروسوئیچ/قلاب (تعویض/تنظیم)",IF(ISNUMBER(SEARCH("زبانه",G204)),"مکانیزم درب - زبانه (تعویض)",IF(OR(ISNUMBER(SEARCH("شيلنگ",G204)),ISNUMBER(SEARCH("شیلنگ",G204))),IF(OR(ISNUMBER(SEARCH("نشتی",G204)),ISNUMBER(SEARCH("نشتي",G204))),"نشتی - شیلنگ (تعمیر/آب‌بندی)",IF(OR(ISNUMBER(SEARCH("يخ",G204)),ISNUMBER(SEARCH("یخ",G204))),"شیلنگ یخساز - یخ‌زدگی (بازبینی)","شیلنگ - برخورد/لهیدگی (بازبینی)")),IF(OR(ISNUMBER(SEARCH("تنظيم ديسپل",G204)),ISNUMBER(SEARCH("تنظیم دیسپل",G204)),ISNUMBER(SEARCH("تنظيم صفحه نمايش",G204)),ISNUMBER(SEARCH("تنظیم صفحه نمایش",G204))),"تنظیم - تنظیمات دستگاه/دیسپلی (تعمیر)",IF(OR(ISNUMBER(SEARCH("برد",G204)),ISNUMBER(SEARCH("سوکت",G204)),ISNUMBER(SEARCH("ديسپل",G204)),ISNUMBER(SEARCH("دیسپل",G204))),"خرابی - برد الکترونیک (تعویض)",IF(OR(ISNUMBER(SEARCH("يخساز",G204)),ISNUMBER(SEARCH("یخساز",G204)),ISNUMBER(SEARCH("دمپر",G204))),IF(OR(ISNUMBER(SEARCH("خرابی",G204)),ISNUMBER(SEARCH("خراب",G204)),ISNUMBER(SEARCH("عدم کارکرد",G204)),ISNUMBER(SEARCH("عدم عملکرد",G204))),"یخساز - خرابی موتور/سنسور/برد (تعویض)","یخساز - تنظیم/عایق (تعمیر)"),IF(OR(ISNUMBER(SEARCH("لاستيک",G204)),ISNUMBER(SEARCH("لاستیک",G204))),"لاستیک درزگیر - دفرمگی/پارگی (تعویض)",IF(OR(ISNUMBER(SEARCH("گسکت",G204)),ISNUMBER(SEARCH("گسگت",G204))),"لاستیک درزگیر - دفرمگی/پارگی (تعویض)",IF(ISNUMBER(SEARCH("مخزن نمک",G204)),"نشتی - درب مخزن نمک (تعمیر/آب‌بندی)",IF(ISNUMBER(SEARCH("براکت",G204)),"نشتی - براکت ریل (تعمیر/آب‌بندی)",IF(ISNUMBER(SEARCH("جاپودر",G204)),"نشتی - جاپودری (تعمیر/آب‌بندی)",IF(ISNUMBER(SEARCH("مقسم",G204)),"نشتی - مقسم آب (تعمیر/آب‌بندی)",IF(OR(ISNUMBER(SEARCH("سنسور دما",G204)),ISNUMBER(SEARCH("ترموستات",G204))),"خرابی - ترموستات (تعویض)",IF(OR(ISNUMBER(SEARCH("هيدروستات",G204)),ISNUMBER(SEARCH("هیدروستات",G204))),"خرابی - هیدروستات (تعویض)",IF(OR(ISNUMBER(SEARCH("بلبرينگ",G204)),ISNUMBER(SEARCH("بلبرینگ",G204))),"خرابی - بلبرینگ (تعویض)",IF(OR(ISNUMBER(SEARCH("شيربرق",G204)),ISNUMBER(SEARCH("شیربرق",G204))),"خرابی - شیربرقی (تعویض)",IF(OR(ISNUMBER(SEARCH("واتر جت",G204)),ISNUMBER(SEARCH("واترجت",G204))),"خرابی - واترجت (تعویض)",IF(OR(ISNUMBER(SEARCH("سيم",G204)),ISNUMBER(SEARCH("سیم",G204)),ISNUMBER(SEARCH("اتصال",G204))),"سیم‌کشی/اتصالات (تعویض/بازبینی)",IF(OR(ISNUMBER(SEARCH("تصوير",G204)),ISNUMBER(SEARCH("تصویر",G204))),"برد نمایش تلویزیون (تعویض)",IF(OR(ISNUMBER(SEARCH("ريموت",G204)),ISNUMBER(SEARCH("ریموت",G204))),"ریموت کنترل (تعویض/تعمیر)",IF(OR(ISNUMBER(SEARCH("ال اي دي",G204)),ISNUMBER(SEARCH("ال ای دی",G204)),ISNUMBER(SEARCH("LED",G204))),"خرابی - لامپ/LED داخلی (تعویض)",IF(ISNUMBER(SEARCH("زنگ زدگ",G204)),"زنگ‌زدگی بدنه/قطعه (تعویض)",IF(OR(ISNUMBER(SEARCH("قطعات تزئين",G204)),ISNUMBER(SEARCH("قطعات تزئین",G204))),"قطعات تزئینی - شکستگی/کسری (تعویض)",IF(ISNUMBER(SEARCH("سبد",G204)),"سبد ظرفشویی - شکستگی (تعویض)",IF(ISNUMBER(SEARCH("تاب درام",G204)),"خرابی - تاب برداشتن درام (تعویض)",IF(ISNUMBER(SEARCH("درام",G204)),"خرابی - سایر ایراد درام (تعویض)",IF(ISNUMBER(SEARCH("موتور",G204)),"خرابی - موتور (تعویض)",IF(ISNUMBER(SEARCH("تسمه",G204)),"خرابی - تسمه (تعویض)",IF(OR(ISNUMBER(SEARCH("پيچ ولوم",G204)),ISNUMBER(SEARCH("پیچ ولوم",G204))),"تنظیم - پیچ ولوم/دکمه (تعمیر)",IF(OR(ISNUMBER(SEARCH("کسري قطعات",G204)),ISNUMBER(SEARCH("کسری قطعات",G204))),"کسری قطعات تزئینی (تعویض)",IF(ISNUMBER(SEARCH("پرچ",G204)),"پرچ/بدنه کابین(تعمیر)",IF(OR(ISNUMBER(SEARCH("نشت",G204)),ISNUMBER(SEARCH("آبريزش",G204)),ISNUMBER(SEARCH("آبریزش",G204))),"نشتی آب - محل نامشخص (نیازمند بازدید)",IF(ISNUMBER(SEARCH("درب",G204)),"سایر اجزای درب (بازبینی)",IF(ISNUMBER(SEARCH("ضربه",G204)),"بدنه/کابین - ضربه (بازبینی/تعویض پنل)",IF(ISNUMBER(SEARCH("تراز",G204)),"تراز/لرزش - نصب (رگلاژ پایه)",IF(OR(ISNUMBER(SEARCH("تعویض",G204)),ISNUMBER(SEARCH("تعويض",G204))),"تعویض کامل دستگاه (Replacement)","سایر (نیازمند بررسی دستی)")))))))))))))))))))))))))))))))))))))))))))</f>
        <v/>
      </c>
      <c r="P204" s="124" t="inlineStr">
        <is>
          <t>لامپ مینی</t>
        </is>
      </c>
      <c r="Q204" s="124">
        <f>IF(ISNUMBER(SEARCH("عهده شرکت",F204)),"شرکت",IF(ISNUMBER(SEARCH("عهده مشتري",F204)),"مشتری",IF(ISNUMBER(SEARCH("عهده مشتری",F204)),"مشتری","نامشخص")))</f>
        <v/>
      </c>
      <c r="R204" s="178">
        <f>IF(O204="تعویض کامل دستگاه (Replacement)",IF(SUMIF('قیمت‌ها و مفروضات'!$A$9:$A$13,C204,'قیمت‌ها و مفروضات'!$C$9:$C$13)&lt;&gt;0,SUMIF('قیمت‌ها و مفروضات'!$A$9:$A$13,C204,'قیمت‌ها و مفروضات'!$C$9:$C$13),SUMIF('قیمت‌ها و مفروضات'!$A$9:$A$13,C204,'قیمت‌ها و مفروضات'!$B$9:$B$13)),IF(SUMIF('قیمت‌ها و مفروضات'!$A$18:$A$63,O204,'قیمت‌ها و مفروضات'!$C$18:$C$63)&lt;&gt;0,SUMIF('قیمت‌ها و مفروضات'!$A$18:$A$63,O204,'قیمت‌ها و مفروضات'!$C$18:$C$63),SUMIF('قیمت‌ها و مفروضات'!$A$18:$A$63,O204,'قیمت‌ها و مفروضات'!$B$18:$B$63)))</f>
        <v/>
      </c>
      <c r="S204" s="178">
        <f>'قیمت‌ها و مفروضات'!$B$3+'قیمت‌ها و مفروضات'!$B$4</f>
        <v/>
      </c>
      <c r="T204" s="178">
        <f>R204+S204</f>
        <v/>
      </c>
      <c r="U204" s="178">
        <f>IF(COUNTIF($E$2:E335,E204)&gt;1,"بله (تکراری)","خیر")</f>
        <v/>
      </c>
      <c r="V204" s="178">
        <f>IF(U204="بله (تکراری)",S204,0)</f>
        <v/>
      </c>
      <c r="W204" s="208" t="inlineStr"/>
      <c r="X204" s="208" t="inlineStr"/>
    </row>
    <row r="205" ht="58.5" customHeight="1" s="151">
      <c r="A205" s="176" t="n">
        <v>210006788</v>
      </c>
      <c r="B205" s="124">
        <f>CHOOSE(_xlfn.NUMBERVALUE(MID(H205,6,2)),"فروردین","اردیبهشت","خرداد","تیر","مرداد","شهریور","مهر","آبان","آذر","دی","بهمن","اسفند")</f>
        <v/>
      </c>
      <c r="C205" s="176" t="inlineStr">
        <is>
          <t>يخچال ميني</t>
        </is>
      </c>
      <c r="D205" s="176" t="inlineStr">
        <is>
          <t>CM-RS5BK2</t>
        </is>
      </c>
      <c r="E205" s="176" t="inlineStr">
        <is>
          <t>52240004N00285</t>
        </is>
      </c>
      <c r="F205" s="173" t="inlineStr">
        <is>
          <t>گرم شدن محصول**اياب و ذهاب به عهده شرکت</t>
        </is>
      </c>
      <c r="G205" s="173" t="inlineStr">
        <is>
          <t>سوختن کمپرسور - يخچال ميني</t>
        </is>
      </c>
      <c r="H205" s="176" t="inlineStr">
        <is>
          <t>1405/02/29</t>
        </is>
      </c>
      <c r="I205" s="124" t="inlineStr">
        <is>
          <t>1403/11/24</t>
        </is>
      </c>
      <c r="J205" s="124" t="inlineStr">
        <is>
          <t>1404/02/30</t>
        </is>
      </c>
      <c r="K205" s="177">
        <f>IFERROR(VLOOKUP(LEFT(H205,7),'تبدیل تاریخ'!$A$2:$B$73,2,FALSE())+VALUE(RIGHT(H205,2))-1,"")</f>
        <v/>
      </c>
      <c r="L205" s="177">
        <f>IFERROR(VLOOKUP(LEFT(I205,7),'تبدیل تاریخ'!$A$2:$B$73,2,FALSE())+VALUE(RIGHT(I205,2))-1,"")</f>
        <v/>
      </c>
      <c r="M205" s="177">
        <f>IF(J205="","",IFERROR(VLOOKUP(LEFT(J205,7),'تبدیل تاریخ'!$A$2:$B$73,2,FALSE())+VALUE(RIGHT(J205,2))-1,""))</f>
        <v/>
      </c>
      <c r="N205" s="124">
        <f>IF(OR(K205="",M205=""),"",CEILING((K205-M205)/30,1))</f>
        <v/>
      </c>
      <c r="O205" s="124">
        <f>IF(OR(ISNUMBER(SEARCH("بدون مورد",G205)),ISNUMBER(SEARCH("غير گارانتي",G205)),ISNUMBER(SEARCH("غیر گارانتی",G205)),ISNUMBER(SEARCH("بدون اجرت",G205)),ISNUMBER(SEARCH("فيلتر",G205)),ISNUMBER(SEARCH("فیلتر",G205))),"غیرگارانتی/بدون قطعه",IF(OR(ISNUMBER(SEARCH("ريست",G205)),ISNUMBER(SEARCH("ریست",G205))),"ریست نرم‌افزاری (بدون قطعه)",IF(OR(ISNUMBER(SEARCH("تعویض محصول",G205)),ISNUMBER(SEARCH("تعویض دستگاه",G205))),"تعویض کامل دستگاه (Replacement)",IF(ISNUMBER(SEARCH("پمپ",G205)),IF(ISNUMBER(SEARCH("نشت",G205)),"نشتی - پمپ تخلیه (تعمیر/آب‌بندی)","خرابی - پمپ تخلیه (تعویض)"),IF(ISNUMBER(SEARCH("کمپرسور",G205)),"خرابی - کمپرسور (تعویض)",IF(ISNUMBER(SEARCH("کمک فنر",G205)),"خرابی - کمک فنر (تعویض)",IF(ISNUMBER(SEARCH("لولا",G205)),"مکانیزم درب - لولا (تعویض)",IF(OR(ISNUMBER(SEARCH("قلاب",G205)),ISNUMBER(SEARCH("ميکروسوئيچ",G205)),ISNUMBER(SEARCH("میکروسوئیچ",G205))),"مکانیزم درب - میکروسوئیچ/قلاب (تعویض/تنظیم)",IF(ISNUMBER(SEARCH("زبانه",G205)),"مکانیزم درب - زبانه (تعویض)",IF(OR(ISNUMBER(SEARCH("شيلنگ",G205)),ISNUMBER(SEARCH("شیلنگ",G205))),IF(OR(ISNUMBER(SEARCH("نشتی",G205)),ISNUMBER(SEARCH("نشتي",G205))),"نشتی - شیلنگ (تعمیر/آب‌بندی)",IF(OR(ISNUMBER(SEARCH("يخ",G205)),ISNUMBER(SEARCH("یخ",G205))),"شیلنگ یخساز - یخ‌زدگی (بازبینی)","شیلنگ - برخورد/لهیدگی (بازبینی)")),IF(OR(ISNUMBER(SEARCH("تنظيم ديسپل",G205)),ISNUMBER(SEARCH("تنظیم دیسپل",G205)),ISNUMBER(SEARCH("تنظيم صفحه نمايش",G205)),ISNUMBER(SEARCH("تنظیم صفحه نمایش",G205))),"تنظیم - تنظیمات دستگاه/دیسپلی (تعمیر)",IF(OR(ISNUMBER(SEARCH("برد",G205)),ISNUMBER(SEARCH("سوکت",G205)),ISNUMBER(SEARCH("ديسپل",G205)),ISNUMBER(SEARCH("دیسپل",G205))),"خرابی - برد الکترونیک (تعویض)",IF(OR(ISNUMBER(SEARCH("يخساز",G205)),ISNUMBER(SEARCH("یخساز",G205)),ISNUMBER(SEARCH("دمپر",G205))),IF(OR(ISNUMBER(SEARCH("خرابی",G205)),ISNUMBER(SEARCH("خراب",G205)),ISNUMBER(SEARCH("عدم کارکرد",G205)),ISNUMBER(SEARCH("عدم عملکرد",G205))),"یخساز - خرابی موتور/سنسور/برد (تعویض)","یخساز - تنظیم/عایق (تعمیر)"),IF(OR(ISNUMBER(SEARCH("لاستيک",G205)),ISNUMBER(SEARCH("لاستیک",G205))),"لاستیک درزگیر - دفرمگی/پارگی (تعویض)",IF(OR(ISNUMBER(SEARCH("گسکت",G205)),ISNUMBER(SEARCH("گسگت",G205))),"لاستیک درزگیر - دفرمگی/پارگی (تعویض)",IF(ISNUMBER(SEARCH("مخزن نمک",G205)),"نشتی - درب مخزن نمک (تعمیر/آب‌بندی)",IF(ISNUMBER(SEARCH("براکت",G205)),"نشتی - براکت ریل (تعمیر/آب‌بندی)",IF(ISNUMBER(SEARCH("جاپودر",G205)),"نشتی - جاپودری (تعمیر/آب‌بندی)",IF(ISNUMBER(SEARCH("مقسم",G205)),"نشتی - مقسم آب (تعمیر/آب‌بندی)",IF(OR(ISNUMBER(SEARCH("سنسور دما",G205)),ISNUMBER(SEARCH("ترموستات",G205))),"خرابی - ترموستات (تعویض)",IF(OR(ISNUMBER(SEARCH("هيدروستات",G205)),ISNUMBER(SEARCH("هیدروستات",G205))),"خرابی - هیدروستات (تعویض)",IF(OR(ISNUMBER(SEARCH("بلبرينگ",G205)),ISNUMBER(SEARCH("بلبرینگ",G205))),"خرابی - بلبرینگ (تعویض)",IF(OR(ISNUMBER(SEARCH("شيربرق",G205)),ISNUMBER(SEARCH("شیربرق",G205))),"خرابی - شیربرقی (تعویض)",IF(OR(ISNUMBER(SEARCH("واتر جت",G205)),ISNUMBER(SEARCH("واترجت",G205))),"خرابی - واترجت (تعویض)",IF(OR(ISNUMBER(SEARCH("سيم",G205)),ISNUMBER(SEARCH("سیم",G205)),ISNUMBER(SEARCH("اتصال",G205))),"سیم‌کشی/اتصالات (تعویض/بازبینی)",IF(OR(ISNUMBER(SEARCH("تصوير",G205)),ISNUMBER(SEARCH("تصویر",G205))),"برد نمایش تلویزیون (تعویض)",IF(OR(ISNUMBER(SEARCH("ريموت",G205)),ISNUMBER(SEARCH("ریموت",G205))),"ریموت کنترل (تعویض/تعمیر)",IF(OR(ISNUMBER(SEARCH("ال اي دي",G205)),ISNUMBER(SEARCH("ال ای دی",G205)),ISNUMBER(SEARCH("LED",G205))),"خرابی - لامپ/LED داخلی (تعویض)",IF(ISNUMBER(SEARCH("زنگ زدگ",G205)),"زنگ‌زدگی بدنه/قطعه (تعویض)",IF(OR(ISNUMBER(SEARCH("قطعات تزئين",G205)),ISNUMBER(SEARCH("قطعات تزئین",G205))),"قطعات تزئینی - شکستگی/کسری (تعویض)",IF(ISNUMBER(SEARCH("سبد",G205)),"سبد ظرفشویی - شکستگی (تعویض)",IF(ISNUMBER(SEARCH("تاب درام",G205)),"خرابی - تاب برداشتن درام (تعویض)",IF(ISNUMBER(SEARCH("درام",G205)),"خرابی - سایر ایراد درام (تعویض)",IF(ISNUMBER(SEARCH("موتور",G205)),"خرابی - موتور (تعویض)",IF(ISNUMBER(SEARCH("تسمه",G205)),"خرابی - تسمه (تعویض)",IF(OR(ISNUMBER(SEARCH("پيچ ولوم",G205)),ISNUMBER(SEARCH("پیچ ولوم",G205))),"تنظیم - پیچ ولوم/دکمه (تعمیر)",IF(OR(ISNUMBER(SEARCH("کسري قطعات",G205)),ISNUMBER(SEARCH("کسری قطعات",G205))),"کسری قطعات تزئینی (تعویض)",IF(ISNUMBER(SEARCH("پرچ",G205)),"پرچ/بدنه کابین(تعمیر)",IF(OR(ISNUMBER(SEARCH("نشت",G205)),ISNUMBER(SEARCH("آبريزش",G205)),ISNUMBER(SEARCH("آبریزش",G205))),"نشتی آب - محل نامشخص (نیازمند بازدید)",IF(ISNUMBER(SEARCH("درب",G205)),"سایر اجزای درب (بازبینی)",IF(ISNUMBER(SEARCH("ضربه",G205)),"بدنه/کابین - ضربه (بازبینی/تعویض پنل)",IF(ISNUMBER(SEARCH("تراز",G205)),"تراز/لرزش - نصب (رگلاژ پایه)",IF(OR(ISNUMBER(SEARCH("تعویض",G205)),ISNUMBER(SEARCH("تعويض",G205))),"تعویض کامل دستگاه (Replacement)","سایر (نیازمند بررسی دستی)")))))))))))))))))))))))))))))))))))))))))))</f>
        <v/>
      </c>
      <c r="P205" s="124" t="inlineStr">
        <is>
          <t>کمپرسور مینی</t>
        </is>
      </c>
      <c r="Q205" s="124">
        <f>IF(ISNUMBER(SEARCH("عهده شرکت",F205)),"شرکت",IF(ISNUMBER(SEARCH("عهده مشتري",F205)),"مشتری",IF(ISNUMBER(SEARCH("عهده مشتری",F205)),"مشتری","نامشخص")))</f>
        <v/>
      </c>
      <c r="R205" s="178">
        <f>IF(O205="تعویض کامل دستگاه (Replacement)",IF(SUMIF('قیمت‌ها و مفروضات'!$A$9:$A$13,C205,'قیمت‌ها و مفروضات'!$C$9:$C$13)&lt;&gt;0,SUMIF('قیمت‌ها و مفروضات'!$A$9:$A$13,C205,'قیمت‌ها و مفروضات'!$C$9:$C$13),SUMIF('قیمت‌ها و مفروضات'!$A$9:$A$13,C205,'قیمت‌ها و مفروضات'!$B$9:$B$13)),IF(SUMIF('قیمت‌ها و مفروضات'!$A$18:$A$63,O205,'قیمت‌ها و مفروضات'!$C$18:$C$63)&lt;&gt;0,SUMIF('قیمت‌ها و مفروضات'!$A$18:$A$63,O205,'قیمت‌ها و مفروضات'!$C$18:$C$63),SUMIF('قیمت‌ها و مفروضات'!$A$18:$A$63,O205,'قیمت‌ها و مفروضات'!$B$18:$B$63)))</f>
        <v/>
      </c>
      <c r="S205" s="178">
        <f>'قیمت‌ها و مفروضات'!$B$3+'قیمت‌ها و مفروضات'!$B$4</f>
        <v/>
      </c>
      <c r="T205" s="178">
        <f>R205+S205</f>
        <v/>
      </c>
      <c r="U205" s="178">
        <f>IF(COUNTIF($E$2:E336,E205)&gt;1,"بله (تکراری)","خیر")</f>
        <v/>
      </c>
      <c r="V205" s="178">
        <f>IF(U205="بله (تکراری)",S205,0)</f>
        <v/>
      </c>
      <c r="W205" s="208" t="inlineStr"/>
      <c r="X205" s="208" t="inlineStr"/>
    </row>
    <row r="206" ht="58.5" customHeight="1" s="151">
      <c r="A206" s="176" t="n">
        <v>130008450</v>
      </c>
      <c r="B206" s="124">
        <f>CHOOSE(_xlfn.NUMBERVALUE(MID(H206,6,2)),"فروردین","اردیبهشت","خرداد","تیر","مرداد","شهریور","مهر","آبان","آذر","دی","بهمن","اسفند")</f>
        <v/>
      </c>
      <c r="C206" s="176" t="inlineStr">
        <is>
          <t>تلویزیون</t>
        </is>
      </c>
      <c r="D206" s="176" t="inlineStr">
        <is>
          <t>CTV-55UHJS2</t>
        </is>
      </c>
      <c r="E206" s="176" t="inlineStr">
        <is>
          <t>52230003N00401</t>
        </is>
      </c>
      <c r="F206" s="173" t="inlineStr">
        <is>
          <t>از کار افتادن محصول اياب و ذهاب به عهده مشتري</t>
        </is>
      </c>
      <c r="G206" s="173" t="inlineStr">
        <is>
          <t>خرابي مين برد</t>
        </is>
      </c>
      <c r="H206" s="176" t="inlineStr">
        <is>
          <t>1405/02/13</t>
        </is>
      </c>
      <c r="I206" s="124" t="inlineStr">
        <is>
          <t>1403/08/02</t>
        </is>
      </c>
      <c r="J206" s="124" t="inlineStr">
        <is>
          <t>1403/12/16</t>
        </is>
      </c>
      <c r="K206" s="177">
        <f>IFERROR(VLOOKUP(LEFT(H206,7),'تبدیل تاریخ'!$A$2:$B$73,2,FALSE())+VALUE(RIGHT(H206,2))-1,"")</f>
        <v/>
      </c>
      <c r="L206" s="177">
        <f>IFERROR(VLOOKUP(LEFT(I206,7),'تبدیل تاریخ'!$A$2:$B$73,2,FALSE())+VALUE(RIGHT(I206,2))-1,"")</f>
        <v/>
      </c>
      <c r="M206" s="177">
        <f>IF(J206="","",IFERROR(VLOOKUP(LEFT(J206,7),'تبدیل تاریخ'!$A$2:$B$73,2,FALSE())+VALUE(RIGHT(J206,2))-1,""))</f>
        <v/>
      </c>
      <c r="N206" s="124">
        <f>IF(OR(K206="",M206=""),"",CEILING((K206-M206)/30,1))</f>
        <v/>
      </c>
      <c r="O206" s="124">
        <f>IF(OR(ISNUMBER(SEARCH("بدون مورد",G206)),ISNUMBER(SEARCH("غير گارانتي",G206)),ISNUMBER(SEARCH("غیر گارانتی",G206)),ISNUMBER(SEARCH("بدون اجرت",G206)),ISNUMBER(SEARCH("فيلتر",G206)),ISNUMBER(SEARCH("فیلتر",G206))),"غیرگارانتی/بدون قطعه",IF(OR(ISNUMBER(SEARCH("ريست",G206)),ISNUMBER(SEARCH("ریست",G206))),"ریست نرم‌افزاری (بدون قطعه)",IF(OR(ISNUMBER(SEARCH("تعویض محصول",G206)),ISNUMBER(SEARCH("تعویض دستگاه",G206))),"تعویض کامل دستگاه (Replacement)",IF(ISNUMBER(SEARCH("پمپ",G206)),IF(ISNUMBER(SEARCH("نشت",G206)),"نشتی - پمپ تخلیه (تعمیر/آب‌بندی)","خرابی - پمپ تخلیه (تعویض)"),IF(ISNUMBER(SEARCH("کمپرسور",G206)),"خرابی - کمپرسور (تعویض)",IF(ISNUMBER(SEARCH("کمک فنر",G206)),"خرابی - کمک فنر (تعویض)",IF(ISNUMBER(SEARCH("لولا",G206)),"مکانیزم درب - لولا (تعویض)",IF(OR(ISNUMBER(SEARCH("قلاب",G206)),ISNUMBER(SEARCH("ميکروسوئيچ",G206)),ISNUMBER(SEARCH("میکروسوئیچ",G206))),"مکانیزم درب - میکروسوئیچ/قلاب (تعویض/تنظیم)",IF(ISNUMBER(SEARCH("زبانه",G206)),"مکانیزم درب - زبانه (تعویض)",IF(OR(ISNUMBER(SEARCH("شيلنگ",G206)),ISNUMBER(SEARCH("شیلنگ",G206))),IF(OR(ISNUMBER(SEARCH("نشتی",G206)),ISNUMBER(SEARCH("نشتي",G206))),"نشتی - شیلنگ (تعمیر/آب‌بندی)",IF(OR(ISNUMBER(SEARCH("يخ",G206)),ISNUMBER(SEARCH("یخ",G206))),"شیلنگ یخساز - یخ‌زدگی (بازبینی)","شیلنگ - برخورد/لهیدگی (بازبینی)")),IF(OR(ISNUMBER(SEARCH("تنظيم ديسپل",G206)),ISNUMBER(SEARCH("تنظیم دیسپل",G206)),ISNUMBER(SEARCH("تنظيم صفحه نمايش",G206)),ISNUMBER(SEARCH("تنظیم صفحه نمایش",G206))),"تنظیم - تنظیمات دستگاه/دیسپلی (تعمیر)",IF(OR(ISNUMBER(SEARCH("برد",G206)),ISNUMBER(SEARCH("سوکت",G206)),ISNUMBER(SEARCH("ديسپل",G206)),ISNUMBER(SEARCH("دیسپل",G206))),"خرابی - برد الکترونیک (تعویض)",IF(OR(ISNUMBER(SEARCH("يخساز",G206)),ISNUMBER(SEARCH("یخساز",G206)),ISNUMBER(SEARCH("دمپر",G206))),IF(OR(ISNUMBER(SEARCH("خرابی",G206)),ISNUMBER(SEARCH("خراب",G206)),ISNUMBER(SEARCH("عدم کارکرد",G206)),ISNUMBER(SEARCH("عدم عملکرد",G206))),"یخساز - خرابی موتور/سنسور/برد (تعویض)","یخساز - تنظیم/عایق (تعمیر)"),IF(OR(ISNUMBER(SEARCH("لاستيک",G206)),ISNUMBER(SEARCH("لاستیک",G206))),"لاستیک درزگیر - دفرمگی/پارگی (تعویض)",IF(OR(ISNUMBER(SEARCH("گسکت",G206)),ISNUMBER(SEARCH("گسگت",G206))),"لاستیک درزگیر - دفرمگی/پارگی (تعویض)",IF(ISNUMBER(SEARCH("مخزن نمک",G206)),"نشتی - درب مخزن نمک (تعمیر/آب‌بندی)",IF(ISNUMBER(SEARCH("براکت",G206)),"نشتی - براکت ریل (تعمیر/آب‌بندی)",IF(ISNUMBER(SEARCH("جاپودر",G206)),"نشتی - جاپودری (تعمیر/آب‌بندی)",IF(ISNUMBER(SEARCH("مقسم",G206)),"نشتی - مقسم آب (تعمیر/آب‌بندی)",IF(OR(ISNUMBER(SEARCH("سنسور دما",G206)),ISNUMBER(SEARCH("ترموستات",G206))),"خرابی - ترموستات (تعویض)",IF(OR(ISNUMBER(SEARCH("هيدروستات",G206)),ISNUMBER(SEARCH("هیدروستات",G206))),"خرابی - هیدروستات (تعویض)",IF(OR(ISNUMBER(SEARCH("بلبرينگ",G206)),ISNUMBER(SEARCH("بلبرینگ",G206))),"خرابی - بلبرینگ (تعویض)",IF(OR(ISNUMBER(SEARCH("شيربرق",G206)),ISNUMBER(SEARCH("شیربرق",G206))),"خرابی - شیربرقی (تعویض)",IF(OR(ISNUMBER(SEARCH("واتر جت",G206)),ISNUMBER(SEARCH("واترجت",G206))),"خرابی - واترجت (تعویض)",IF(OR(ISNUMBER(SEARCH("سيم",G206)),ISNUMBER(SEARCH("سیم",G206)),ISNUMBER(SEARCH("اتصال",G206))),"سیم‌کشی/اتصالات (تعویض/بازبینی)",IF(OR(ISNUMBER(SEARCH("تصوير",G206)),ISNUMBER(SEARCH("تصویر",G206))),"برد نمایش تلویزیون (تعویض)",IF(OR(ISNUMBER(SEARCH("ريموت",G206)),ISNUMBER(SEARCH("ریموت",G206))),"ریموت کنترل (تعویض/تعمیر)",IF(OR(ISNUMBER(SEARCH("ال اي دي",G206)),ISNUMBER(SEARCH("ال ای دی",G206)),ISNUMBER(SEARCH("LED",G206))),"خرابی - لامپ/LED داخلی (تعویض)",IF(ISNUMBER(SEARCH("زنگ زدگ",G206)),"زنگ‌زدگی بدنه/قطعه (تعویض)",IF(OR(ISNUMBER(SEARCH("قطعات تزئين",G206)),ISNUMBER(SEARCH("قطعات تزئین",G206))),"قطعات تزئینی - شکستگی/کسری (تعویض)",IF(ISNUMBER(SEARCH("سبد",G206)),"سبد ظرفشویی - شکستگی (تعویض)",IF(ISNUMBER(SEARCH("تاب درام",G206)),"خرابی - تاب برداشتن درام (تعویض)",IF(ISNUMBER(SEARCH("درام",G206)),"خرابی - سایر ایراد درام (تعویض)",IF(ISNUMBER(SEARCH("موتور",G206)),"خرابی - موتور (تعویض)",IF(ISNUMBER(SEARCH("تسمه",G206)),"خرابی - تسمه (تعویض)",IF(OR(ISNUMBER(SEARCH("پيچ ولوم",G206)),ISNUMBER(SEARCH("پیچ ولوم",G206))),"تنظیم - پیچ ولوم/دکمه (تعمیر)",IF(OR(ISNUMBER(SEARCH("کسري قطعات",G206)),ISNUMBER(SEARCH("کسری قطعات",G206))),"کسری قطعات تزئینی (تعویض)",IF(ISNUMBER(SEARCH("پرچ",G206)),"پرچ/بدنه کابین(تعمیر)",IF(OR(ISNUMBER(SEARCH("نشت",G206)),ISNUMBER(SEARCH("آبريزش",G206)),ISNUMBER(SEARCH("آبریزش",G206))),"نشتی آب - محل نامشخص (نیازمند بازدید)",IF(ISNUMBER(SEARCH("درب",G206)),"سایر اجزای درب (بازبینی)",IF(ISNUMBER(SEARCH("ضربه",G206)),"بدنه/کابین - ضربه (بازبینی/تعویض پنل)",IF(ISNUMBER(SEARCH("تراز",G206)),"تراز/لرزش - نصب (رگلاژ پایه)",IF(OR(ISNUMBER(SEARCH("تعویض",G206)),ISNUMBER(SEARCH("تعويض",G206))),"تعویض کامل دستگاه (Replacement)","سایر (نیازمند بررسی دستی)")))))))))))))))))))))))))))))))))))))))))))</f>
        <v/>
      </c>
      <c r="P206" s="124" t="inlineStr">
        <is>
          <t>برد تلویزیون</t>
        </is>
      </c>
      <c r="Q206" s="124">
        <f>IF(ISNUMBER(SEARCH("عهده شرکت",F206)),"شرکت",IF(ISNUMBER(SEARCH("عهده مشتري",F206)),"مشتری",IF(ISNUMBER(SEARCH("عهده مشتری",F206)),"مشتری","نامشخص")))</f>
        <v/>
      </c>
      <c r="R206" s="178">
        <f>IF(O206="تعویض کامل دستگاه (Replacement)",IF(SUMIF('قیمت‌ها و مفروضات'!$A$9:$A$13,C206,'قیمت‌ها و مفروضات'!$C$9:$C$13)&lt;&gt;0,SUMIF('قیمت‌ها و مفروضات'!$A$9:$A$13,C206,'قیمت‌ها و مفروضات'!$C$9:$C$13),SUMIF('قیمت‌ها و مفروضات'!$A$9:$A$13,C206,'قیمت‌ها و مفروضات'!$B$9:$B$13)),IF(SUMIF('قیمت‌ها و مفروضات'!$A$18:$A$63,O206,'قیمت‌ها و مفروضات'!$C$18:$C$63)&lt;&gt;0,SUMIF('قیمت‌ها و مفروضات'!$A$18:$A$63,O206,'قیمت‌ها و مفروضات'!$C$18:$C$63),SUMIF('قیمت‌ها و مفروضات'!$A$18:$A$63,O206,'قیمت‌ها و مفروضات'!$B$18:$B$63)))</f>
        <v/>
      </c>
      <c r="S206" s="178">
        <f>'قیمت‌ها و مفروضات'!$B$3+'قیمت‌ها و مفروضات'!$B$4</f>
        <v/>
      </c>
      <c r="T206" s="178">
        <f>R206+S206</f>
        <v/>
      </c>
      <c r="U206" s="178">
        <f>IF(COUNTIF($E$2:E337,E206)&gt;1,"بله (تکراری)","خیر")</f>
        <v/>
      </c>
      <c r="V206" s="178">
        <f>IF(U206="بله (تکراری)",S206,0)</f>
        <v/>
      </c>
      <c r="W206" s="208" t="inlineStr"/>
      <c r="X206" s="208" t="inlineStr"/>
    </row>
    <row r="207" ht="58.5" customHeight="1" s="151">
      <c r="A207" s="176" t="n">
        <v>210007726</v>
      </c>
      <c r="B207" s="124">
        <f>CHOOSE(_xlfn.NUMBERVALUE(MID(H207,6,2)),"فروردین","اردیبهشت","خرداد","تیر","مرداد","شهریور","مهر","آبان","آذر","دی","بهمن","اسفند")</f>
        <v/>
      </c>
      <c r="C207" s="176" t="inlineStr">
        <is>
          <t>ماشين ظرفشويي</t>
        </is>
      </c>
      <c r="D207" s="176" t="inlineStr">
        <is>
          <t>CDW-H16T</t>
        </is>
      </c>
      <c r="E207" s="176" t="inlineStr">
        <is>
          <t>52220004N05186</t>
        </is>
      </c>
      <c r="F207" s="173" t="inlineStr">
        <is>
          <t>از کار افتادن محصول**اياب و ذهاب به عهده شرکت</t>
        </is>
      </c>
      <c r="G207" s="173" t="inlineStr">
        <is>
          <t>خرابي واترجت</t>
        </is>
      </c>
      <c r="H207" s="176" t="inlineStr">
        <is>
          <t>1405/02/16</t>
        </is>
      </c>
      <c r="I207" s="124" t="inlineStr">
        <is>
          <t>1404/08/28</t>
        </is>
      </c>
      <c r="J207" s="124" t="inlineStr">
        <is>
          <t>1404/09/22</t>
        </is>
      </c>
      <c r="K207" s="177">
        <f>IFERROR(VLOOKUP(LEFT(H207,7),'تبدیل تاریخ'!$A$2:$B$73,2,FALSE())+VALUE(RIGHT(H207,2))-1,"")</f>
        <v/>
      </c>
      <c r="L207" s="177">
        <f>IFERROR(VLOOKUP(LEFT(I207,7),'تبدیل تاریخ'!$A$2:$B$73,2,FALSE())+VALUE(RIGHT(I207,2))-1,"")</f>
        <v/>
      </c>
      <c r="M207" s="177">
        <f>IF(J207="","",IFERROR(VLOOKUP(LEFT(J207,7),'تبدیل تاریخ'!$A$2:$B$73,2,FALSE())+VALUE(RIGHT(J207,2))-1,""))</f>
        <v/>
      </c>
      <c r="N207" s="124">
        <f>IF(OR(K207="",M207=""),"",CEILING((K207-M207)/30,1))</f>
        <v/>
      </c>
      <c r="O207" s="124">
        <f>IF(OR(ISNUMBER(SEARCH("بدون مورد",G207)),ISNUMBER(SEARCH("غير گارانتي",G207)),ISNUMBER(SEARCH("غیر گارانتی",G207)),ISNUMBER(SEARCH("بدون اجرت",G207)),ISNUMBER(SEARCH("فيلتر",G207)),ISNUMBER(SEARCH("فیلتر",G207))),"غیرگارانتی/بدون قطعه",IF(OR(ISNUMBER(SEARCH("ريست",G207)),ISNUMBER(SEARCH("ریست",G207))),"ریست نرم‌افزاری (بدون قطعه)",IF(OR(ISNUMBER(SEARCH("تعویض محصول",G207)),ISNUMBER(SEARCH("تعویض دستگاه",G207))),"تعویض کامل دستگاه (Replacement)",IF(ISNUMBER(SEARCH("پمپ",G207)),IF(ISNUMBER(SEARCH("نشت",G207)),"نشتی - پمپ تخلیه (تعمیر/آب‌بندی)","خرابی - پمپ تخلیه (تعویض)"),IF(ISNUMBER(SEARCH("کمپرسور",G207)),"خرابی - کمپرسور (تعویض)",IF(ISNUMBER(SEARCH("کمک فنر",G207)),"خرابی - کمک فنر (تعویض)",IF(ISNUMBER(SEARCH("لولا",G207)),"مکانیزم درب - لولا (تعویض)",IF(OR(ISNUMBER(SEARCH("قلاب",G207)),ISNUMBER(SEARCH("ميکروسوئيچ",G207)),ISNUMBER(SEARCH("میکروسوئیچ",G207))),"مکانیزم درب - میکروسوئیچ/قلاب (تعویض/تنظیم)",IF(ISNUMBER(SEARCH("زبانه",G207)),"مکانیزم درب - زبانه (تعویض)",IF(OR(ISNUMBER(SEARCH("شيلنگ",G207)),ISNUMBER(SEARCH("شیلنگ",G207))),IF(OR(ISNUMBER(SEARCH("نشتی",G207)),ISNUMBER(SEARCH("نشتي",G207))),"نشتی - شیلنگ (تعمیر/آب‌بندی)",IF(OR(ISNUMBER(SEARCH("يخ",G207)),ISNUMBER(SEARCH("یخ",G207))),"شیلنگ یخساز - یخ‌زدگی (بازبینی)","شیلنگ - برخورد/لهیدگی (بازبینی)")),IF(OR(ISNUMBER(SEARCH("تنظيم ديسپل",G207)),ISNUMBER(SEARCH("تنظیم دیسپل",G207)),ISNUMBER(SEARCH("تنظيم صفحه نمايش",G207)),ISNUMBER(SEARCH("تنظیم صفحه نمایش",G207))),"تنظیم - تنظیمات دستگاه/دیسپلی (تعمیر)",IF(OR(ISNUMBER(SEARCH("برد",G207)),ISNUMBER(SEARCH("سوکت",G207)),ISNUMBER(SEARCH("ديسپل",G207)),ISNUMBER(SEARCH("دیسپل",G207))),"خرابی - برد الکترونیک (تعویض)",IF(OR(ISNUMBER(SEARCH("يخساز",G207)),ISNUMBER(SEARCH("یخساز",G207)),ISNUMBER(SEARCH("دمپر",G207))),IF(OR(ISNUMBER(SEARCH("خرابی",G207)),ISNUMBER(SEARCH("خراب",G207)),ISNUMBER(SEARCH("عدم کارکرد",G207)),ISNUMBER(SEARCH("عدم عملکرد",G207))),"یخساز - خرابی موتور/سنسور/برد (تعویض)","یخساز - تنظیم/عایق (تعمیر)"),IF(OR(ISNUMBER(SEARCH("لاستيک",G207)),ISNUMBER(SEARCH("لاستیک",G207))),"لاستیک درزگیر - دفرمگی/پارگی (تعویض)",IF(OR(ISNUMBER(SEARCH("گسکت",G207)),ISNUMBER(SEARCH("گسگت",G207))),"لاستیک درزگیر - دفرمگی/پارگی (تعویض)",IF(ISNUMBER(SEARCH("مخزن نمک",G207)),"نشتی - درب مخزن نمک (تعمیر/آب‌بندی)",IF(ISNUMBER(SEARCH("براکت",G207)),"نشتی - براکت ریل (تعمیر/آب‌بندی)",IF(ISNUMBER(SEARCH("جاپودر",G207)),"نشتی - جاپودری (تعمیر/آب‌بندی)",IF(ISNUMBER(SEARCH("مقسم",G207)),"نشتی - مقسم آب (تعمیر/آب‌بندی)",IF(OR(ISNUMBER(SEARCH("سنسور دما",G207)),ISNUMBER(SEARCH("ترموستات",G207))),"خرابی - ترموستات (تعویض)",IF(OR(ISNUMBER(SEARCH("هيدروستات",G207)),ISNUMBER(SEARCH("هیدروستات",G207))),"خرابی - هیدروستات (تعویض)",IF(OR(ISNUMBER(SEARCH("بلبرينگ",G207)),ISNUMBER(SEARCH("بلبرینگ",G207))),"خرابی - بلبرینگ (تعویض)",IF(OR(ISNUMBER(SEARCH("شيربرق",G207)),ISNUMBER(SEARCH("شیربرق",G207))),"خرابی - شیربرقی (تعویض)",IF(OR(ISNUMBER(SEARCH("واتر جت",G207)),ISNUMBER(SEARCH("واترجت",G207))),"خرابی - واترجت (تعویض)",IF(OR(ISNUMBER(SEARCH("سيم",G207)),ISNUMBER(SEARCH("سیم",G207)),ISNUMBER(SEARCH("اتصال",G207))),"سیم‌کشی/اتصالات (تعویض/بازبینی)",IF(OR(ISNUMBER(SEARCH("تصوير",G207)),ISNUMBER(SEARCH("تصویر",G207))),"برد نمایش تلویزیون (تعویض)",IF(OR(ISNUMBER(SEARCH("ريموت",G207)),ISNUMBER(SEARCH("ریموت",G207))),"ریموت کنترل (تعویض/تعمیر)",IF(OR(ISNUMBER(SEARCH("ال اي دي",G207)),ISNUMBER(SEARCH("ال ای دی",G207)),ISNUMBER(SEARCH("LED",G207))),"خرابی - لامپ/LED داخلی (تعویض)",IF(ISNUMBER(SEARCH("زنگ زدگ",G207)),"زنگ‌زدگی بدنه/قطعه (تعویض)",IF(OR(ISNUMBER(SEARCH("قطعات تزئين",G207)),ISNUMBER(SEARCH("قطعات تزئین",G207))),"قطعات تزئینی - شکستگی/کسری (تعویض)",IF(ISNUMBER(SEARCH("سبد",G207)),"سبد ظرفشویی - شکستگی (تعویض)",IF(ISNUMBER(SEARCH("تاب درام",G207)),"خرابی - تاب برداشتن درام (تعویض)",IF(ISNUMBER(SEARCH("درام",G207)),"خرابی - سایر ایراد درام (تعویض)",IF(ISNUMBER(SEARCH("موتور",G207)),"خرابی - موتور (تعویض)",IF(ISNUMBER(SEARCH("تسمه",G207)),"خرابی - تسمه (تعویض)",IF(OR(ISNUMBER(SEARCH("پيچ ولوم",G207)),ISNUMBER(SEARCH("پیچ ولوم",G207))),"تنظیم - پیچ ولوم/دکمه (تعمیر)",IF(OR(ISNUMBER(SEARCH("کسري قطعات",G207)),ISNUMBER(SEARCH("کسری قطعات",G207))),"کسری قطعات تزئینی (تعویض)",IF(ISNUMBER(SEARCH("پرچ",G207)),"پرچ/بدنه کابین(تعمیر)",IF(OR(ISNUMBER(SEARCH("نشت",G207)),ISNUMBER(SEARCH("آبريزش",G207)),ISNUMBER(SEARCH("آبریزش",G207))),"نشتی آب - محل نامشخص (نیازمند بازدید)",IF(ISNUMBER(SEARCH("درب",G207)),"سایر اجزای درب (بازبینی)",IF(ISNUMBER(SEARCH("ضربه",G207)),"بدنه/کابین - ضربه (بازبینی/تعویض پنل)",IF(ISNUMBER(SEARCH("تراز",G207)),"تراز/لرزش - نصب (رگلاژ پایه)",IF(OR(ISNUMBER(SEARCH("تعویض",G207)),ISNUMBER(SEARCH("تعويض",G207))),"تعویض کامل دستگاه (Replacement)","سایر (نیازمند بررسی دستی)")))))))))))))))))))))))))))))))))))))))))))</f>
        <v/>
      </c>
      <c r="P207" s="124" t="inlineStr">
        <is>
          <t>واترجت ظرفشویی</t>
        </is>
      </c>
      <c r="Q207" s="124">
        <f>IF(ISNUMBER(SEARCH("عهده شرکت",F207)),"شرکت",IF(ISNUMBER(SEARCH("عهده مشتري",F207)),"مشتری",IF(ISNUMBER(SEARCH("عهده مشتری",F207)),"مشتری","نامشخص")))</f>
        <v/>
      </c>
      <c r="R207" s="178">
        <f>IF(O207="تعویض کامل دستگاه (Replacement)",IF(SUMIF('قیمت‌ها و مفروضات'!$A$9:$A$13,C207,'قیمت‌ها و مفروضات'!$C$9:$C$13)&lt;&gt;0,SUMIF('قیمت‌ها و مفروضات'!$A$9:$A$13,C207,'قیمت‌ها و مفروضات'!$C$9:$C$13),SUMIF('قیمت‌ها و مفروضات'!$A$9:$A$13,C207,'قیمت‌ها و مفروضات'!$B$9:$B$13)),IF(SUMIF('قیمت‌ها و مفروضات'!$A$18:$A$63,O207,'قیمت‌ها و مفروضات'!$C$18:$C$63)&lt;&gt;0,SUMIF('قیمت‌ها و مفروضات'!$A$18:$A$63,O207,'قیمت‌ها و مفروضات'!$C$18:$C$63),SUMIF('قیمت‌ها و مفروضات'!$A$18:$A$63,O207,'قیمت‌ها و مفروضات'!$B$18:$B$63)))</f>
        <v/>
      </c>
      <c r="S207" s="178">
        <f>'قیمت‌ها و مفروضات'!$B$3+'قیمت‌ها و مفروضات'!$B$4</f>
        <v/>
      </c>
      <c r="T207" s="178">
        <f>R207+S207</f>
        <v/>
      </c>
      <c r="U207" s="178">
        <f>IF(COUNTIF($E$2:E338,E207)&gt;1,"بله (تکراری)","خیر")</f>
        <v/>
      </c>
      <c r="V207" s="178">
        <f>IF(U207="بله (تکراری)",S207,0)</f>
        <v/>
      </c>
      <c r="W207" s="208" t="inlineStr"/>
      <c r="X207" s="208" t="inlineStr"/>
    </row>
    <row r="208" ht="58.5" customHeight="1" s="151">
      <c r="A208" s="176" t="n">
        <v>210007720</v>
      </c>
      <c r="B208" s="124">
        <f>CHOOSE(_xlfn.NUMBERVALUE(MID(H208,6,2)),"فروردین","اردیبهشت","خرداد","تیر","مرداد","شهریور","مهر","آبان","آذر","دی","بهمن","اسفند")</f>
        <v/>
      </c>
      <c r="C208" s="176" t="inlineStr">
        <is>
          <t>یخچال ساید‌بای‌ساید</t>
        </is>
      </c>
      <c r="D208" s="176" t="inlineStr">
        <is>
          <t>C2S-29HS1</t>
        </is>
      </c>
      <c r="E208" s="176" t="inlineStr">
        <is>
          <t>52240001N01048</t>
        </is>
      </c>
      <c r="F208" s="173" t="inlineStr">
        <is>
          <t>تعويض فيلتر - غيرگارانتي</t>
        </is>
      </c>
      <c r="G208" s="173" t="inlineStr">
        <is>
          <t>تعويض فيلتر / غيرگارانتي - سايد باي سايد</t>
        </is>
      </c>
      <c r="H208" s="176" t="inlineStr">
        <is>
          <t>1405/02/17</t>
        </is>
      </c>
      <c r="I208" s="124" t="inlineStr">
        <is>
          <t>1403/04/14</t>
        </is>
      </c>
      <c r="J208" s="124" t="inlineStr">
        <is>
          <t>1404/07/27</t>
        </is>
      </c>
      <c r="K208" s="177">
        <f>IFERROR(VLOOKUP(LEFT(H208,7),'تبدیل تاریخ'!$A$2:$B$73,2,FALSE())+VALUE(RIGHT(H208,2))-1,"")</f>
        <v/>
      </c>
      <c r="L208" s="177">
        <f>IFERROR(VLOOKUP(LEFT(I208,7),'تبدیل تاریخ'!$A$2:$B$73,2,FALSE())+VALUE(RIGHT(I208,2))-1,"")</f>
        <v/>
      </c>
      <c r="M208" s="177">
        <f>IF(J208="","",IFERROR(VLOOKUP(LEFT(J208,7),'تبدیل تاریخ'!$A$2:$B$73,2,FALSE())+VALUE(RIGHT(J208,2))-1,""))</f>
        <v/>
      </c>
      <c r="N208" s="124">
        <f>IF(OR(K208="",M208=""),"",CEILING((K208-M208)/30,1))</f>
        <v/>
      </c>
      <c r="O208" s="124">
        <f>IF(OR(ISNUMBER(SEARCH("بدون مورد",G208)),ISNUMBER(SEARCH("غير گارانتي",G208)),ISNUMBER(SEARCH("غیر گارانتی",G208)),ISNUMBER(SEARCH("بدون اجرت",G208)),ISNUMBER(SEARCH("فيلتر",G208)),ISNUMBER(SEARCH("فیلتر",G208))),"غیرگارانتی/بدون قطعه",IF(OR(ISNUMBER(SEARCH("ريست",G208)),ISNUMBER(SEARCH("ریست",G208))),"ریست نرم‌افزاری (بدون قطعه)",IF(OR(ISNUMBER(SEARCH("تعویض محصول",G208)),ISNUMBER(SEARCH("تعویض دستگاه",G208))),"تعویض کامل دستگاه (Replacement)",IF(ISNUMBER(SEARCH("پمپ",G208)),IF(ISNUMBER(SEARCH("نشت",G208)),"نشتی - پمپ تخلیه (تعمیر/آب‌بندی)","خرابی - پمپ تخلیه (تعویض)"),IF(ISNUMBER(SEARCH("کمپرسور",G208)),"خرابی - کمپرسور (تعویض)",IF(ISNUMBER(SEARCH("کمک فنر",G208)),"خرابی - کمک فنر (تعویض)",IF(ISNUMBER(SEARCH("لولا",G208)),"مکانیزم درب - لولا (تعویض)",IF(OR(ISNUMBER(SEARCH("قلاب",G208)),ISNUMBER(SEARCH("ميکروسوئيچ",G208)),ISNUMBER(SEARCH("میکروسوئیچ",G208))),"مکانیزم درب - میکروسوئیچ/قلاب (تعویض/تنظیم)",IF(ISNUMBER(SEARCH("زبانه",G208)),"مکانیزم درب - زبانه (تعویض)",IF(OR(ISNUMBER(SEARCH("شيلنگ",G208)),ISNUMBER(SEARCH("شیلنگ",G208))),IF(OR(ISNUMBER(SEARCH("نشتی",G208)),ISNUMBER(SEARCH("نشتي",G208))),"نشتی - شیلنگ (تعمیر/آب‌بندی)",IF(OR(ISNUMBER(SEARCH("يخ",G208)),ISNUMBER(SEARCH("یخ",G208))),"شیلنگ یخساز - یخ‌زدگی (بازبینی)","شیلنگ - برخورد/لهیدگی (بازبینی)")),IF(OR(ISNUMBER(SEARCH("تنظيم ديسپل",G208)),ISNUMBER(SEARCH("تنظیم دیسپل",G208)),ISNUMBER(SEARCH("تنظيم صفحه نمايش",G208)),ISNUMBER(SEARCH("تنظیم صفحه نمایش",G208))),"تنظیم - تنظیمات دستگاه/دیسپلی (تعمیر)",IF(OR(ISNUMBER(SEARCH("برد",G208)),ISNUMBER(SEARCH("سوکت",G208)),ISNUMBER(SEARCH("ديسپل",G208)),ISNUMBER(SEARCH("دیسپل",G208))),"خرابی - برد الکترونیک (تعویض)",IF(OR(ISNUMBER(SEARCH("يخساز",G208)),ISNUMBER(SEARCH("یخساز",G208)),ISNUMBER(SEARCH("دمپر",G208))),IF(OR(ISNUMBER(SEARCH("خرابی",G208)),ISNUMBER(SEARCH("خراب",G208)),ISNUMBER(SEARCH("عدم کارکرد",G208)),ISNUMBER(SEARCH("عدم عملکرد",G208))),"یخساز - خرابی موتور/سنسور/برد (تعویض)","یخساز - تنظیم/عایق (تعمیر)"),IF(OR(ISNUMBER(SEARCH("لاستيک",G208)),ISNUMBER(SEARCH("لاستیک",G208))),"لاستیک درزگیر - دفرمگی/پارگی (تعویض)",IF(OR(ISNUMBER(SEARCH("گسکت",G208)),ISNUMBER(SEARCH("گسگت",G208))),"لاستیک درزگیر - دفرمگی/پارگی (تعویض)",IF(ISNUMBER(SEARCH("مخزن نمک",G208)),"نشتی - درب مخزن نمک (تعمیر/آب‌بندی)",IF(ISNUMBER(SEARCH("براکت",G208)),"نشتی - براکت ریل (تعمیر/آب‌بندی)",IF(ISNUMBER(SEARCH("جاپودر",G208)),"نشتی - جاپودری (تعمیر/آب‌بندی)",IF(ISNUMBER(SEARCH("مقسم",G208)),"نشتی - مقسم آب (تعمیر/آب‌بندی)",IF(OR(ISNUMBER(SEARCH("سنسور دما",G208)),ISNUMBER(SEARCH("ترموستات",G208))),"خرابی - ترموستات (تعویض)",IF(OR(ISNUMBER(SEARCH("هيدروستات",G208)),ISNUMBER(SEARCH("هیدروستات",G208))),"خرابی - هیدروستات (تعویض)",IF(OR(ISNUMBER(SEARCH("بلبرينگ",G208)),ISNUMBER(SEARCH("بلبرینگ",G208))),"خرابی - بلبرینگ (تعویض)",IF(OR(ISNUMBER(SEARCH("شيربرق",G208)),ISNUMBER(SEARCH("شیربرق",G208))),"خرابی - شیربرقی (تعویض)",IF(OR(ISNUMBER(SEARCH("واتر جت",G208)),ISNUMBER(SEARCH("واترجت",G208))),"خرابی - واترجت (تعویض)",IF(OR(ISNUMBER(SEARCH("سيم",G208)),ISNUMBER(SEARCH("سیم",G208)),ISNUMBER(SEARCH("اتصال",G208))),"سیم‌کشی/اتصالات (تعویض/بازبینی)",IF(OR(ISNUMBER(SEARCH("تصوير",G208)),ISNUMBER(SEARCH("تصویر",G208))),"برد نمایش تلویزیون (تعویض)",IF(OR(ISNUMBER(SEARCH("ريموت",G208)),ISNUMBER(SEARCH("ریموت",G208))),"ریموت کنترل (تعویض/تعمیر)",IF(OR(ISNUMBER(SEARCH("ال اي دي",G208)),ISNUMBER(SEARCH("ال ای دی",G208)),ISNUMBER(SEARCH("LED",G208))),"خرابی - لامپ/LED داخلی (تعویض)",IF(ISNUMBER(SEARCH("زنگ زدگ",G208)),"زنگ‌زدگی بدنه/قطعه (تعویض)",IF(OR(ISNUMBER(SEARCH("قطعات تزئين",G208)),ISNUMBER(SEARCH("قطعات تزئین",G208))),"قطعات تزئینی - شکستگی/کسری (تعویض)",IF(ISNUMBER(SEARCH("سبد",G208)),"سبد ظرفشویی - شکستگی (تعویض)",IF(ISNUMBER(SEARCH("تاب درام",G208)),"خرابی - تاب برداشتن درام (تعویض)",IF(ISNUMBER(SEARCH("درام",G208)),"خرابی - سایر ایراد درام (تعویض)",IF(ISNUMBER(SEARCH("موتور",G208)),"خرابی - موتور (تعویض)",IF(ISNUMBER(SEARCH("تسمه",G208)),"خرابی - تسمه (تعویض)",IF(OR(ISNUMBER(SEARCH("پيچ ولوم",G208)),ISNUMBER(SEARCH("پیچ ولوم",G208))),"تنظیم - پیچ ولوم/دکمه (تعمیر)",IF(OR(ISNUMBER(SEARCH("کسري قطعات",G208)),ISNUMBER(SEARCH("کسری قطعات",G208))),"کسری قطعات تزئینی (تعویض)",IF(ISNUMBER(SEARCH("پرچ",G208)),"پرچ/بدنه کابین(تعمیر)",IF(OR(ISNUMBER(SEARCH("نشت",G208)),ISNUMBER(SEARCH("آبريزش",G208)),ISNUMBER(SEARCH("آبریزش",G208))),"نشتی آب - محل نامشخص (نیازمند بازدید)",IF(ISNUMBER(SEARCH("درب",G208)),"سایر اجزای درب (بازبینی)",IF(ISNUMBER(SEARCH("ضربه",G208)),"بدنه/کابین - ضربه (بازبینی/تعویض پنل)",IF(ISNUMBER(SEARCH("تراز",G208)),"تراز/لرزش - نصب (رگلاژ پایه)",IF(OR(ISNUMBER(SEARCH("تعویض",G208)),ISNUMBER(SEARCH("تعويض",G208))),"تعویض کامل دستگاه (Replacement)","سایر (نیازمند بررسی دستی)")))))))))))))))))))))))))))))))))))))))))))</f>
        <v/>
      </c>
      <c r="P208" s="124" t="inlineStr">
        <is>
          <t>*</t>
        </is>
      </c>
      <c r="Q208" s="124">
        <f>IF(ISNUMBER(SEARCH("عهده شرکت",F208)),"شرکت",IF(ISNUMBER(SEARCH("عهده مشتري",F208)),"مشتری",IF(ISNUMBER(SEARCH("عهده مشتری",F208)),"مشتری","نامشخص")))</f>
        <v/>
      </c>
      <c r="R208" s="178">
        <f>IF(O208="تعویض کامل دستگاه (Replacement)",IF(SUMIF('قیمت‌ها و مفروضات'!$A$9:$A$13,C208,'قیمت‌ها و مفروضات'!$C$9:$C$13)&lt;&gt;0,SUMIF('قیمت‌ها و مفروضات'!$A$9:$A$13,C208,'قیمت‌ها و مفروضات'!$C$9:$C$13),SUMIF('قیمت‌ها و مفروضات'!$A$9:$A$13,C208,'قیمت‌ها و مفروضات'!$B$9:$B$13)),IF(SUMIF('قیمت‌ها و مفروضات'!$A$18:$A$63,O208,'قیمت‌ها و مفروضات'!$C$18:$C$63)&lt;&gt;0,SUMIF('قیمت‌ها و مفروضات'!$A$18:$A$63,O208,'قیمت‌ها و مفروضات'!$C$18:$C$63),SUMIF('قیمت‌ها و مفروضات'!$A$18:$A$63,O208,'قیمت‌ها و مفروضات'!$B$18:$B$63)))</f>
        <v/>
      </c>
      <c r="S208" s="178">
        <f>'قیمت‌ها و مفروضات'!$B$3+'قیمت‌ها و مفروضات'!$B$4</f>
        <v/>
      </c>
      <c r="T208" s="178">
        <f>R208+S208</f>
        <v/>
      </c>
      <c r="U208" s="178">
        <f>IF(COUNTIF($E$2:E339,E208)&gt;1,"بله (تکراری)","خیر")</f>
        <v/>
      </c>
      <c r="V208" s="178">
        <f>IF(U208="بله (تکراری)",S208,0)</f>
        <v/>
      </c>
      <c r="W208" s="208" t="inlineStr"/>
      <c r="X208" s="208" t="inlineStr"/>
    </row>
    <row r="209" ht="58.5" customHeight="1" s="151">
      <c r="A209" s="176" t="n">
        <v>810002486</v>
      </c>
      <c r="B209" s="124">
        <f>CHOOSE(_xlfn.NUMBERVALUE(MID(H209,6,2)),"فروردین","اردیبهشت","خرداد","تیر","مرداد","شهریور","مهر","آبان","آذر","دی","بهمن","اسفند")</f>
        <v/>
      </c>
      <c r="C209" s="176" t="inlineStr">
        <is>
          <t>یخچال ساید‌بای‌ساید</t>
        </is>
      </c>
      <c r="D209" s="176" t="inlineStr">
        <is>
          <t>C2S-29HS1</t>
        </is>
      </c>
      <c r="E209" s="176" t="inlineStr">
        <is>
          <t>52240001N00372</t>
        </is>
      </c>
      <c r="F209" s="173" t="inlineStr">
        <is>
          <t>گرم شدن محصول**اياب و ذهاب به عهده مشتري</t>
        </is>
      </c>
      <c r="G209" s="173" t="inlineStr">
        <is>
          <t>خرابي کمپرسور - از کارافتادن - سايد باي سايد</t>
        </is>
      </c>
      <c r="H209" s="176" t="inlineStr">
        <is>
          <t>1405/02/17</t>
        </is>
      </c>
      <c r="I209" s="124" t="inlineStr">
        <is>
          <t>1403/04/02</t>
        </is>
      </c>
      <c r="J209" s="124" t="inlineStr">
        <is>
          <t>1403/12/05</t>
        </is>
      </c>
      <c r="K209" s="177">
        <f>IFERROR(VLOOKUP(LEFT(H209,7),'تبدیل تاریخ'!$A$2:$B$73,2,FALSE())+VALUE(RIGHT(H209,2))-1,"")</f>
        <v/>
      </c>
      <c r="L209" s="177">
        <f>IFERROR(VLOOKUP(LEFT(I209,7),'تبدیل تاریخ'!$A$2:$B$73,2,FALSE())+VALUE(RIGHT(I209,2))-1,"")</f>
        <v/>
      </c>
      <c r="M209" s="177">
        <f>IF(J209="","",IFERROR(VLOOKUP(LEFT(J209,7),'تبدیل تاریخ'!$A$2:$B$73,2,FALSE())+VALUE(RIGHT(J209,2))-1,""))</f>
        <v/>
      </c>
      <c r="N209" s="124">
        <f>IF(OR(K209="",M209=""),"",CEILING((K209-M209)/30,1))</f>
        <v/>
      </c>
      <c r="O209" s="124">
        <f>IF(OR(ISNUMBER(SEARCH("بدون مورد",G209)),ISNUMBER(SEARCH("غير گارانتي",G209)),ISNUMBER(SEARCH("غیر گارانتی",G209)),ISNUMBER(SEARCH("بدون اجرت",G209)),ISNUMBER(SEARCH("فيلتر",G209)),ISNUMBER(SEARCH("فیلتر",G209))),"غیرگارانتی/بدون قطعه",IF(OR(ISNUMBER(SEARCH("ريست",G209)),ISNUMBER(SEARCH("ریست",G209))),"ریست نرم‌افزاری (بدون قطعه)",IF(OR(ISNUMBER(SEARCH("تعویض محصول",G209)),ISNUMBER(SEARCH("تعویض دستگاه",G209))),"تعویض کامل دستگاه (Replacement)",IF(ISNUMBER(SEARCH("پمپ",G209)),IF(ISNUMBER(SEARCH("نشت",G209)),"نشتی - پمپ تخلیه (تعمیر/آب‌بندی)","خرابی - پمپ تخلیه (تعویض)"),IF(ISNUMBER(SEARCH("کمپرسور",G209)),"خرابی - کمپرسور (تعویض)",IF(ISNUMBER(SEARCH("کمک فنر",G209)),"خرابی - کمک فنر (تعویض)",IF(ISNUMBER(SEARCH("لولا",G209)),"مکانیزم درب - لولا (تعویض)",IF(OR(ISNUMBER(SEARCH("قلاب",G209)),ISNUMBER(SEARCH("ميکروسوئيچ",G209)),ISNUMBER(SEARCH("میکروسوئیچ",G209))),"مکانیزم درب - میکروسوئیچ/قلاب (تعویض/تنظیم)",IF(ISNUMBER(SEARCH("زبانه",G209)),"مکانیزم درب - زبانه (تعویض)",IF(OR(ISNUMBER(SEARCH("شيلنگ",G209)),ISNUMBER(SEARCH("شیلنگ",G209))),IF(OR(ISNUMBER(SEARCH("نشتی",G209)),ISNUMBER(SEARCH("نشتي",G209))),"نشتی - شیلنگ (تعمیر/آب‌بندی)",IF(OR(ISNUMBER(SEARCH("يخ",G209)),ISNUMBER(SEARCH("یخ",G209))),"شیلنگ یخساز - یخ‌زدگی (بازبینی)","شیلنگ - برخورد/لهیدگی (بازبینی)")),IF(OR(ISNUMBER(SEARCH("تنظيم ديسپل",G209)),ISNUMBER(SEARCH("تنظیم دیسپل",G209)),ISNUMBER(SEARCH("تنظيم صفحه نمايش",G209)),ISNUMBER(SEARCH("تنظیم صفحه نمایش",G209))),"تنظیم - تنظیمات دستگاه/دیسپلی (تعمیر)",IF(OR(ISNUMBER(SEARCH("برد",G209)),ISNUMBER(SEARCH("سوکت",G209)),ISNUMBER(SEARCH("ديسپل",G209)),ISNUMBER(SEARCH("دیسپل",G209))),"خرابی - برد الکترونیک (تعویض)",IF(OR(ISNUMBER(SEARCH("يخساز",G209)),ISNUMBER(SEARCH("یخساز",G209)),ISNUMBER(SEARCH("دمپر",G209))),IF(OR(ISNUMBER(SEARCH("خرابی",G209)),ISNUMBER(SEARCH("خراب",G209)),ISNUMBER(SEARCH("عدم کارکرد",G209)),ISNUMBER(SEARCH("عدم عملکرد",G209))),"یخساز - خرابی موتور/سنسور/برد (تعویض)","یخساز - تنظیم/عایق (تعمیر)"),IF(OR(ISNUMBER(SEARCH("لاستيک",G209)),ISNUMBER(SEARCH("لاستیک",G209))),"لاستیک درزگیر - دفرمگی/پارگی (تعویض)",IF(OR(ISNUMBER(SEARCH("گسکت",G209)),ISNUMBER(SEARCH("گسگت",G209))),"لاستیک درزگیر - دفرمگی/پارگی (تعویض)",IF(ISNUMBER(SEARCH("مخزن نمک",G209)),"نشتی - درب مخزن نمک (تعمیر/آب‌بندی)",IF(ISNUMBER(SEARCH("براکت",G209)),"نشتی - براکت ریل (تعمیر/آب‌بندی)",IF(ISNUMBER(SEARCH("جاپودر",G209)),"نشتی - جاپودری (تعمیر/آب‌بندی)",IF(ISNUMBER(SEARCH("مقسم",G209)),"نشتی - مقسم آب (تعمیر/آب‌بندی)",IF(OR(ISNUMBER(SEARCH("سنسور دما",G209)),ISNUMBER(SEARCH("ترموستات",G209))),"خرابی - ترموستات (تعویض)",IF(OR(ISNUMBER(SEARCH("هيدروستات",G209)),ISNUMBER(SEARCH("هیدروستات",G209))),"خرابی - هیدروستات (تعویض)",IF(OR(ISNUMBER(SEARCH("بلبرينگ",G209)),ISNUMBER(SEARCH("بلبرینگ",G209))),"خرابی - بلبرینگ (تعویض)",IF(OR(ISNUMBER(SEARCH("شيربرق",G209)),ISNUMBER(SEARCH("شیربرق",G209))),"خرابی - شیربرقی (تعویض)",IF(OR(ISNUMBER(SEARCH("واتر جت",G209)),ISNUMBER(SEARCH("واترجت",G209))),"خرابی - واترجت (تعویض)",IF(OR(ISNUMBER(SEARCH("سيم",G209)),ISNUMBER(SEARCH("سیم",G209)),ISNUMBER(SEARCH("اتصال",G209))),"سیم‌کشی/اتصالات (تعویض/بازبینی)",IF(OR(ISNUMBER(SEARCH("تصوير",G209)),ISNUMBER(SEARCH("تصویر",G209))),"برد نمایش تلویزیون (تعویض)",IF(OR(ISNUMBER(SEARCH("ريموت",G209)),ISNUMBER(SEARCH("ریموت",G209))),"ریموت کنترل (تعویض/تعمیر)",IF(OR(ISNUMBER(SEARCH("ال اي دي",G209)),ISNUMBER(SEARCH("ال ای دی",G209)),ISNUMBER(SEARCH("LED",G209))),"خرابی - لامپ/LED داخلی (تعویض)",IF(ISNUMBER(SEARCH("زنگ زدگ",G209)),"زنگ‌زدگی بدنه/قطعه (تعویض)",IF(OR(ISNUMBER(SEARCH("قطعات تزئين",G209)),ISNUMBER(SEARCH("قطعات تزئین",G209))),"قطعات تزئینی - شکستگی/کسری (تعویض)",IF(ISNUMBER(SEARCH("سبد",G209)),"سبد ظرفشویی - شکستگی (تعویض)",IF(ISNUMBER(SEARCH("تاب درام",G209)),"خرابی - تاب برداشتن درام (تعویض)",IF(ISNUMBER(SEARCH("درام",G209)),"خرابی - سایر ایراد درام (تعویض)",IF(ISNUMBER(SEARCH("موتور",G209)),"خرابی - موتور (تعویض)",IF(ISNUMBER(SEARCH("تسمه",G209)),"خرابی - تسمه (تعویض)",IF(OR(ISNUMBER(SEARCH("پيچ ولوم",G209)),ISNUMBER(SEARCH("پیچ ولوم",G209))),"تنظیم - پیچ ولوم/دکمه (تعمیر)",IF(OR(ISNUMBER(SEARCH("کسري قطعات",G209)),ISNUMBER(SEARCH("کسری قطعات",G209))),"کسری قطعات تزئینی (تعویض)",IF(ISNUMBER(SEARCH("پرچ",G209)),"پرچ/بدنه کابین(تعمیر)",IF(OR(ISNUMBER(SEARCH("نشت",G209)),ISNUMBER(SEARCH("آبريزش",G209)),ISNUMBER(SEARCH("آبریزش",G209))),"نشتی آب - محل نامشخص (نیازمند بازدید)",IF(ISNUMBER(SEARCH("درب",G209)),"سایر اجزای درب (بازبینی)",IF(ISNUMBER(SEARCH("ضربه",G209)),"بدنه/کابین - ضربه (بازبینی/تعویض پنل)",IF(ISNUMBER(SEARCH("تراز",G209)),"تراز/لرزش - نصب (رگلاژ پایه)",IF(OR(ISNUMBER(SEARCH("تعویض",G209)),ISNUMBER(SEARCH("تعويض",G209))),"تعویض کامل دستگاه (Replacement)","سایر (نیازمند بررسی دستی)")))))))))))))))))))))))))))))))))))))))))))</f>
        <v/>
      </c>
      <c r="P209" s="124" t="inlineStr">
        <is>
          <t>کمپرسور ساید بای ساید</t>
        </is>
      </c>
      <c r="Q209" s="124">
        <f>IF(ISNUMBER(SEARCH("عهده شرکت",F209)),"شرکت",IF(ISNUMBER(SEARCH("عهده مشتري",F209)),"مشتری",IF(ISNUMBER(SEARCH("عهده مشتری",F209)),"مشتری","نامشخص")))</f>
        <v/>
      </c>
      <c r="R209" s="178">
        <f>IF(O209="تعویض کامل دستگاه (Replacement)",IF(SUMIF('قیمت‌ها و مفروضات'!$A$9:$A$13,C209,'قیمت‌ها و مفروضات'!$C$9:$C$13)&lt;&gt;0,SUMIF('قیمت‌ها و مفروضات'!$A$9:$A$13,C209,'قیمت‌ها و مفروضات'!$C$9:$C$13),SUMIF('قیمت‌ها و مفروضات'!$A$9:$A$13,C209,'قیمت‌ها و مفروضات'!$B$9:$B$13)),IF(SUMIF('قیمت‌ها و مفروضات'!$A$18:$A$63,O209,'قیمت‌ها و مفروضات'!$C$18:$C$63)&lt;&gt;0,SUMIF('قیمت‌ها و مفروضات'!$A$18:$A$63,O209,'قیمت‌ها و مفروضات'!$C$18:$C$63),SUMIF('قیمت‌ها و مفروضات'!$A$18:$A$63,O209,'قیمت‌ها و مفروضات'!$B$18:$B$63)))</f>
        <v/>
      </c>
      <c r="S209" s="178">
        <f>'قیمت‌ها و مفروضات'!$B$3+'قیمت‌ها و مفروضات'!$B$4</f>
        <v/>
      </c>
      <c r="T209" s="178">
        <f>R209+S209</f>
        <v/>
      </c>
      <c r="U209" s="178">
        <f>IF(COUNTIF($E$2:E340,E209)&gt;1,"بله (تکراری)","خیر")</f>
        <v/>
      </c>
      <c r="V209" s="178">
        <f>IF(U209="بله (تکراری)",S209,0)</f>
        <v/>
      </c>
      <c r="W209" s="208" t="inlineStr"/>
      <c r="X209" s="208" t="inlineStr"/>
    </row>
    <row r="210" ht="58.5" customHeight="1" s="151">
      <c r="A210" s="176" t="n">
        <v>710001786</v>
      </c>
      <c r="B210" s="124">
        <f>CHOOSE(_xlfn.NUMBERVALUE(MID(H210,6,2)),"فروردین","اردیبهشت","خرداد","تیر","مرداد","شهریور","مهر","آبان","آذر","دی","بهمن","اسفند")</f>
        <v/>
      </c>
      <c r="C210" s="176" t="inlineStr">
        <is>
          <t>ماشين لباسشويي</t>
        </is>
      </c>
      <c r="D210" s="176" t="inlineStr">
        <is>
          <t>CWM-BMW8V1</t>
        </is>
      </c>
      <c r="E210" s="176" t="inlineStr">
        <is>
          <t>52210003N01370</t>
        </is>
      </c>
      <c r="F210" s="173" t="inlineStr">
        <is>
          <t>از کار افتادن محصول اياب و ذهاب به عهده مشتري</t>
        </is>
      </c>
      <c r="G210" s="173" t="inlineStr">
        <is>
          <t>پارگي تسمه</t>
        </is>
      </c>
      <c r="H210" s="176" t="inlineStr">
        <is>
          <t>1405/02/17</t>
        </is>
      </c>
      <c r="I210" s="124" t="inlineStr">
        <is>
          <t>1403/10/23</t>
        </is>
      </c>
      <c r="J210" s="124" t="inlineStr">
        <is>
          <t>1403/11/10</t>
        </is>
      </c>
      <c r="K210" s="177">
        <f>IFERROR(VLOOKUP(LEFT(H210,7),'تبدیل تاریخ'!$A$2:$B$73,2,FALSE())+VALUE(RIGHT(H210,2))-1,"")</f>
        <v/>
      </c>
      <c r="L210" s="177">
        <f>IFERROR(VLOOKUP(LEFT(I210,7),'تبدیل تاریخ'!$A$2:$B$73,2,FALSE())+VALUE(RIGHT(I210,2))-1,"")</f>
        <v/>
      </c>
      <c r="M210" s="177">
        <f>IF(J210="","",IFERROR(VLOOKUP(LEFT(J210,7),'تبدیل تاریخ'!$A$2:$B$73,2,FALSE())+VALUE(RIGHT(J210,2))-1,""))</f>
        <v/>
      </c>
      <c r="N210" s="124">
        <f>IF(OR(K210="",M210=""),"",CEILING((K210-M210)/30,1))</f>
        <v/>
      </c>
      <c r="O210" s="124">
        <f>IF(OR(ISNUMBER(SEARCH("بدون مورد",G210)),ISNUMBER(SEARCH("غير گارانتي",G210)),ISNUMBER(SEARCH("غیر گارانتی",G210)),ISNUMBER(SEARCH("بدون اجرت",G210)),ISNUMBER(SEARCH("فيلتر",G210)),ISNUMBER(SEARCH("فیلتر",G210))),"غیرگارانتی/بدون قطعه",IF(OR(ISNUMBER(SEARCH("ريست",G210)),ISNUMBER(SEARCH("ریست",G210))),"ریست نرم‌افزاری (بدون قطعه)",IF(OR(ISNUMBER(SEARCH("تعویض محصول",G210)),ISNUMBER(SEARCH("تعویض دستگاه",G210))),"تعویض کامل دستگاه (Replacement)",IF(ISNUMBER(SEARCH("پمپ",G210)),IF(ISNUMBER(SEARCH("نشت",G210)),"نشتی - پمپ تخلیه (تعمیر/آب‌بندی)","خرابی - پمپ تخلیه (تعویض)"),IF(ISNUMBER(SEARCH("کمپرسور",G210)),"خرابی - کمپرسور (تعویض)",IF(ISNUMBER(SEARCH("کمک فنر",G210)),"خرابی - کمک فنر (تعویض)",IF(ISNUMBER(SEARCH("لولا",G210)),"مکانیزم درب - لولا (تعویض)",IF(OR(ISNUMBER(SEARCH("قلاب",G210)),ISNUMBER(SEARCH("ميکروسوئيچ",G210)),ISNUMBER(SEARCH("میکروسوئیچ",G210))),"مکانیزم درب - میکروسوئیچ/قلاب (تعویض/تنظیم)",IF(ISNUMBER(SEARCH("زبانه",G210)),"مکانیزم درب - زبانه (تعویض)",IF(OR(ISNUMBER(SEARCH("شيلنگ",G210)),ISNUMBER(SEARCH("شیلنگ",G210))),IF(OR(ISNUMBER(SEARCH("نشتی",G210)),ISNUMBER(SEARCH("نشتي",G210))),"نشتی - شیلنگ (تعمیر/آب‌بندی)",IF(OR(ISNUMBER(SEARCH("يخ",G210)),ISNUMBER(SEARCH("یخ",G210))),"شیلنگ یخساز - یخ‌زدگی (بازبینی)","شیلنگ - برخورد/لهیدگی (بازبینی)")),IF(OR(ISNUMBER(SEARCH("تنظيم ديسپل",G210)),ISNUMBER(SEARCH("تنظیم دیسپل",G210)),ISNUMBER(SEARCH("تنظيم صفحه نمايش",G210)),ISNUMBER(SEARCH("تنظیم صفحه نمایش",G210))),"تنظیم - تنظیمات دستگاه/دیسپلی (تعمیر)",IF(OR(ISNUMBER(SEARCH("برد",G210)),ISNUMBER(SEARCH("سوکت",G210)),ISNUMBER(SEARCH("ديسپل",G210)),ISNUMBER(SEARCH("دیسپل",G210))),"خرابی - برد الکترونیک (تعویض)",IF(OR(ISNUMBER(SEARCH("يخساز",G210)),ISNUMBER(SEARCH("یخساز",G210)),ISNUMBER(SEARCH("دمپر",G210))),IF(OR(ISNUMBER(SEARCH("خرابی",G210)),ISNUMBER(SEARCH("خراب",G210)),ISNUMBER(SEARCH("عدم کارکرد",G210)),ISNUMBER(SEARCH("عدم عملکرد",G210))),"یخساز - خرابی موتور/سنسور/برد (تعویض)","یخساز - تنظیم/عایق (تعمیر)"),IF(OR(ISNUMBER(SEARCH("لاستيک",G210)),ISNUMBER(SEARCH("لاستیک",G210))),"لاستیک درزگیر - دفرمگی/پارگی (تعویض)",IF(OR(ISNUMBER(SEARCH("گسکت",G210)),ISNUMBER(SEARCH("گسگت",G210))),"لاستیک درزگیر - دفرمگی/پارگی (تعویض)",IF(ISNUMBER(SEARCH("مخزن نمک",G210)),"نشتی - درب مخزن نمک (تعمیر/آب‌بندی)",IF(ISNUMBER(SEARCH("براکت",G210)),"نشتی - براکت ریل (تعمیر/آب‌بندی)",IF(ISNUMBER(SEARCH("جاپودر",G210)),"نشتی - جاپودری (تعمیر/آب‌بندی)",IF(ISNUMBER(SEARCH("مقسم",G210)),"نشتی - مقسم آب (تعمیر/آب‌بندی)",IF(OR(ISNUMBER(SEARCH("سنسور دما",G210)),ISNUMBER(SEARCH("ترموستات",G210))),"خرابی - ترموستات (تعویض)",IF(OR(ISNUMBER(SEARCH("هيدروستات",G210)),ISNUMBER(SEARCH("هیدروستات",G210))),"خرابی - هیدروستات (تعویض)",IF(OR(ISNUMBER(SEARCH("بلبرينگ",G210)),ISNUMBER(SEARCH("بلبرینگ",G210))),"خرابی - بلبرینگ (تعویض)",IF(OR(ISNUMBER(SEARCH("شيربرق",G210)),ISNUMBER(SEARCH("شیربرق",G210))),"خرابی - شیربرقی (تعویض)",IF(OR(ISNUMBER(SEARCH("واتر جت",G210)),ISNUMBER(SEARCH("واترجت",G210))),"خرابی - واترجت (تعویض)",IF(OR(ISNUMBER(SEARCH("سيم",G210)),ISNUMBER(SEARCH("سیم",G210)),ISNUMBER(SEARCH("اتصال",G210))),"سیم‌کشی/اتصالات (تعویض/بازبینی)",IF(OR(ISNUMBER(SEARCH("تصوير",G210)),ISNUMBER(SEARCH("تصویر",G210))),"برد نمایش تلویزیون (تعویض)",IF(OR(ISNUMBER(SEARCH("ريموت",G210)),ISNUMBER(SEARCH("ریموت",G210))),"ریموت کنترل (تعویض/تعمیر)",IF(OR(ISNUMBER(SEARCH("ال اي دي",G210)),ISNUMBER(SEARCH("ال ای دی",G210)),ISNUMBER(SEARCH("LED",G210))),"خرابی - لامپ/LED داخلی (تعویض)",IF(ISNUMBER(SEARCH("زنگ زدگ",G210)),"زنگ‌زدگی بدنه/قطعه (تعویض)",IF(OR(ISNUMBER(SEARCH("قطعات تزئين",G210)),ISNUMBER(SEARCH("قطعات تزئین",G210))),"قطعات تزئینی - شکستگی/کسری (تعویض)",IF(ISNUMBER(SEARCH("سبد",G210)),"سبد ظرفشویی - شکستگی (تعویض)",IF(ISNUMBER(SEARCH("تاب درام",G210)),"خرابی - تاب برداشتن درام (تعویض)",IF(ISNUMBER(SEARCH("درام",G210)),"خرابی - سایر ایراد درام (تعویض)",IF(ISNUMBER(SEARCH("موتور",G210)),"خرابی - موتور (تعویض)",IF(ISNUMBER(SEARCH("تسمه",G210)),"خرابی - تسمه (تعویض)",IF(OR(ISNUMBER(SEARCH("پيچ ولوم",G210)),ISNUMBER(SEARCH("پیچ ولوم",G210))),"تنظیم - پیچ ولوم/دکمه (تعمیر)",IF(OR(ISNUMBER(SEARCH("کسري قطعات",G210)),ISNUMBER(SEARCH("کسری قطعات",G210))),"کسری قطعات تزئینی (تعویض)",IF(ISNUMBER(SEARCH("پرچ",G210)),"پرچ/بدنه کابین(تعمیر)",IF(OR(ISNUMBER(SEARCH("نشت",G210)),ISNUMBER(SEARCH("آبريزش",G210)),ISNUMBER(SEARCH("آبریزش",G210))),"نشتی آب - محل نامشخص (نیازمند بازدید)",IF(ISNUMBER(SEARCH("درب",G210)),"سایر اجزای درب (بازبینی)",IF(ISNUMBER(SEARCH("ضربه",G210)),"بدنه/کابین - ضربه (بازبینی/تعویض پنل)",IF(ISNUMBER(SEARCH("تراز",G210)),"تراز/لرزش - نصب (رگلاژ پایه)",IF(OR(ISNUMBER(SEARCH("تعویض",G210)),ISNUMBER(SEARCH("تعويض",G210))),"تعویض کامل دستگاه (Replacement)","سایر (نیازمند بررسی دستی)")))))))))))))))))))))))))))))))))))))))))))</f>
        <v/>
      </c>
      <c r="P210" s="124" t="inlineStr">
        <is>
          <t>تسمه لباسشویی</t>
        </is>
      </c>
      <c r="Q210" s="124">
        <f>IF(ISNUMBER(SEARCH("عهده شرکت",F210)),"شرکت",IF(ISNUMBER(SEARCH("عهده مشتري",F210)),"مشتری",IF(ISNUMBER(SEARCH("عهده مشتری",F210)),"مشتری","نامشخص")))</f>
        <v/>
      </c>
      <c r="R210" s="178">
        <f>IF(O210="تعویض کامل دستگاه (Replacement)",IF(SUMIF('قیمت‌ها و مفروضات'!$A$9:$A$13,C210,'قیمت‌ها و مفروضات'!$C$9:$C$13)&lt;&gt;0,SUMIF('قیمت‌ها و مفروضات'!$A$9:$A$13,C210,'قیمت‌ها و مفروضات'!$C$9:$C$13),SUMIF('قیمت‌ها و مفروضات'!$A$9:$A$13,C210,'قیمت‌ها و مفروضات'!$B$9:$B$13)),IF(SUMIF('قیمت‌ها و مفروضات'!$A$18:$A$63,O210,'قیمت‌ها و مفروضات'!$C$18:$C$63)&lt;&gt;0,SUMIF('قیمت‌ها و مفروضات'!$A$18:$A$63,O210,'قیمت‌ها و مفروضات'!$C$18:$C$63),SUMIF('قیمت‌ها و مفروضات'!$A$18:$A$63,O210,'قیمت‌ها و مفروضات'!$B$18:$B$63)))</f>
        <v/>
      </c>
      <c r="S210" s="178">
        <f>'قیمت‌ها و مفروضات'!$B$3+'قیمت‌ها و مفروضات'!$B$4</f>
        <v/>
      </c>
      <c r="T210" s="178">
        <f>R210+S210</f>
        <v/>
      </c>
      <c r="U210" s="178">
        <f>IF(COUNTIF($E$2:E341,E210)&gt;1,"بله (تکراری)","خیر")</f>
        <v/>
      </c>
      <c r="V210" s="178">
        <f>IF(U210="بله (تکراری)",S210,0)</f>
        <v/>
      </c>
      <c r="W210" s="208" t="inlineStr"/>
      <c r="X210" s="208" t="inlineStr"/>
    </row>
    <row r="211" ht="58.5" customHeight="1" s="151">
      <c r="A211" s="176" t="n">
        <v>810004652</v>
      </c>
      <c r="B211" s="124">
        <f>CHOOSE(_xlfn.NUMBERVALUE(MID(H211,6,2)),"فروردین","اردیبهشت","خرداد","تیر","مرداد","شهریور","مهر","آبان","آذر","دی","بهمن","اسفند")</f>
        <v/>
      </c>
      <c r="C211" s="176" t="inlineStr">
        <is>
          <t>ماشين لباسشويي</t>
        </is>
      </c>
      <c r="D211" s="176" t="inlineStr">
        <is>
          <t>CWM-BMW8V1</t>
        </is>
      </c>
      <c r="E211" s="176" t="inlineStr">
        <is>
          <t>52210004N01516</t>
        </is>
      </c>
      <c r="F211" s="173" t="inlineStr">
        <is>
          <t>لرزش و حرکت محصول**اياب و ذهاب به عهده شرکت</t>
        </is>
      </c>
      <c r="G211" s="173" t="inlineStr">
        <is>
          <t>تاب درام</t>
        </is>
      </c>
      <c r="H211" s="176" t="inlineStr">
        <is>
          <t>1405/02/17</t>
        </is>
      </c>
      <c r="I211" s="124" t="inlineStr">
        <is>
          <t>1404/05/26</t>
        </is>
      </c>
      <c r="J211" s="124" t="inlineStr">
        <is>
          <t>1404/07/14</t>
        </is>
      </c>
      <c r="K211" s="177">
        <f>IFERROR(VLOOKUP(LEFT(H211,7),'تبدیل تاریخ'!$A$2:$B$73,2,FALSE())+VALUE(RIGHT(H211,2))-1,"")</f>
        <v/>
      </c>
      <c r="L211" s="177">
        <f>IFERROR(VLOOKUP(LEFT(I211,7),'تبدیل تاریخ'!$A$2:$B$73,2,FALSE())+VALUE(RIGHT(I211,2))-1,"")</f>
        <v/>
      </c>
      <c r="M211" s="177">
        <f>IF(J211="","",IFERROR(VLOOKUP(LEFT(J211,7),'تبدیل تاریخ'!$A$2:$B$73,2,FALSE())+VALUE(RIGHT(J211,2))-1,""))</f>
        <v/>
      </c>
      <c r="N211" s="124">
        <f>IF(OR(K211="",M211=""),"",CEILING((K211-M211)/30,1))</f>
        <v/>
      </c>
      <c r="O211" s="124">
        <f>IF(OR(ISNUMBER(SEARCH("بدون مورد",G211)),ISNUMBER(SEARCH("غير گارانتي",G211)),ISNUMBER(SEARCH("غیر گارانتی",G211)),ISNUMBER(SEARCH("بدون اجرت",G211)),ISNUMBER(SEARCH("فيلتر",G211)),ISNUMBER(SEARCH("فیلتر",G211))),"غیرگارانتی/بدون قطعه",IF(OR(ISNUMBER(SEARCH("ريست",G211)),ISNUMBER(SEARCH("ریست",G211))),"ریست نرم‌افزاری (بدون قطعه)",IF(OR(ISNUMBER(SEARCH("تعویض محصول",G211)),ISNUMBER(SEARCH("تعویض دستگاه",G211))),"تعویض کامل دستگاه (Replacement)",IF(ISNUMBER(SEARCH("پمپ",G211)),IF(ISNUMBER(SEARCH("نشت",G211)),"نشتی - پمپ تخلیه (تعمیر/آب‌بندی)","خرابی - پمپ تخلیه (تعویض)"),IF(ISNUMBER(SEARCH("کمپرسور",G211)),"خرابی - کمپرسور (تعویض)",IF(ISNUMBER(SEARCH("کمک فنر",G211)),"خرابی - کمک فنر (تعویض)",IF(ISNUMBER(SEARCH("لولا",G211)),"مکانیزم درب - لولا (تعویض)",IF(OR(ISNUMBER(SEARCH("قلاب",G211)),ISNUMBER(SEARCH("ميکروسوئيچ",G211)),ISNUMBER(SEARCH("میکروسوئیچ",G211))),"مکانیزم درب - میکروسوئیچ/قلاب (تعویض/تنظیم)",IF(ISNUMBER(SEARCH("زبانه",G211)),"مکانیزم درب - زبانه (تعویض)",IF(OR(ISNUMBER(SEARCH("شيلنگ",G211)),ISNUMBER(SEARCH("شیلنگ",G211))),IF(OR(ISNUMBER(SEARCH("نشتی",G211)),ISNUMBER(SEARCH("نشتي",G211))),"نشتی - شیلنگ (تعمیر/آب‌بندی)",IF(OR(ISNUMBER(SEARCH("يخ",G211)),ISNUMBER(SEARCH("یخ",G211))),"شیلنگ یخساز - یخ‌زدگی (بازبینی)","شیلنگ - برخورد/لهیدگی (بازبینی)")),IF(OR(ISNUMBER(SEARCH("تنظيم ديسپل",G211)),ISNUMBER(SEARCH("تنظیم دیسپل",G211)),ISNUMBER(SEARCH("تنظيم صفحه نمايش",G211)),ISNUMBER(SEARCH("تنظیم صفحه نمایش",G211))),"تنظیم - تنظیمات دستگاه/دیسپلی (تعمیر)",IF(OR(ISNUMBER(SEARCH("برد",G211)),ISNUMBER(SEARCH("سوکت",G211)),ISNUMBER(SEARCH("ديسپل",G211)),ISNUMBER(SEARCH("دیسپل",G211))),"خرابی - برد الکترونیک (تعویض)",IF(OR(ISNUMBER(SEARCH("يخساز",G211)),ISNUMBER(SEARCH("یخساز",G211)),ISNUMBER(SEARCH("دمپر",G211))),IF(OR(ISNUMBER(SEARCH("خرابی",G211)),ISNUMBER(SEARCH("خراب",G211)),ISNUMBER(SEARCH("عدم کارکرد",G211)),ISNUMBER(SEARCH("عدم عملکرد",G211))),"یخساز - خرابی موتور/سنسور/برد (تعویض)","یخساز - تنظیم/عایق (تعمیر)"),IF(OR(ISNUMBER(SEARCH("لاستيک",G211)),ISNUMBER(SEARCH("لاستیک",G211))),"لاستیک درزگیر - دفرمگی/پارگی (تعویض)",IF(OR(ISNUMBER(SEARCH("گسکت",G211)),ISNUMBER(SEARCH("گسگت",G211))),"لاستیک درزگیر - دفرمگی/پارگی (تعویض)",IF(ISNUMBER(SEARCH("مخزن نمک",G211)),"نشتی - درب مخزن نمک (تعمیر/آب‌بندی)",IF(ISNUMBER(SEARCH("براکت",G211)),"نشتی - براکت ریل (تعمیر/آب‌بندی)",IF(ISNUMBER(SEARCH("جاپودر",G211)),"نشتی - جاپودری (تعمیر/آب‌بندی)",IF(ISNUMBER(SEARCH("مقسم",G211)),"نشتی - مقسم آب (تعمیر/آب‌بندی)",IF(OR(ISNUMBER(SEARCH("سنسور دما",G211)),ISNUMBER(SEARCH("ترموستات",G211))),"خرابی - ترموستات (تعویض)",IF(OR(ISNUMBER(SEARCH("هيدروستات",G211)),ISNUMBER(SEARCH("هیدروستات",G211))),"خرابی - هیدروستات (تعویض)",IF(OR(ISNUMBER(SEARCH("بلبرينگ",G211)),ISNUMBER(SEARCH("بلبرینگ",G211))),"خرابی - بلبرینگ (تعویض)",IF(OR(ISNUMBER(SEARCH("شيربرق",G211)),ISNUMBER(SEARCH("شیربرق",G211))),"خرابی - شیربرقی (تعویض)",IF(OR(ISNUMBER(SEARCH("واتر جت",G211)),ISNUMBER(SEARCH("واترجت",G211))),"خرابی - واترجت (تعویض)",IF(OR(ISNUMBER(SEARCH("سيم",G211)),ISNUMBER(SEARCH("سیم",G211)),ISNUMBER(SEARCH("اتصال",G211))),"سیم‌کشی/اتصالات (تعویض/بازبینی)",IF(OR(ISNUMBER(SEARCH("تصوير",G211)),ISNUMBER(SEARCH("تصویر",G211))),"برد نمایش تلویزیون (تعویض)",IF(OR(ISNUMBER(SEARCH("ريموت",G211)),ISNUMBER(SEARCH("ریموت",G211))),"ریموت کنترل (تعویض/تعمیر)",IF(OR(ISNUMBER(SEARCH("ال اي دي",G211)),ISNUMBER(SEARCH("ال ای دی",G211)),ISNUMBER(SEARCH("LED",G211))),"خرابی - لامپ/LED داخلی (تعویض)",IF(ISNUMBER(SEARCH("زنگ زدگ",G211)),"زنگ‌زدگی بدنه/قطعه (تعویض)",IF(OR(ISNUMBER(SEARCH("قطعات تزئين",G211)),ISNUMBER(SEARCH("قطعات تزئین",G211))),"قطعات تزئینی - شکستگی/کسری (تعویض)",IF(ISNUMBER(SEARCH("سبد",G211)),"سبد ظرفشویی - شکستگی (تعویض)",IF(ISNUMBER(SEARCH("تاب درام",G211)),"خرابی - تاب برداشتن درام (تعویض)",IF(ISNUMBER(SEARCH("درام",G211)),"خرابی - سایر ایراد درام (تعویض)",IF(ISNUMBER(SEARCH("موتور",G211)),"خرابی - موتور (تعویض)",IF(ISNUMBER(SEARCH("تسمه",G211)),"خرابی - تسمه (تعویض)",IF(OR(ISNUMBER(SEARCH("پيچ ولوم",G211)),ISNUMBER(SEARCH("پیچ ولوم",G211))),"تنظیم - پیچ ولوم/دکمه (تعمیر)",IF(OR(ISNUMBER(SEARCH("کسري قطعات",G211)),ISNUMBER(SEARCH("کسری قطعات",G211))),"کسری قطعات تزئینی (تعویض)",IF(ISNUMBER(SEARCH("پرچ",G211)),"پرچ/بدنه کابین(تعمیر)",IF(OR(ISNUMBER(SEARCH("نشت",G211)),ISNUMBER(SEARCH("آبريزش",G211)),ISNUMBER(SEARCH("آبریزش",G211))),"نشتی آب - محل نامشخص (نیازمند بازدید)",IF(ISNUMBER(SEARCH("درب",G211)),"سایر اجزای درب (بازبینی)",IF(ISNUMBER(SEARCH("ضربه",G211)),"بدنه/کابین - ضربه (بازبینی/تعویض پنل)",IF(ISNUMBER(SEARCH("تراز",G211)),"تراز/لرزش - نصب (رگلاژ پایه)",IF(OR(ISNUMBER(SEARCH("تعویض",G211)),ISNUMBER(SEARCH("تعويض",G211))),"تعویض کامل دستگاه (Replacement)","سایر (نیازمند بررسی دستی)")))))))))))))))))))))))))))))))))))))))))))</f>
        <v/>
      </c>
      <c r="P211" s="124" t="inlineStr">
        <is>
          <t>*</t>
        </is>
      </c>
      <c r="Q211" s="124">
        <f>IF(ISNUMBER(SEARCH("عهده شرکت",F211)),"شرکت",IF(ISNUMBER(SEARCH("عهده مشتري",F211)),"مشتری",IF(ISNUMBER(SEARCH("عهده مشتری",F211)),"مشتری","نامشخص")))</f>
        <v/>
      </c>
      <c r="R211" s="178">
        <f>IF(O211="تعویض کامل دستگاه (Replacement)",IF(SUMIF('قیمت‌ها و مفروضات'!$A$9:$A$13,C211,'قیمت‌ها و مفروضات'!$C$9:$C$13)&lt;&gt;0,SUMIF('قیمت‌ها و مفروضات'!$A$9:$A$13,C211,'قیمت‌ها و مفروضات'!$C$9:$C$13),SUMIF('قیمت‌ها و مفروضات'!$A$9:$A$13,C211,'قیمت‌ها و مفروضات'!$B$9:$B$13)),IF(SUMIF('قیمت‌ها و مفروضات'!$A$18:$A$63,O211,'قیمت‌ها و مفروضات'!$C$18:$C$63)&lt;&gt;0,SUMIF('قیمت‌ها و مفروضات'!$A$18:$A$63,O211,'قیمت‌ها و مفروضات'!$C$18:$C$63),SUMIF('قیمت‌ها و مفروضات'!$A$18:$A$63,O211,'قیمت‌ها و مفروضات'!$B$18:$B$63)))</f>
        <v/>
      </c>
      <c r="S211" s="178">
        <f>'قیمت‌ها و مفروضات'!$B$3+'قیمت‌ها و مفروضات'!$B$4</f>
        <v/>
      </c>
      <c r="T211" s="178">
        <f>R211+S211</f>
        <v/>
      </c>
      <c r="U211" s="178">
        <f>IF(COUNTIF($E$2:E342,E211)&gt;1,"بله (تکراری)","خیر")</f>
        <v/>
      </c>
      <c r="V211" s="178">
        <f>IF(U211="بله (تکراری)",S211,0)</f>
        <v/>
      </c>
      <c r="W211" s="208" t="inlineStr"/>
      <c r="X211" s="208" t="inlineStr"/>
    </row>
    <row r="212" ht="58.5" customHeight="1" s="151">
      <c r="A212" s="176" t="n">
        <v>210008359</v>
      </c>
      <c r="B212" s="124">
        <f>CHOOSE(_xlfn.NUMBERVALUE(MID(H212,6,2)),"فروردین","اردیبهشت","خرداد","تیر","مرداد","شهریور","مهر","آبان","آذر","دی","بهمن","اسفند")</f>
        <v/>
      </c>
      <c r="C212" s="176" t="inlineStr">
        <is>
          <t>یخچال ساید‌بای‌ساید</t>
        </is>
      </c>
      <c r="D212" s="176" t="inlineStr">
        <is>
          <t>C2S-29HS1</t>
        </is>
      </c>
      <c r="E212" s="176" t="inlineStr">
        <is>
          <t>52240001N01301</t>
        </is>
      </c>
      <c r="F212" s="173" t="inlineStr">
        <is>
          <t>صداي غيرعادي درب اياب و ذهاب به عهده مشتري</t>
        </is>
      </c>
      <c r="G212" s="173" t="inlineStr">
        <is>
          <t>تعويض آرام بند - سايد باي سايد</t>
        </is>
      </c>
      <c r="H212" s="176" t="inlineStr">
        <is>
          <t>1405/02/15</t>
        </is>
      </c>
      <c r="I212" s="124" t="inlineStr">
        <is>
          <t>1403/06/04</t>
        </is>
      </c>
      <c r="J212" s="124" t="inlineStr">
        <is>
          <t>1403/07/17</t>
        </is>
      </c>
      <c r="K212" s="177">
        <f>IFERROR(VLOOKUP(LEFT(H212,7),'تبدیل تاریخ'!$A$2:$B$73,2,FALSE())+VALUE(RIGHT(H212,2))-1,"")</f>
        <v/>
      </c>
      <c r="L212" s="177">
        <f>IFERROR(VLOOKUP(LEFT(I212,7),'تبدیل تاریخ'!$A$2:$B$73,2,FALSE())+VALUE(RIGHT(I212,2))-1,"")</f>
        <v/>
      </c>
      <c r="M212" s="177">
        <f>IF(J212="","",IFERROR(VLOOKUP(LEFT(J212,7),'تبدیل تاریخ'!$A$2:$B$73,2,FALSE())+VALUE(RIGHT(J212,2))-1,""))</f>
        <v/>
      </c>
      <c r="N212" s="124">
        <f>IF(OR(K212="",M212=""),"",CEILING((K212-M212)/30,1))</f>
        <v/>
      </c>
      <c r="O212" s="124">
        <f>IF(OR(ISNUMBER(SEARCH("بدون مورد",G212)),ISNUMBER(SEARCH("غير گارانتي",G212)),ISNUMBER(SEARCH("غیر گارانتی",G212)),ISNUMBER(SEARCH("بدون اجرت",G212)),ISNUMBER(SEARCH("فيلتر",G212)),ISNUMBER(SEARCH("فیلتر",G212))),"غیرگارانتی/بدون قطعه",IF(OR(ISNUMBER(SEARCH("ريست",G212)),ISNUMBER(SEARCH("ریست",G212))),"ریست نرم‌افزاری (بدون قطعه)",IF(OR(ISNUMBER(SEARCH("تعویض محصول",G212)),ISNUMBER(SEARCH("تعویض دستگاه",G212))),"تعویض کامل دستگاه (Replacement)",IF(ISNUMBER(SEARCH("پمپ",G212)),IF(ISNUMBER(SEARCH("نشت",G212)),"نشتی - پمپ تخلیه (تعمیر/آب‌بندی)","خرابی - پمپ تخلیه (تعویض)"),IF(ISNUMBER(SEARCH("کمپرسور",G212)),"خرابی - کمپرسور (تعویض)",IF(ISNUMBER(SEARCH("کمک فنر",G212)),"خرابی - کمک فنر (تعویض)",IF(ISNUMBER(SEARCH("لولا",G212)),"مکانیزم درب - لولا (تعویض)",IF(OR(ISNUMBER(SEARCH("قلاب",G212)),ISNUMBER(SEARCH("ميکروسوئيچ",G212)),ISNUMBER(SEARCH("میکروسوئیچ",G212))),"مکانیزم درب - میکروسوئیچ/قلاب (تعویض/تنظیم)",IF(ISNUMBER(SEARCH("زبانه",G212)),"مکانیزم درب - زبانه (تعویض)",IF(OR(ISNUMBER(SEARCH("شيلنگ",G212)),ISNUMBER(SEARCH("شیلنگ",G212))),IF(OR(ISNUMBER(SEARCH("نشتی",G212)),ISNUMBER(SEARCH("نشتي",G212))),"نشتی - شیلنگ (تعمیر/آب‌بندی)",IF(OR(ISNUMBER(SEARCH("يخ",G212)),ISNUMBER(SEARCH("یخ",G212))),"شیلنگ یخساز - یخ‌زدگی (بازبینی)","شیلنگ - برخورد/لهیدگی (بازبینی)")),IF(OR(ISNUMBER(SEARCH("تنظيم ديسپل",G212)),ISNUMBER(SEARCH("تنظیم دیسپل",G212)),ISNUMBER(SEARCH("تنظيم صفحه نمايش",G212)),ISNUMBER(SEARCH("تنظیم صفحه نمایش",G212))),"تنظیم - تنظیمات دستگاه/دیسپلی (تعمیر)",IF(OR(ISNUMBER(SEARCH("برد",G212)),ISNUMBER(SEARCH("سوکت",G212)),ISNUMBER(SEARCH("ديسپل",G212)),ISNUMBER(SEARCH("دیسپل",G212))),"خرابی - برد الکترونیک (تعویض)",IF(OR(ISNUMBER(SEARCH("يخساز",G212)),ISNUMBER(SEARCH("یخساز",G212)),ISNUMBER(SEARCH("دمپر",G212))),IF(OR(ISNUMBER(SEARCH("خرابی",G212)),ISNUMBER(SEARCH("خراب",G212)),ISNUMBER(SEARCH("عدم کارکرد",G212)),ISNUMBER(SEARCH("عدم عملکرد",G212))),"یخساز - خرابی موتور/سنسور/برد (تعویض)","یخساز - تنظیم/عایق (تعمیر)"),IF(OR(ISNUMBER(SEARCH("لاستيک",G212)),ISNUMBER(SEARCH("لاستیک",G212))),"لاستیک درزگیر - دفرمگی/پارگی (تعویض)",IF(OR(ISNUMBER(SEARCH("گسکت",G212)),ISNUMBER(SEARCH("گسگت",G212))),"لاستیک درزگیر - دفرمگی/پارگی (تعویض)",IF(ISNUMBER(SEARCH("مخزن نمک",G212)),"نشتی - درب مخزن نمک (تعمیر/آب‌بندی)",IF(ISNUMBER(SEARCH("براکت",G212)),"نشتی - براکت ریل (تعمیر/آب‌بندی)",IF(ISNUMBER(SEARCH("جاپودر",G212)),"نشتی - جاپودری (تعمیر/آب‌بندی)",IF(ISNUMBER(SEARCH("مقسم",G212)),"نشتی - مقسم آب (تعمیر/آب‌بندی)",IF(OR(ISNUMBER(SEARCH("سنسور دما",G212)),ISNUMBER(SEARCH("ترموستات",G212))),"خرابی - ترموستات (تعویض)",IF(OR(ISNUMBER(SEARCH("هيدروستات",G212)),ISNUMBER(SEARCH("هیدروستات",G212))),"خرابی - هیدروستات (تعویض)",IF(OR(ISNUMBER(SEARCH("بلبرينگ",G212)),ISNUMBER(SEARCH("بلبرینگ",G212))),"خرابی - بلبرینگ (تعویض)",IF(OR(ISNUMBER(SEARCH("شيربرق",G212)),ISNUMBER(SEARCH("شیربرق",G212))),"خرابی - شیربرقی (تعویض)",IF(OR(ISNUMBER(SEARCH("واتر جت",G212)),ISNUMBER(SEARCH("واترجت",G212))),"خرابی - واترجت (تعویض)",IF(OR(ISNUMBER(SEARCH("سيم",G212)),ISNUMBER(SEARCH("سیم",G212)),ISNUMBER(SEARCH("اتصال",G212))),"سیم‌کشی/اتصالات (تعویض/بازبینی)",IF(OR(ISNUMBER(SEARCH("تصوير",G212)),ISNUMBER(SEARCH("تصویر",G212))),"برد نمایش تلویزیون (تعویض)",IF(OR(ISNUMBER(SEARCH("ريموت",G212)),ISNUMBER(SEARCH("ریموت",G212))),"ریموت کنترل (تعویض/تعمیر)",IF(OR(ISNUMBER(SEARCH("ال اي دي",G212)),ISNUMBER(SEARCH("ال ای دی",G212)),ISNUMBER(SEARCH("LED",G212))),"خرابی - لامپ/LED داخلی (تعویض)",IF(ISNUMBER(SEARCH("زنگ زدگ",G212)),"زنگ‌زدگی بدنه/قطعه (تعویض)",IF(OR(ISNUMBER(SEARCH("قطعات تزئين",G212)),ISNUMBER(SEARCH("قطعات تزئین",G212))),"قطعات تزئینی - شکستگی/کسری (تعویض)",IF(ISNUMBER(SEARCH("سبد",G212)),"سبد ظرفشویی - شکستگی (تعویض)",IF(ISNUMBER(SEARCH("تاب درام",G212)),"خرابی - تاب برداشتن درام (تعویض)",IF(ISNUMBER(SEARCH("درام",G212)),"خرابی - سایر ایراد درام (تعویض)",IF(ISNUMBER(SEARCH("موتور",G212)),"خرابی - موتور (تعویض)",IF(ISNUMBER(SEARCH("تسمه",G212)),"خرابی - تسمه (تعویض)",IF(OR(ISNUMBER(SEARCH("پيچ ولوم",G212)),ISNUMBER(SEARCH("پیچ ولوم",G212))),"تنظیم - پیچ ولوم/دکمه (تعمیر)",IF(OR(ISNUMBER(SEARCH("کسري قطعات",G212)),ISNUMBER(SEARCH("کسری قطعات",G212))),"کسری قطعات تزئینی (تعویض)",IF(ISNUMBER(SEARCH("پرچ",G212)),"پرچ/بدنه کابین(تعمیر)",IF(OR(ISNUMBER(SEARCH("نشت",G212)),ISNUMBER(SEARCH("آبريزش",G212)),ISNUMBER(SEARCH("آبریزش",G212))),"نشتی آب - محل نامشخص (نیازمند بازدید)",IF(ISNUMBER(SEARCH("درب",G212)),"سایر اجزای درب (بازبینی)",IF(ISNUMBER(SEARCH("ضربه",G212)),"بدنه/کابین - ضربه (بازبینی/تعویض پنل)",IF(ISNUMBER(SEARCH("تراز",G212)),"تراز/لرزش - نصب (رگلاژ پایه)",IF(OR(ISNUMBER(SEARCH("تعویض",G212)),ISNUMBER(SEARCH("تعويض",G212))),"تعویض کامل دستگاه (Replacement)","سایر (نیازمند بررسی دستی)")))))))))))))))))))))))))))))))))))))))))))</f>
        <v/>
      </c>
      <c r="P212" s="124" t="inlineStr">
        <is>
          <t>*</t>
        </is>
      </c>
      <c r="Q212" s="124">
        <f>IF(ISNUMBER(SEARCH("عهده شرکت",F212)),"شرکت",IF(ISNUMBER(SEARCH("عهده مشتري",F212)),"مشتری",IF(ISNUMBER(SEARCH("عهده مشتری",F212)),"مشتری","نامشخص")))</f>
        <v/>
      </c>
      <c r="R212" s="178">
        <f>IF(O212="تعویض کامل دستگاه (Replacement)",IF(SUMIF('قیمت‌ها و مفروضات'!$A$9:$A$13,C212,'قیمت‌ها و مفروضات'!$C$9:$C$13)&lt;&gt;0,SUMIF('قیمت‌ها و مفروضات'!$A$9:$A$13,C212,'قیمت‌ها و مفروضات'!$C$9:$C$13),SUMIF('قیمت‌ها و مفروضات'!$A$9:$A$13,C212,'قیمت‌ها و مفروضات'!$B$9:$B$13)),IF(SUMIF('قیمت‌ها و مفروضات'!$A$18:$A$63,O212,'قیمت‌ها و مفروضات'!$C$18:$C$63)&lt;&gt;0,SUMIF('قیمت‌ها و مفروضات'!$A$18:$A$63,O212,'قیمت‌ها و مفروضات'!$C$18:$C$63),SUMIF('قیمت‌ها و مفروضات'!$A$18:$A$63,O212,'قیمت‌ها و مفروضات'!$B$18:$B$63)))</f>
        <v/>
      </c>
      <c r="S212" s="178">
        <f>'قیمت‌ها و مفروضات'!$B$3+'قیمت‌ها و مفروضات'!$B$4</f>
        <v/>
      </c>
      <c r="T212" s="178">
        <f>R212+S212</f>
        <v/>
      </c>
      <c r="U212" s="178">
        <f>IF(COUNTIF($E$2:E343,E212)&gt;1,"بله (تکراری)","خیر")</f>
        <v/>
      </c>
      <c r="V212" s="178">
        <f>IF(U212="بله (تکراری)",S212,0)</f>
        <v/>
      </c>
      <c r="W212" s="208" t="inlineStr"/>
      <c r="X212" s="208" t="inlineStr"/>
    </row>
    <row r="213" ht="58.5" customHeight="1" s="151">
      <c r="A213" s="176" t="n">
        <v>210009817</v>
      </c>
      <c r="B213" s="124">
        <f>CHOOSE(_xlfn.NUMBERVALUE(MID(H213,6,2)),"فروردین","اردیبهشت","خرداد","تیر","مرداد","شهریور","مهر","آبان","آذر","دی","بهمن","اسفند")</f>
        <v/>
      </c>
      <c r="C213" s="176" t="inlineStr">
        <is>
          <t>تلویزیون</t>
        </is>
      </c>
      <c r="D213" s="176" t="inlineStr">
        <is>
          <t>CTV-75QMJS4</t>
        </is>
      </c>
      <c r="E213" s="176" t="inlineStr">
        <is>
          <t>52230008N00018</t>
        </is>
      </c>
      <c r="F213" s="173" t="inlineStr">
        <is>
          <t>عدم عملکرد ريموت کنترل اياب و ذهاب به عهده شرکت</t>
        </is>
      </c>
      <c r="G213" s="173" t="inlineStr">
        <is>
          <t>ايراد در ريموت کنترل</t>
        </is>
      </c>
      <c r="H213" s="176" t="inlineStr">
        <is>
          <t>1405/02/27</t>
        </is>
      </c>
      <c r="I213" s="124" t="inlineStr">
        <is>
          <t>1403/12/18</t>
        </is>
      </c>
      <c r="J213" s="124" t="inlineStr">
        <is>
          <t>1403/12/19</t>
        </is>
      </c>
      <c r="K213" s="177">
        <f>IFERROR(VLOOKUP(LEFT(H213,7),'تبدیل تاریخ'!$A$2:$B$73,2,FALSE())+VALUE(RIGHT(H213,2))-1,"")</f>
        <v/>
      </c>
      <c r="L213" s="177">
        <f>IFERROR(VLOOKUP(LEFT(I213,7),'تبدیل تاریخ'!$A$2:$B$73,2,FALSE())+VALUE(RIGHT(I213,2))-1,"")</f>
        <v/>
      </c>
      <c r="M213" s="177">
        <f>IF(J213="","",IFERROR(VLOOKUP(LEFT(J213,7),'تبدیل تاریخ'!$A$2:$B$73,2,FALSE())+VALUE(RIGHT(J213,2))-1,""))</f>
        <v/>
      </c>
      <c r="N213" s="124">
        <f>IF(OR(K213="",M213=""),"",CEILING((K213-M213)/30,1))</f>
        <v/>
      </c>
      <c r="O213" s="124">
        <f>IF(OR(ISNUMBER(SEARCH("بدون مورد",G213)),ISNUMBER(SEARCH("غير گارانتي",G213)),ISNUMBER(SEARCH("غیر گارانتی",G213)),ISNUMBER(SEARCH("بدون اجرت",G213)),ISNUMBER(SEARCH("فيلتر",G213)),ISNUMBER(SEARCH("فیلتر",G213))),"غیرگارانتی/بدون قطعه",IF(OR(ISNUMBER(SEARCH("ريست",G213)),ISNUMBER(SEARCH("ریست",G213))),"ریست نرم‌افزاری (بدون قطعه)",IF(OR(ISNUMBER(SEARCH("تعویض محصول",G213)),ISNUMBER(SEARCH("تعویض دستگاه",G213))),"تعویض کامل دستگاه (Replacement)",IF(ISNUMBER(SEARCH("پمپ",G213)),IF(ISNUMBER(SEARCH("نشت",G213)),"نشتی - پمپ تخلیه (تعمیر/آب‌بندی)","خرابی - پمپ تخلیه (تعویض)"),IF(ISNUMBER(SEARCH("کمپرسور",G213)),"خرابی - کمپرسور (تعویض)",IF(ISNUMBER(SEARCH("کمک فنر",G213)),"خرابی - کمک فنر (تعویض)",IF(ISNUMBER(SEARCH("لولا",G213)),"مکانیزم درب - لولا (تعویض)",IF(OR(ISNUMBER(SEARCH("قلاب",G213)),ISNUMBER(SEARCH("ميکروسوئيچ",G213)),ISNUMBER(SEARCH("میکروسوئیچ",G213))),"مکانیزم درب - میکروسوئیچ/قلاب (تعویض/تنظیم)",IF(ISNUMBER(SEARCH("زبانه",G213)),"مکانیزم درب - زبانه (تعویض)",IF(OR(ISNUMBER(SEARCH("شيلنگ",G213)),ISNUMBER(SEARCH("شیلنگ",G213))),IF(OR(ISNUMBER(SEARCH("نشتی",G213)),ISNUMBER(SEARCH("نشتي",G213))),"نشتی - شیلنگ (تعمیر/آب‌بندی)",IF(OR(ISNUMBER(SEARCH("يخ",G213)),ISNUMBER(SEARCH("یخ",G213))),"شیلنگ یخساز - یخ‌زدگی (بازبینی)","شیلنگ - برخورد/لهیدگی (بازبینی)")),IF(OR(ISNUMBER(SEARCH("تنظيم ديسپل",G213)),ISNUMBER(SEARCH("تنظیم دیسپل",G213)),ISNUMBER(SEARCH("تنظيم صفحه نمايش",G213)),ISNUMBER(SEARCH("تنظیم صفحه نمایش",G213))),"تنظیم - تنظیمات دستگاه/دیسپلی (تعمیر)",IF(OR(ISNUMBER(SEARCH("برد",G213)),ISNUMBER(SEARCH("سوکت",G213)),ISNUMBER(SEARCH("ديسپل",G213)),ISNUMBER(SEARCH("دیسپل",G213))),"خرابی - برد الکترونیک (تعویض)",IF(OR(ISNUMBER(SEARCH("يخساز",G213)),ISNUMBER(SEARCH("یخساز",G213)),ISNUMBER(SEARCH("دمپر",G213))),IF(OR(ISNUMBER(SEARCH("خرابی",G213)),ISNUMBER(SEARCH("خراب",G213)),ISNUMBER(SEARCH("عدم کارکرد",G213)),ISNUMBER(SEARCH("عدم عملکرد",G213))),"یخساز - خرابی موتور/سنسور/برد (تعویض)","یخساز - تنظیم/عایق (تعمیر)"),IF(OR(ISNUMBER(SEARCH("لاستيک",G213)),ISNUMBER(SEARCH("لاستیک",G213))),"لاستیک درزگیر - دفرمگی/پارگی (تعویض)",IF(OR(ISNUMBER(SEARCH("گسکت",G213)),ISNUMBER(SEARCH("گسگت",G213))),"لاستیک درزگیر - دفرمگی/پارگی (تعویض)",IF(ISNUMBER(SEARCH("مخزن نمک",G213)),"نشتی - درب مخزن نمک (تعمیر/آب‌بندی)",IF(ISNUMBER(SEARCH("براکت",G213)),"نشتی - براکت ریل (تعمیر/آب‌بندی)",IF(ISNUMBER(SEARCH("جاپودر",G213)),"نشتی - جاپودری (تعمیر/آب‌بندی)",IF(ISNUMBER(SEARCH("مقسم",G213)),"نشتی - مقسم آب (تعمیر/آب‌بندی)",IF(OR(ISNUMBER(SEARCH("سنسور دما",G213)),ISNUMBER(SEARCH("ترموستات",G213))),"خرابی - ترموستات (تعویض)",IF(OR(ISNUMBER(SEARCH("هيدروستات",G213)),ISNUMBER(SEARCH("هیدروستات",G213))),"خرابی - هیدروستات (تعویض)",IF(OR(ISNUMBER(SEARCH("بلبرينگ",G213)),ISNUMBER(SEARCH("بلبرینگ",G213))),"خرابی - بلبرینگ (تعویض)",IF(OR(ISNUMBER(SEARCH("شيربرق",G213)),ISNUMBER(SEARCH("شیربرق",G213))),"خرابی - شیربرقی (تعویض)",IF(OR(ISNUMBER(SEARCH("واتر جت",G213)),ISNUMBER(SEARCH("واترجت",G213))),"خرابی - واترجت (تعویض)",IF(OR(ISNUMBER(SEARCH("سيم",G213)),ISNUMBER(SEARCH("سیم",G213)),ISNUMBER(SEARCH("اتصال",G213))),"سیم‌کشی/اتصالات (تعویض/بازبینی)",IF(OR(ISNUMBER(SEARCH("تصوير",G213)),ISNUMBER(SEARCH("تصویر",G213))),"برد نمایش تلویزیون (تعویض)",IF(OR(ISNUMBER(SEARCH("ريموت",G213)),ISNUMBER(SEARCH("ریموت",G213))),"ریموت کنترل (تعویض/تعمیر)",IF(OR(ISNUMBER(SEARCH("ال اي دي",G213)),ISNUMBER(SEARCH("ال ای دی",G213)),ISNUMBER(SEARCH("LED",G213))),"خرابی - لامپ/LED داخلی (تعویض)",IF(ISNUMBER(SEARCH("زنگ زدگ",G213)),"زنگ‌زدگی بدنه/قطعه (تعویض)",IF(OR(ISNUMBER(SEARCH("قطعات تزئين",G213)),ISNUMBER(SEARCH("قطعات تزئین",G213))),"قطعات تزئینی - شکستگی/کسری (تعویض)",IF(ISNUMBER(SEARCH("سبد",G213)),"سبد ظرفشویی - شکستگی (تعویض)",IF(ISNUMBER(SEARCH("تاب درام",G213)),"خرابی - تاب برداشتن درام (تعویض)",IF(ISNUMBER(SEARCH("درام",G213)),"خرابی - سایر ایراد درام (تعویض)",IF(ISNUMBER(SEARCH("موتور",G213)),"خرابی - موتور (تعویض)",IF(ISNUMBER(SEARCH("تسمه",G213)),"خرابی - تسمه (تعویض)",IF(OR(ISNUMBER(SEARCH("پيچ ولوم",G213)),ISNUMBER(SEARCH("پیچ ولوم",G213))),"تنظیم - پیچ ولوم/دکمه (تعمیر)",IF(OR(ISNUMBER(SEARCH("کسري قطعات",G213)),ISNUMBER(SEARCH("کسری قطعات",G213))),"کسری قطعات تزئینی (تعویض)",IF(ISNUMBER(SEARCH("پرچ",G213)),"پرچ/بدنه کابین(تعمیر)",IF(OR(ISNUMBER(SEARCH("نشت",G213)),ISNUMBER(SEARCH("آبريزش",G213)),ISNUMBER(SEARCH("آبریزش",G213))),"نشتی آب - محل نامشخص (نیازمند بازدید)",IF(ISNUMBER(SEARCH("درب",G213)),"سایر اجزای درب (بازبینی)",IF(ISNUMBER(SEARCH("ضربه",G213)),"بدنه/کابین - ضربه (بازبینی/تعویض پنل)",IF(ISNUMBER(SEARCH("تراز",G213)),"تراز/لرزش - نصب (رگلاژ پایه)",IF(OR(ISNUMBER(SEARCH("تعویض",G213)),ISNUMBER(SEARCH("تعويض",G213))),"تعویض کامل دستگاه (Replacement)","سایر (نیازمند بررسی دستی)")))))))))))))))))))))))))))))))))))))))))))</f>
        <v/>
      </c>
      <c r="P213" s="124" t="inlineStr">
        <is>
          <t>کنترل تلویزیون</t>
        </is>
      </c>
      <c r="Q213" s="124">
        <f>IF(ISNUMBER(SEARCH("عهده شرکت",F213)),"شرکت",IF(ISNUMBER(SEARCH("عهده مشتري",F213)),"مشتری",IF(ISNUMBER(SEARCH("عهده مشتری",F213)),"مشتری","نامشخص")))</f>
        <v/>
      </c>
      <c r="R213" s="178">
        <f>IF(O213="تعویض کامل دستگاه (Replacement)",IF(SUMIF('قیمت‌ها و مفروضات'!$A$9:$A$13,C213,'قیمت‌ها و مفروضات'!$C$9:$C$13)&lt;&gt;0,SUMIF('قیمت‌ها و مفروضات'!$A$9:$A$13,C213,'قیمت‌ها و مفروضات'!$C$9:$C$13),SUMIF('قیمت‌ها و مفروضات'!$A$9:$A$13,C213,'قیمت‌ها و مفروضات'!$B$9:$B$13)),IF(SUMIF('قیمت‌ها و مفروضات'!$A$18:$A$63,O213,'قیمت‌ها و مفروضات'!$C$18:$C$63)&lt;&gt;0,SUMIF('قیمت‌ها و مفروضات'!$A$18:$A$63,O213,'قیمت‌ها و مفروضات'!$C$18:$C$63),SUMIF('قیمت‌ها و مفروضات'!$A$18:$A$63,O213,'قیمت‌ها و مفروضات'!$B$18:$B$63)))</f>
        <v/>
      </c>
      <c r="S213" s="178">
        <f>'قیمت‌ها و مفروضات'!$B$3+'قیمت‌ها و مفروضات'!$B$4</f>
        <v/>
      </c>
      <c r="T213" s="178">
        <f>R213+S213</f>
        <v/>
      </c>
      <c r="U213" s="178">
        <f>IF(COUNTIF($E$2:E344,E213)&gt;1,"بله (تکراری)","خیر")</f>
        <v/>
      </c>
      <c r="V213" s="178">
        <f>IF(U213="بله (تکراری)",S213,0)</f>
        <v/>
      </c>
      <c r="W213" s="208" t="inlineStr"/>
      <c r="X213" s="208" t="inlineStr"/>
    </row>
    <row r="214" ht="58.5" customHeight="1" s="151">
      <c r="A214" s="176" t="n">
        <v>310002606</v>
      </c>
      <c r="B214" s="124">
        <f>CHOOSE(_xlfn.NUMBERVALUE(MID(H214,6,2)),"فروردین","اردیبهشت","خرداد","تیر","مرداد","شهریور","مهر","آبان","آذر","دی","بهمن","اسفند")</f>
        <v/>
      </c>
      <c r="C214" s="176" t="inlineStr">
        <is>
          <t>ماشين لباسشويي</t>
        </is>
      </c>
      <c r="D214" s="176" t="inlineStr">
        <is>
          <t>CWM-BMW8T2</t>
        </is>
      </c>
      <c r="E214" s="176" t="inlineStr">
        <is>
          <t>52210009N00048</t>
        </is>
      </c>
      <c r="F214" s="173" t="inlineStr">
        <is>
          <t>عدم عملکرد کليدهاي ديسپلي**اياب و ذهاب به عهده شرکت</t>
        </is>
      </c>
      <c r="G214" s="173" t="inlineStr">
        <is>
          <t>خرابي برد - عدم عملکرد کليدهاي ديسپلي</t>
        </is>
      </c>
      <c r="H214" s="176" t="inlineStr">
        <is>
          <t>1405/02/05</t>
        </is>
      </c>
      <c r="I214" s="124" t="inlineStr">
        <is>
          <t>1403/10/09</t>
        </is>
      </c>
      <c r="J214" s="124" t="inlineStr">
        <is>
          <t>1404/08/20</t>
        </is>
      </c>
      <c r="K214" s="177">
        <f>IFERROR(VLOOKUP(LEFT(H214,7),'تبدیل تاریخ'!$A$2:$B$73,2,FALSE())+VALUE(RIGHT(H214,2))-1,"")</f>
        <v/>
      </c>
      <c r="L214" s="177">
        <f>IFERROR(VLOOKUP(LEFT(I214,7),'تبدیل تاریخ'!$A$2:$B$73,2,FALSE())+VALUE(RIGHT(I214,2))-1,"")</f>
        <v/>
      </c>
      <c r="M214" s="177">
        <f>IF(J214="","",IFERROR(VLOOKUP(LEFT(J214,7),'تبدیل تاریخ'!$A$2:$B$73,2,FALSE())+VALUE(RIGHT(J214,2))-1,""))</f>
        <v/>
      </c>
      <c r="N214" s="124">
        <f>IF(OR(K214="",M214=""),"",CEILING((K214-M214)/30,1))</f>
        <v/>
      </c>
      <c r="O214" s="124">
        <f>IF(OR(ISNUMBER(SEARCH("بدون مورد",G214)),ISNUMBER(SEARCH("غير گارانتي",G214)),ISNUMBER(SEARCH("غیر گارانتی",G214)),ISNUMBER(SEARCH("بدون اجرت",G214)),ISNUMBER(SEARCH("فيلتر",G214)),ISNUMBER(SEARCH("فیلتر",G214))),"غیرگارانتی/بدون قطعه",IF(OR(ISNUMBER(SEARCH("ريست",G214)),ISNUMBER(SEARCH("ریست",G214))),"ریست نرم‌افزاری (بدون قطعه)",IF(OR(ISNUMBER(SEARCH("تعویض محصول",G214)),ISNUMBER(SEARCH("تعویض دستگاه",G214))),"تعویض کامل دستگاه (Replacement)",IF(ISNUMBER(SEARCH("پمپ",G214)),IF(ISNUMBER(SEARCH("نشت",G214)),"نشتی - پمپ تخلیه (تعمیر/آب‌بندی)","خرابی - پمپ تخلیه (تعویض)"),IF(ISNUMBER(SEARCH("کمپرسور",G214)),"خرابی - کمپرسور (تعویض)",IF(ISNUMBER(SEARCH("کمک فنر",G214)),"خرابی - کمک فنر (تعویض)",IF(ISNUMBER(SEARCH("لولا",G214)),"مکانیزم درب - لولا (تعویض)",IF(OR(ISNUMBER(SEARCH("قلاب",G214)),ISNUMBER(SEARCH("ميکروسوئيچ",G214)),ISNUMBER(SEARCH("میکروسوئیچ",G214))),"مکانیزم درب - میکروسوئیچ/قلاب (تعویض/تنظیم)",IF(ISNUMBER(SEARCH("زبانه",G214)),"مکانیزم درب - زبانه (تعویض)",IF(OR(ISNUMBER(SEARCH("شيلنگ",G214)),ISNUMBER(SEARCH("شیلنگ",G214))),IF(OR(ISNUMBER(SEARCH("نشتی",G214)),ISNUMBER(SEARCH("نشتي",G214))),"نشتی - شیلنگ (تعمیر/آب‌بندی)",IF(OR(ISNUMBER(SEARCH("يخ",G214)),ISNUMBER(SEARCH("یخ",G214))),"شیلنگ یخساز - یخ‌زدگی (بازبینی)","شیلنگ - برخورد/لهیدگی (بازبینی)")),IF(OR(ISNUMBER(SEARCH("تنظيم ديسپل",G214)),ISNUMBER(SEARCH("تنظیم دیسپل",G214)),ISNUMBER(SEARCH("تنظيم صفحه نمايش",G214)),ISNUMBER(SEARCH("تنظیم صفحه نمایش",G214))),"تنظیم - تنظیمات دستگاه/دیسپلی (تعمیر)",IF(OR(ISNUMBER(SEARCH("برد",G214)),ISNUMBER(SEARCH("سوکت",G214)),ISNUMBER(SEARCH("ديسپل",G214)),ISNUMBER(SEARCH("دیسپل",G214))),"خرابی - برد الکترونیک (تعویض)",IF(OR(ISNUMBER(SEARCH("يخساز",G214)),ISNUMBER(SEARCH("یخساز",G214)),ISNUMBER(SEARCH("دمپر",G214))),IF(OR(ISNUMBER(SEARCH("خرابی",G214)),ISNUMBER(SEARCH("خراب",G214)),ISNUMBER(SEARCH("عدم کارکرد",G214)),ISNUMBER(SEARCH("عدم عملکرد",G214))),"یخساز - خرابی موتور/سنسور/برد (تعویض)","یخساز - تنظیم/عایق (تعمیر)"),IF(OR(ISNUMBER(SEARCH("لاستيک",G214)),ISNUMBER(SEARCH("لاستیک",G214))),"لاستیک درزگیر - دفرمگی/پارگی (تعویض)",IF(OR(ISNUMBER(SEARCH("گسکت",G214)),ISNUMBER(SEARCH("گسگت",G214))),"لاستیک درزگیر - دفرمگی/پارگی (تعویض)",IF(ISNUMBER(SEARCH("مخزن نمک",G214)),"نشتی - درب مخزن نمک (تعمیر/آب‌بندی)",IF(ISNUMBER(SEARCH("براکت",G214)),"نشتی - براکت ریل (تعمیر/آب‌بندی)",IF(ISNUMBER(SEARCH("جاپودر",G214)),"نشتی - جاپودری (تعمیر/آب‌بندی)",IF(ISNUMBER(SEARCH("مقسم",G214)),"نشتی - مقسم آب (تعمیر/آب‌بندی)",IF(OR(ISNUMBER(SEARCH("سنسور دما",G214)),ISNUMBER(SEARCH("ترموستات",G214))),"خرابی - ترموستات (تعویض)",IF(OR(ISNUMBER(SEARCH("هيدروستات",G214)),ISNUMBER(SEARCH("هیدروستات",G214))),"خرابی - هیدروستات (تعویض)",IF(OR(ISNUMBER(SEARCH("بلبرينگ",G214)),ISNUMBER(SEARCH("بلبرینگ",G214))),"خرابی - بلبرینگ (تعویض)",IF(OR(ISNUMBER(SEARCH("شيربرق",G214)),ISNUMBER(SEARCH("شیربرق",G214))),"خرابی - شیربرقی (تعویض)",IF(OR(ISNUMBER(SEARCH("واتر جت",G214)),ISNUMBER(SEARCH("واترجت",G214))),"خرابی - واترجت (تعویض)",IF(OR(ISNUMBER(SEARCH("سيم",G214)),ISNUMBER(SEARCH("سیم",G214)),ISNUMBER(SEARCH("اتصال",G214))),"سیم‌کشی/اتصالات (تعویض/بازبینی)",IF(OR(ISNUMBER(SEARCH("تصوير",G214)),ISNUMBER(SEARCH("تصویر",G214))),"برد نمایش تلویزیون (تعویض)",IF(OR(ISNUMBER(SEARCH("ريموت",G214)),ISNUMBER(SEARCH("ریموت",G214))),"ریموت کنترل (تعویض/تعمیر)",IF(OR(ISNUMBER(SEARCH("ال اي دي",G214)),ISNUMBER(SEARCH("ال ای دی",G214)),ISNUMBER(SEARCH("LED",G214))),"خرابی - لامپ/LED داخلی (تعویض)",IF(ISNUMBER(SEARCH("زنگ زدگ",G214)),"زنگ‌زدگی بدنه/قطعه (تعویض)",IF(OR(ISNUMBER(SEARCH("قطعات تزئين",G214)),ISNUMBER(SEARCH("قطعات تزئین",G214))),"قطعات تزئینی - شکستگی/کسری (تعویض)",IF(ISNUMBER(SEARCH("سبد",G214)),"سبد ظرفشویی - شکستگی (تعویض)",IF(ISNUMBER(SEARCH("تاب درام",G214)),"خرابی - تاب برداشتن درام (تعویض)",IF(ISNUMBER(SEARCH("درام",G214)),"خرابی - سایر ایراد درام (تعویض)",IF(ISNUMBER(SEARCH("موتور",G214)),"خرابی - موتور (تعویض)",IF(ISNUMBER(SEARCH("تسمه",G214)),"خرابی - تسمه (تعویض)",IF(OR(ISNUMBER(SEARCH("پيچ ولوم",G214)),ISNUMBER(SEARCH("پیچ ولوم",G214))),"تنظیم - پیچ ولوم/دکمه (تعمیر)",IF(OR(ISNUMBER(SEARCH("کسري قطعات",G214)),ISNUMBER(SEARCH("کسری قطعات",G214))),"کسری قطعات تزئینی (تعویض)",IF(ISNUMBER(SEARCH("پرچ",G214)),"پرچ/بدنه کابین(تعمیر)",IF(OR(ISNUMBER(SEARCH("نشت",G214)),ISNUMBER(SEARCH("آبريزش",G214)),ISNUMBER(SEARCH("آبریزش",G214))),"نشتی آب - محل نامشخص (نیازمند بازدید)",IF(ISNUMBER(SEARCH("درب",G214)),"سایر اجزای درب (بازبینی)",IF(ISNUMBER(SEARCH("ضربه",G214)),"بدنه/کابین - ضربه (بازبینی/تعویض پنل)",IF(ISNUMBER(SEARCH("تراز",G214)),"تراز/لرزش - نصب (رگلاژ پایه)",IF(OR(ISNUMBER(SEARCH("تعویض",G214)),ISNUMBER(SEARCH("تعويض",G214))),"تعویض کامل دستگاه (Replacement)","سایر (نیازمند بررسی دستی)")))))))))))))))))))))))))))))))))))))))))))</f>
        <v/>
      </c>
      <c r="P214" s="124" t="inlineStr">
        <is>
          <t>برد لباسشویی</t>
        </is>
      </c>
      <c r="Q214" s="124">
        <f>IF(ISNUMBER(SEARCH("عهده شرکت",F214)),"شرکت",IF(ISNUMBER(SEARCH("عهده مشتري",F214)),"مشتری",IF(ISNUMBER(SEARCH("عهده مشتری",F214)),"مشتری","نامشخص")))</f>
        <v/>
      </c>
      <c r="R214" s="178">
        <f>IF(O214="تعویض کامل دستگاه (Replacement)",IF(SUMIF('قیمت‌ها و مفروضات'!$A$9:$A$13,C214,'قیمت‌ها و مفروضات'!$C$9:$C$13)&lt;&gt;0,SUMIF('قیمت‌ها و مفروضات'!$A$9:$A$13,C214,'قیمت‌ها و مفروضات'!$C$9:$C$13),SUMIF('قیمت‌ها و مفروضات'!$A$9:$A$13,C214,'قیمت‌ها و مفروضات'!$B$9:$B$13)),IF(SUMIF('قیمت‌ها و مفروضات'!$A$18:$A$63,O214,'قیمت‌ها و مفروضات'!$C$18:$C$63)&lt;&gt;0,SUMIF('قیمت‌ها و مفروضات'!$A$18:$A$63,O214,'قیمت‌ها و مفروضات'!$C$18:$C$63),SUMIF('قیمت‌ها و مفروضات'!$A$18:$A$63,O214,'قیمت‌ها و مفروضات'!$B$18:$B$63)))</f>
        <v/>
      </c>
      <c r="S214" s="178">
        <f>'قیمت‌ها و مفروضات'!$B$3+'قیمت‌ها و مفروضات'!$B$4</f>
        <v/>
      </c>
      <c r="T214" s="178">
        <f>R214+S214</f>
        <v/>
      </c>
      <c r="U214" s="178">
        <f>IF(COUNTIF($E$2:E345,E214)&gt;1,"بله (تکراری)","خیر")</f>
        <v/>
      </c>
      <c r="V214" s="178">
        <f>IF(U214="بله (تکراری)",S214,0)</f>
        <v/>
      </c>
      <c r="W214" s="208" t="inlineStr"/>
      <c r="X214" s="208" t="inlineStr"/>
    </row>
    <row r="215" ht="58.5" customHeight="1" s="151">
      <c r="A215" s="176" t="n">
        <v>710001205</v>
      </c>
      <c r="B215" s="124">
        <f>CHOOSE(_xlfn.NUMBERVALUE(MID(H215,6,2)),"فروردین","اردیبهشت","خرداد","تیر","مرداد","شهریور","مهر","آبان","آذر","دی","بهمن","اسفند")</f>
        <v/>
      </c>
      <c r="C215" s="176" t="inlineStr">
        <is>
          <t>ماشين لباسشويي</t>
        </is>
      </c>
      <c r="D215" s="176" t="inlineStr">
        <is>
          <t>CWM-BMW9T1</t>
        </is>
      </c>
      <c r="E215" s="176" t="inlineStr">
        <is>
          <t>52210007N00595</t>
        </is>
      </c>
      <c r="F215" s="173" t="inlineStr">
        <is>
          <t>دفرمگي نوار دور درب**اياب و ذهاب به عهده شرکت</t>
        </is>
      </c>
      <c r="G215" s="173" t="inlineStr">
        <is>
          <t>پارگي لاستيک</t>
        </is>
      </c>
      <c r="H215" s="176" t="inlineStr">
        <is>
          <t>1405/02/10</t>
        </is>
      </c>
      <c r="I215" s="124" t="inlineStr">
        <is>
          <t>1404/02/10</t>
        </is>
      </c>
      <c r="J215" s="124" t="inlineStr">
        <is>
          <t>1404/03/07</t>
        </is>
      </c>
      <c r="K215" s="177">
        <f>IFERROR(VLOOKUP(LEFT(H215,7),'تبدیل تاریخ'!$A$2:$B$73,2,FALSE())+VALUE(RIGHT(H215,2))-1,"")</f>
        <v/>
      </c>
      <c r="L215" s="177">
        <f>IFERROR(VLOOKUP(LEFT(I215,7),'تبدیل تاریخ'!$A$2:$B$73,2,FALSE())+VALUE(RIGHT(I215,2))-1,"")</f>
        <v/>
      </c>
      <c r="M215" s="177">
        <f>IF(J215="","",IFERROR(VLOOKUP(LEFT(J215,7),'تبدیل تاریخ'!$A$2:$B$73,2,FALSE())+VALUE(RIGHT(J215,2))-1,""))</f>
        <v/>
      </c>
      <c r="N215" s="124">
        <f>IF(OR(K215="",M215=""),"",CEILING((K215-M215)/30,1))</f>
        <v/>
      </c>
      <c r="O215" s="124">
        <f>IF(OR(ISNUMBER(SEARCH("بدون مورد",G215)),ISNUMBER(SEARCH("غير گارانتي",G215)),ISNUMBER(SEARCH("غیر گارانتی",G215)),ISNUMBER(SEARCH("بدون اجرت",G215)),ISNUMBER(SEARCH("فيلتر",G215)),ISNUMBER(SEARCH("فیلتر",G215))),"غیرگارانتی/بدون قطعه",IF(OR(ISNUMBER(SEARCH("ريست",G215)),ISNUMBER(SEARCH("ریست",G215))),"ریست نرم‌افزاری (بدون قطعه)",IF(OR(ISNUMBER(SEARCH("تعویض محصول",G215)),ISNUMBER(SEARCH("تعویض دستگاه",G215))),"تعویض کامل دستگاه (Replacement)",IF(ISNUMBER(SEARCH("پمپ",G215)),IF(ISNUMBER(SEARCH("نشت",G215)),"نشتی - پمپ تخلیه (تعمیر/آب‌بندی)","خرابی - پمپ تخلیه (تعویض)"),IF(ISNUMBER(SEARCH("کمپرسور",G215)),"خرابی - کمپرسور (تعویض)",IF(ISNUMBER(SEARCH("کمک فنر",G215)),"خرابی - کمک فنر (تعویض)",IF(ISNUMBER(SEARCH("لولا",G215)),"مکانیزم درب - لولا (تعویض)",IF(OR(ISNUMBER(SEARCH("قلاب",G215)),ISNUMBER(SEARCH("ميکروسوئيچ",G215)),ISNUMBER(SEARCH("میکروسوئیچ",G215))),"مکانیزم درب - میکروسوئیچ/قلاب (تعویض/تنظیم)",IF(ISNUMBER(SEARCH("زبانه",G215)),"مکانیزم درب - زبانه (تعویض)",IF(OR(ISNUMBER(SEARCH("شيلنگ",G215)),ISNUMBER(SEARCH("شیلنگ",G215))),IF(OR(ISNUMBER(SEARCH("نشتی",G215)),ISNUMBER(SEARCH("نشتي",G215))),"نشتی - شیلنگ (تعمیر/آب‌بندی)",IF(OR(ISNUMBER(SEARCH("يخ",G215)),ISNUMBER(SEARCH("یخ",G215))),"شیلنگ یخساز - یخ‌زدگی (بازبینی)","شیلنگ - برخورد/لهیدگی (بازبینی)")),IF(OR(ISNUMBER(SEARCH("تنظيم ديسپل",G215)),ISNUMBER(SEARCH("تنظیم دیسپل",G215)),ISNUMBER(SEARCH("تنظيم صفحه نمايش",G215)),ISNUMBER(SEARCH("تنظیم صفحه نمایش",G215))),"تنظیم - تنظیمات دستگاه/دیسپلی (تعمیر)",IF(OR(ISNUMBER(SEARCH("برد",G215)),ISNUMBER(SEARCH("سوکت",G215)),ISNUMBER(SEARCH("ديسپل",G215)),ISNUMBER(SEARCH("دیسپل",G215))),"خرابی - برد الکترونیک (تعویض)",IF(OR(ISNUMBER(SEARCH("يخساز",G215)),ISNUMBER(SEARCH("یخساز",G215)),ISNUMBER(SEARCH("دمپر",G215))),IF(OR(ISNUMBER(SEARCH("خرابی",G215)),ISNUMBER(SEARCH("خراب",G215)),ISNUMBER(SEARCH("عدم کارکرد",G215)),ISNUMBER(SEARCH("عدم عملکرد",G215))),"یخساز - خرابی موتور/سنسور/برد (تعویض)","یخساز - تنظیم/عایق (تعمیر)"),IF(OR(ISNUMBER(SEARCH("لاستيک",G215)),ISNUMBER(SEARCH("لاستیک",G215))),"لاستیک درزگیر - دفرمگی/پارگی (تعویض)",IF(OR(ISNUMBER(SEARCH("گسکت",G215)),ISNUMBER(SEARCH("گسگت",G215))),"لاستیک درزگیر - دفرمگی/پارگی (تعویض)",IF(ISNUMBER(SEARCH("مخزن نمک",G215)),"نشتی - درب مخزن نمک (تعمیر/آب‌بندی)",IF(ISNUMBER(SEARCH("براکت",G215)),"نشتی - براکت ریل (تعمیر/آب‌بندی)",IF(ISNUMBER(SEARCH("جاپودر",G215)),"نشتی - جاپودری (تعمیر/آب‌بندی)",IF(ISNUMBER(SEARCH("مقسم",G215)),"نشتی - مقسم آب (تعمیر/آب‌بندی)",IF(OR(ISNUMBER(SEARCH("سنسور دما",G215)),ISNUMBER(SEARCH("ترموستات",G215))),"خرابی - ترموستات (تعویض)",IF(OR(ISNUMBER(SEARCH("هيدروستات",G215)),ISNUMBER(SEARCH("هیدروستات",G215))),"خرابی - هیدروستات (تعویض)",IF(OR(ISNUMBER(SEARCH("بلبرينگ",G215)),ISNUMBER(SEARCH("بلبرینگ",G215))),"خرابی - بلبرینگ (تعویض)",IF(OR(ISNUMBER(SEARCH("شيربرق",G215)),ISNUMBER(SEARCH("شیربرق",G215))),"خرابی - شیربرقی (تعویض)",IF(OR(ISNUMBER(SEARCH("واتر جت",G215)),ISNUMBER(SEARCH("واترجت",G215))),"خرابی - واترجت (تعویض)",IF(OR(ISNUMBER(SEARCH("سيم",G215)),ISNUMBER(SEARCH("سیم",G215)),ISNUMBER(SEARCH("اتصال",G215))),"سیم‌کشی/اتصالات (تعویض/بازبینی)",IF(OR(ISNUMBER(SEARCH("تصوير",G215)),ISNUMBER(SEARCH("تصویر",G215))),"برد نمایش تلویزیون (تعویض)",IF(OR(ISNUMBER(SEARCH("ريموت",G215)),ISNUMBER(SEARCH("ریموت",G215))),"ریموت کنترل (تعویض/تعمیر)",IF(OR(ISNUMBER(SEARCH("ال اي دي",G215)),ISNUMBER(SEARCH("ال ای دی",G215)),ISNUMBER(SEARCH("LED",G215))),"خرابی - لامپ/LED داخلی (تعویض)",IF(ISNUMBER(SEARCH("زنگ زدگ",G215)),"زنگ‌زدگی بدنه/قطعه (تعویض)",IF(OR(ISNUMBER(SEARCH("قطعات تزئين",G215)),ISNUMBER(SEARCH("قطعات تزئین",G215))),"قطعات تزئینی - شکستگی/کسری (تعویض)",IF(ISNUMBER(SEARCH("سبد",G215)),"سبد ظرفشویی - شکستگی (تعویض)",IF(ISNUMBER(SEARCH("تاب درام",G215)),"خرابی - تاب برداشتن درام (تعویض)",IF(ISNUMBER(SEARCH("درام",G215)),"خرابی - سایر ایراد درام (تعویض)",IF(ISNUMBER(SEARCH("موتور",G215)),"خرابی - موتور (تعویض)",IF(ISNUMBER(SEARCH("تسمه",G215)),"خرابی - تسمه (تعویض)",IF(OR(ISNUMBER(SEARCH("پيچ ولوم",G215)),ISNUMBER(SEARCH("پیچ ولوم",G215))),"تنظیم - پیچ ولوم/دکمه (تعمیر)",IF(OR(ISNUMBER(SEARCH("کسري قطعات",G215)),ISNUMBER(SEARCH("کسری قطعات",G215))),"کسری قطعات تزئینی (تعویض)",IF(ISNUMBER(SEARCH("پرچ",G215)),"پرچ/بدنه کابین(تعمیر)",IF(OR(ISNUMBER(SEARCH("نشت",G215)),ISNUMBER(SEARCH("آبريزش",G215)),ISNUMBER(SEARCH("آبریزش",G215))),"نشتی آب - محل نامشخص (نیازمند بازدید)",IF(ISNUMBER(SEARCH("درب",G215)),"سایر اجزای درب (بازبینی)",IF(ISNUMBER(SEARCH("ضربه",G215)),"بدنه/کابین - ضربه (بازبینی/تعویض پنل)",IF(ISNUMBER(SEARCH("تراز",G215)),"تراز/لرزش - نصب (رگلاژ پایه)",IF(OR(ISNUMBER(SEARCH("تعویض",G215)),ISNUMBER(SEARCH("تعويض",G215))),"تعویض کامل دستگاه (Replacement)","سایر (نیازمند بررسی دستی)")))))))))))))))))))))))))))))))))))))))))))</f>
        <v/>
      </c>
      <c r="P215" s="124" t="inlineStr">
        <is>
          <t>*</t>
        </is>
      </c>
      <c r="Q215" s="124">
        <f>IF(ISNUMBER(SEARCH("عهده شرکت",F215)),"شرکت",IF(ISNUMBER(SEARCH("عهده مشتري",F215)),"مشتری",IF(ISNUMBER(SEARCH("عهده مشتری",F215)),"مشتری","نامشخص")))</f>
        <v/>
      </c>
      <c r="R215" s="178">
        <f>IF(O215="تعویض کامل دستگاه (Replacement)",IF(SUMIF('قیمت‌ها و مفروضات'!$A$9:$A$13,C215,'قیمت‌ها و مفروضات'!$C$9:$C$13)&lt;&gt;0,SUMIF('قیمت‌ها و مفروضات'!$A$9:$A$13,C215,'قیمت‌ها و مفروضات'!$C$9:$C$13),SUMIF('قیمت‌ها و مفروضات'!$A$9:$A$13,C215,'قیمت‌ها و مفروضات'!$B$9:$B$13)),IF(SUMIF('قیمت‌ها و مفروضات'!$A$18:$A$63,O215,'قیمت‌ها و مفروضات'!$C$18:$C$63)&lt;&gt;0,SUMIF('قیمت‌ها و مفروضات'!$A$18:$A$63,O215,'قیمت‌ها و مفروضات'!$C$18:$C$63),SUMIF('قیمت‌ها و مفروضات'!$A$18:$A$63,O215,'قیمت‌ها و مفروضات'!$B$18:$B$63)))</f>
        <v/>
      </c>
      <c r="S215" s="178">
        <f>'قیمت‌ها و مفروضات'!$B$3+'قیمت‌ها و مفروضات'!$B$4</f>
        <v/>
      </c>
      <c r="T215" s="178">
        <f>R215+S215</f>
        <v/>
      </c>
      <c r="U215" s="178">
        <f>IF(COUNTIF($E$2:E346,E215)&gt;1,"بله (تکراری)","خیر")</f>
        <v/>
      </c>
      <c r="V215" s="178">
        <f>IF(U215="بله (تکراری)",S215,0)</f>
        <v/>
      </c>
      <c r="W215" s="208" t="inlineStr"/>
      <c r="X215" s="208" t="inlineStr"/>
    </row>
    <row r="216" ht="58.5" customHeight="1" s="151">
      <c r="A216" s="176" t="n">
        <v>771166</v>
      </c>
      <c r="B216" s="124">
        <f>CHOOSE(_xlfn.NUMBERVALUE(MID(H216,6,2)),"فروردین","اردیبهشت","خرداد","تیر","مرداد","شهریور","مهر","آبان","آذر","دی","بهمن","اسفند")</f>
        <v/>
      </c>
      <c r="C216" s="176" t="inlineStr">
        <is>
          <t>يخچال ميني</t>
        </is>
      </c>
      <c r="D216" s="176" t="inlineStr">
        <is>
          <t>MINI-R (RE01)</t>
        </is>
      </c>
      <c r="E216" s="176" t="inlineStr">
        <is>
          <t>52240003N00558</t>
        </is>
      </c>
      <c r="F216" s="173" t="inlineStr">
        <is>
          <t>گرم شدن محصول**اياب و ذهاب به عهده شرکت</t>
        </is>
      </c>
      <c r="G216" s="124" t="inlineStr">
        <is>
          <t xml:space="preserve">تنظیم ترموستات </t>
        </is>
      </c>
      <c r="H216" s="124" t="inlineStr">
        <is>
          <t>1405/02/12</t>
        </is>
      </c>
      <c r="I216" s="124" t="inlineStr">
        <is>
          <t>1403/10/23</t>
        </is>
      </c>
      <c r="J216" s="124" t="inlineStr">
        <is>
          <t>1405/01/22</t>
        </is>
      </c>
      <c r="K216" s="177">
        <f>IFERROR(VLOOKUP(LEFT(H216,7),'تبدیل تاریخ'!$A$2:$B$73,2,FALSE())+VALUE(RIGHT(H216,2))-1,"")</f>
        <v/>
      </c>
      <c r="L216" s="177">
        <f>IFERROR(VLOOKUP(LEFT(I216,7),'تبدیل تاریخ'!$A$2:$B$73,2,FALSE())+VALUE(RIGHT(I216,2))-1,"")</f>
        <v/>
      </c>
      <c r="M216" s="177">
        <f>IF(J216="","",IFERROR(VLOOKUP(LEFT(J216,7),'تبدیل تاریخ'!$A$2:$B$73,2,FALSE())+VALUE(RIGHT(J216,2))-1,""))</f>
        <v/>
      </c>
      <c r="N216" s="124">
        <f>IF(OR(K216="",M216=""),"",CEILING((K216-M216)/30,1))</f>
        <v/>
      </c>
      <c r="O216" s="124">
        <f>IF(OR(ISNUMBER(SEARCH("بدون مورد",G216)),ISNUMBER(SEARCH("غير گارانتي",G216)),ISNUMBER(SEARCH("غیر گارانتی",G216)),ISNUMBER(SEARCH("بدون اجرت",G216)),ISNUMBER(SEARCH("فيلتر",G216)),ISNUMBER(SEARCH("فیلتر",G216))),"غیرگارانتی/بدون قطعه",IF(OR(ISNUMBER(SEARCH("ريست",G216)),ISNUMBER(SEARCH("ریست",G216))),"ریست نرم‌افزاری (بدون قطعه)",IF(OR(ISNUMBER(SEARCH("تعویض محصول",G216)),ISNUMBER(SEARCH("تعویض دستگاه",G216))),"تعویض کامل دستگاه (Replacement)",IF(ISNUMBER(SEARCH("پمپ",G216)),IF(ISNUMBER(SEARCH("نشت",G216)),"نشتی - پمپ تخلیه (تعمیر/آب‌بندی)","خرابی - پمپ تخلیه (تعویض)"),IF(ISNUMBER(SEARCH("کمپرسور",G216)),"خرابی - کمپرسور (تعویض)",IF(ISNUMBER(SEARCH("کمک فنر",G216)),"خرابی - کمک فنر (تعویض)",IF(ISNUMBER(SEARCH("لولا",G216)),"مکانیزم درب - لولا (تعویض)",IF(OR(ISNUMBER(SEARCH("قلاب",G216)),ISNUMBER(SEARCH("ميکروسوئيچ",G216)),ISNUMBER(SEARCH("میکروسوئیچ",G216))),"مکانیزم درب - میکروسوئیچ/قلاب (تعویض/تنظیم)",IF(ISNUMBER(SEARCH("زبانه",G216)),"مکانیزم درب - زبانه (تعویض)",IF(OR(ISNUMBER(SEARCH("شيلنگ",G216)),ISNUMBER(SEARCH("شیلنگ",G216))),IF(OR(ISNUMBER(SEARCH("نشتی",G216)),ISNUMBER(SEARCH("نشتي",G216))),"نشتی - شیلنگ (تعمیر/آب‌بندی)",IF(OR(ISNUMBER(SEARCH("يخ",G216)),ISNUMBER(SEARCH("یخ",G216))),"شیلنگ یخساز - یخ‌زدگی (بازبینی)","شیلنگ - برخورد/لهیدگی (بازبینی)")),IF(OR(ISNUMBER(SEARCH("تنظيم ديسپل",G216)),ISNUMBER(SEARCH("تنظیم دیسپل",G216)),ISNUMBER(SEARCH("تنظيم صفحه نمايش",G216)),ISNUMBER(SEARCH("تنظیم صفحه نمایش",G216))),"تنظیم - تنظیمات دستگاه/دیسپلی (تعمیر)",IF(OR(ISNUMBER(SEARCH("برد",G216)),ISNUMBER(SEARCH("سوکت",G216)),ISNUMBER(SEARCH("ديسپل",G216)),ISNUMBER(SEARCH("دیسپل",G216))),"خرابی - برد الکترونیک (تعویض)",IF(OR(ISNUMBER(SEARCH("يخساز",G216)),ISNUMBER(SEARCH("یخساز",G216)),ISNUMBER(SEARCH("دمپر",G216))),IF(OR(ISNUMBER(SEARCH("خرابی",G216)),ISNUMBER(SEARCH("خراب",G216)),ISNUMBER(SEARCH("عدم کارکرد",G216)),ISNUMBER(SEARCH("عدم عملکرد",G216))),"یخساز - خرابی موتور/سنسور/برد (تعویض)","یخساز - تنظیم/عایق (تعمیر)"),IF(OR(ISNUMBER(SEARCH("لاستيک",G216)),ISNUMBER(SEARCH("لاستیک",G216))),"لاستیک درزگیر - دفرمگی/پارگی (تعویض)",IF(OR(ISNUMBER(SEARCH("گسکت",G216)),ISNUMBER(SEARCH("گسگت",G216))),"لاستیک درزگیر - دفرمگی/پارگی (تعویض)",IF(ISNUMBER(SEARCH("مخزن نمک",G216)),"نشتی - درب مخزن نمک (تعمیر/آب‌بندی)",IF(ISNUMBER(SEARCH("براکت",G216)),"نشتی - براکت ریل (تعمیر/آب‌بندی)",IF(ISNUMBER(SEARCH("جاپودر",G216)),"نشتی - جاپودری (تعمیر/آب‌بندی)",IF(ISNUMBER(SEARCH("مقسم",G216)),"نشتی - مقسم آب (تعمیر/آب‌بندی)",IF(OR(ISNUMBER(SEARCH("سنسور دما",G216)),ISNUMBER(SEARCH("ترموستات",G216))),"خرابی - ترموستات (تعویض)",IF(OR(ISNUMBER(SEARCH("هيدروستات",G216)),ISNUMBER(SEARCH("هیدروستات",G216))),"خرابی - هیدروستات (تعویض)",IF(OR(ISNUMBER(SEARCH("بلبرينگ",G216)),ISNUMBER(SEARCH("بلبرینگ",G216))),"خرابی - بلبرینگ (تعویض)",IF(OR(ISNUMBER(SEARCH("شيربرق",G216)),ISNUMBER(SEARCH("شیربرق",G216))),"خرابی - شیربرقی (تعویض)",IF(OR(ISNUMBER(SEARCH("واتر جت",G216)),ISNUMBER(SEARCH("واترجت",G216))),"خرابی - واترجت (تعویض)",IF(OR(ISNUMBER(SEARCH("سيم",G216)),ISNUMBER(SEARCH("سیم",G216)),ISNUMBER(SEARCH("اتصال",G216))),"سیم‌کشی/اتصالات (تعویض/بازبینی)",IF(OR(ISNUMBER(SEARCH("تصوير",G216)),ISNUMBER(SEARCH("تصویر",G216))),"برد نمایش تلویزیون (تعویض)",IF(OR(ISNUMBER(SEARCH("ريموت",G216)),ISNUMBER(SEARCH("ریموت",G216))),"ریموت کنترل (تعویض/تعمیر)",IF(OR(ISNUMBER(SEARCH("ال اي دي",G216)),ISNUMBER(SEARCH("ال ای دی",G216)),ISNUMBER(SEARCH("LED",G216))),"خرابی - لامپ/LED داخلی (تعویض)",IF(ISNUMBER(SEARCH("زنگ زدگ",G216)),"زنگ‌زدگی بدنه/قطعه (تعویض)",IF(OR(ISNUMBER(SEARCH("قطعات تزئين",G216)),ISNUMBER(SEARCH("قطعات تزئین",G216))),"قطعات تزئینی - شکستگی/کسری (تعویض)",IF(ISNUMBER(SEARCH("سبد",G216)),"سبد ظرفشویی - شکستگی (تعویض)",IF(ISNUMBER(SEARCH("تاب درام",G216)),"خرابی - تاب برداشتن درام (تعویض)",IF(ISNUMBER(SEARCH("درام",G216)),"خرابی - سایر ایراد درام (تعویض)",IF(ISNUMBER(SEARCH("موتور",G216)),"خرابی - موتور (تعویض)",IF(ISNUMBER(SEARCH("تسمه",G216)),"خرابی - تسمه (تعویض)",IF(OR(ISNUMBER(SEARCH("پيچ ولوم",G216)),ISNUMBER(SEARCH("پیچ ولوم",G216))),"تنظیم - پیچ ولوم/دکمه (تعمیر)",IF(OR(ISNUMBER(SEARCH("کسري قطعات",G216)),ISNUMBER(SEARCH("کسری قطعات",G216))),"کسری قطعات تزئینی (تعویض)",IF(ISNUMBER(SEARCH("پرچ",G216)),"پرچ/بدنه کابین(تعمیر)",IF(OR(ISNUMBER(SEARCH("نشت",G216)),ISNUMBER(SEARCH("آبريزش",G216)),ISNUMBER(SEARCH("آبریزش",G216))),"نشتی آب - محل نامشخص (نیازمند بازدید)",IF(ISNUMBER(SEARCH("درب",G216)),"سایر اجزای درب (بازبینی)",IF(ISNUMBER(SEARCH("ضربه",G216)),"بدنه/کابین - ضربه (بازبینی/تعویض پنل)",IF(ISNUMBER(SEARCH("تراز",G216)),"تراز/لرزش - نصب (رگلاژ پایه)",IF(OR(ISNUMBER(SEARCH("تعویض",G216)),ISNUMBER(SEARCH("تعويض",G216))),"تعویض کامل دستگاه (Replacement)","سایر (نیازمند بررسی دستی)")))))))))))))))))))))))))))))))))))))))))))</f>
        <v/>
      </c>
      <c r="P216" s="124" t="inlineStr">
        <is>
          <t>ترموستات مینی</t>
        </is>
      </c>
      <c r="Q216" s="124">
        <f>IF(ISNUMBER(SEARCH("عهده شرکت",F216)),"شرکت",IF(ISNUMBER(SEARCH("عهده مشتري",F216)),"مشتری",IF(ISNUMBER(SEARCH("عهده مشتری",F216)),"مشتری","نامشخص")))</f>
        <v/>
      </c>
      <c r="R216" s="178">
        <f>IF(O216="تعویض کامل دستگاه (Replacement)",IF(SUMIF('قیمت‌ها و مفروضات'!$A$9:$A$13,C216,'قیمت‌ها و مفروضات'!$C$9:$C$13)&lt;&gt;0,SUMIF('قیمت‌ها و مفروضات'!$A$9:$A$13,C216,'قیمت‌ها و مفروضات'!$C$9:$C$13),SUMIF('قیمت‌ها و مفروضات'!$A$9:$A$13,C216,'قیمت‌ها و مفروضات'!$B$9:$B$13)),IF(SUMIF('قیمت‌ها و مفروضات'!$A$18:$A$63,O216,'قیمت‌ها و مفروضات'!$C$18:$C$63)&lt;&gt;0,SUMIF('قیمت‌ها و مفروضات'!$A$18:$A$63,O216,'قیمت‌ها و مفروضات'!$C$18:$C$63),SUMIF('قیمت‌ها و مفروضات'!$A$18:$A$63,O216,'قیمت‌ها و مفروضات'!$B$18:$B$63)))</f>
        <v/>
      </c>
      <c r="S216" s="178">
        <f>'قیمت‌ها و مفروضات'!$B$3+'قیمت‌ها و مفروضات'!$B$4</f>
        <v/>
      </c>
      <c r="T216" s="178">
        <f>R216+S216</f>
        <v/>
      </c>
      <c r="U216" s="178">
        <f>IF(COUNTIF($E$2:E347,E216)&gt;1,"بله (تکراری)","خیر")</f>
        <v/>
      </c>
      <c r="V216" s="178">
        <f>IF(U216="بله (تکراری)",S216,0)</f>
        <v/>
      </c>
      <c r="W216" s="208" t="inlineStr"/>
      <c r="X216" s="208" t="inlineStr"/>
    </row>
    <row r="217" ht="58.5" customHeight="1" s="151">
      <c r="A217" s="176" t="n">
        <v>130003972</v>
      </c>
      <c r="B217" s="124">
        <f>CHOOSE(_xlfn.NUMBERVALUE(MID(H217,6,2)),"فروردین","اردیبهشت","خرداد","تیر","مرداد","شهریور","مهر","آبان","آذر","دی","بهمن","اسفند")</f>
        <v/>
      </c>
      <c r="C217" s="176" t="inlineStr">
        <is>
          <t>تلویزیون</t>
        </is>
      </c>
      <c r="D217" s="176" t="inlineStr">
        <is>
          <t>CTV-55UHJS2</t>
        </is>
      </c>
      <c r="E217" s="176" t="inlineStr">
        <is>
          <t>52230003N00884</t>
        </is>
      </c>
      <c r="F217" s="173" t="inlineStr">
        <is>
          <t>عدم نمايش تصوير در اتصال با بلوتوث**اياب و ذهاب به عهده شرکت</t>
        </is>
      </c>
      <c r="G217" s="124" t="inlineStr">
        <is>
          <t xml:space="preserve">متصل نبودن سوکت WIFI </t>
        </is>
      </c>
      <c r="H217" s="124" t="inlineStr">
        <is>
          <t>1405/02/28</t>
        </is>
      </c>
      <c r="I217" s="124" t="inlineStr">
        <is>
          <t>1404/07/28</t>
        </is>
      </c>
      <c r="J217" s="124" t="inlineStr">
        <is>
          <t>1405/02/26</t>
        </is>
      </c>
      <c r="K217" s="177">
        <f>IFERROR(VLOOKUP(LEFT(H217,7),'تبدیل تاریخ'!$A$2:$B$73,2,FALSE())+VALUE(RIGHT(H217,2))-1,"")</f>
        <v/>
      </c>
      <c r="L217" s="177">
        <f>IFERROR(VLOOKUP(LEFT(I217,7),'تبدیل تاریخ'!$A$2:$B$73,2,FALSE())+VALUE(RIGHT(I217,2))-1,"")</f>
        <v/>
      </c>
      <c r="M217" s="177">
        <f>IF(J217="","",IFERROR(VLOOKUP(LEFT(J217,7),'تبدیل تاریخ'!$A$2:$B$73,2,FALSE())+VALUE(RIGHT(J217,2))-1,""))</f>
        <v/>
      </c>
      <c r="N217" s="124">
        <f>IF(OR(K217="",M217=""),"",CEILING((K217-M217)/30,1))</f>
        <v/>
      </c>
      <c r="O217" s="124">
        <f>IF(OR(ISNUMBER(SEARCH("بدون مورد",G217)),ISNUMBER(SEARCH("غير گارانتي",G217)),ISNUMBER(SEARCH("غیر گارانتی",G217)),ISNUMBER(SEARCH("بدون اجرت",G217)),ISNUMBER(SEARCH("فيلتر",G217)),ISNUMBER(SEARCH("فیلتر",G217))),"غیرگارانتی/بدون قطعه",IF(OR(ISNUMBER(SEARCH("ريست",G217)),ISNUMBER(SEARCH("ریست",G217))),"ریست نرم‌افزاری (بدون قطعه)",IF(OR(ISNUMBER(SEARCH("تعویض محصول",G217)),ISNUMBER(SEARCH("تعویض دستگاه",G217))),"تعویض کامل دستگاه (Replacement)",IF(ISNUMBER(SEARCH("پمپ",G217)),IF(ISNUMBER(SEARCH("نشت",G217)),"نشتی - پمپ تخلیه (تعمیر/آب‌بندی)","خرابی - پمپ تخلیه (تعویض)"),IF(ISNUMBER(SEARCH("کمپرسور",G217)),"خرابی - کمپرسور (تعویض)",IF(ISNUMBER(SEARCH("کمک فنر",G217)),"خرابی - کمک فنر (تعویض)",IF(ISNUMBER(SEARCH("لولا",G217)),"مکانیزم درب - لولا (تعویض)",IF(OR(ISNUMBER(SEARCH("قلاب",G217)),ISNUMBER(SEARCH("ميکروسوئيچ",G217)),ISNUMBER(SEARCH("میکروسوئیچ",G217))),"مکانیزم درب - میکروسوئیچ/قلاب (تعویض/تنظیم)",IF(ISNUMBER(SEARCH("زبانه",G217)),"مکانیزم درب - زبانه (تعویض)",IF(OR(ISNUMBER(SEARCH("شيلنگ",G217)),ISNUMBER(SEARCH("شیلنگ",G217))),IF(OR(ISNUMBER(SEARCH("نشتی",G217)),ISNUMBER(SEARCH("نشتي",G217))),"نشتی - شیلنگ (تعمیر/آب‌بندی)",IF(OR(ISNUMBER(SEARCH("يخ",G217)),ISNUMBER(SEARCH("یخ",G217))),"شیلنگ یخساز - یخ‌زدگی (بازبینی)","شیلنگ - برخورد/لهیدگی (بازبینی)")),IF(OR(ISNUMBER(SEARCH("تنظيم ديسپل",G217)),ISNUMBER(SEARCH("تنظیم دیسپل",G217)),ISNUMBER(SEARCH("تنظيم صفحه نمايش",G217)),ISNUMBER(SEARCH("تنظیم صفحه نمایش",G217))),"تنظیم - تنظیمات دستگاه/دیسپلی (تعمیر)",IF(OR(ISNUMBER(SEARCH("برد",G217)),ISNUMBER(SEARCH("سوکت",G217)),ISNUMBER(SEARCH("ديسپل",G217)),ISNUMBER(SEARCH("دیسپل",G217))),"خرابی - برد الکترونیک (تعویض)",IF(OR(ISNUMBER(SEARCH("يخساز",G217)),ISNUMBER(SEARCH("یخساز",G217)),ISNUMBER(SEARCH("دمپر",G217))),IF(OR(ISNUMBER(SEARCH("خرابی",G217)),ISNUMBER(SEARCH("خراب",G217)),ISNUMBER(SEARCH("عدم کارکرد",G217)),ISNUMBER(SEARCH("عدم عملکرد",G217))),"یخساز - خرابی موتور/سنسور/برد (تعویض)","یخساز - تنظیم/عایق (تعمیر)"),IF(OR(ISNUMBER(SEARCH("لاستيک",G217)),ISNUMBER(SEARCH("لاستیک",G217))),"لاستیک درزگیر - دفرمگی/پارگی (تعویض)",IF(OR(ISNUMBER(SEARCH("گسکت",G217)),ISNUMBER(SEARCH("گسگت",G217))),"لاستیک درزگیر - دفرمگی/پارگی (تعویض)",IF(ISNUMBER(SEARCH("مخزن نمک",G217)),"نشتی - درب مخزن نمک (تعمیر/آب‌بندی)",IF(ISNUMBER(SEARCH("براکت",G217)),"نشتی - براکت ریل (تعمیر/آب‌بندی)",IF(ISNUMBER(SEARCH("جاپودر",G217)),"نشتی - جاپودری (تعمیر/آب‌بندی)",IF(ISNUMBER(SEARCH("مقسم",G217)),"نشتی - مقسم آب (تعمیر/آب‌بندی)",IF(OR(ISNUMBER(SEARCH("سنسور دما",G217)),ISNUMBER(SEARCH("ترموستات",G217))),"خرابی - ترموستات (تعویض)",IF(OR(ISNUMBER(SEARCH("هيدروستات",G217)),ISNUMBER(SEARCH("هیدروستات",G217))),"خرابی - هیدروستات (تعویض)",IF(OR(ISNUMBER(SEARCH("بلبرينگ",G217)),ISNUMBER(SEARCH("بلبرینگ",G217))),"خرابی - بلبرینگ (تعویض)",IF(OR(ISNUMBER(SEARCH("شيربرق",G217)),ISNUMBER(SEARCH("شیربرق",G217))),"خرابی - شیربرقی (تعویض)",IF(OR(ISNUMBER(SEARCH("واتر جت",G217)),ISNUMBER(SEARCH("واترجت",G217))),"خرابی - واترجت (تعویض)",IF(OR(ISNUMBER(SEARCH("سيم",G217)),ISNUMBER(SEARCH("سیم",G217)),ISNUMBER(SEARCH("اتصال",G217))),"سیم‌کشی/اتصالات (تعویض/بازبینی)",IF(OR(ISNUMBER(SEARCH("تصوير",G217)),ISNUMBER(SEARCH("تصویر",G217))),"برد نمایش تلویزیون (تعویض)",IF(OR(ISNUMBER(SEARCH("ريموت",G217)),ISNUMBER(SEARCH("ریموت",G217))),"ریموت کنترل (تعویض/تعمیر)",IF(OR(ISNUMBER(SEARCH("ال اي دي",G217)),ISNUMBER(SEARCH("ال ای دی",G217)),ISNUMBER(SEARCH("LED",G217))),"خرابی - لامپ/LED داخلی (تعویض)",IF(ISNUMBER(SEARCH("زنگ زدگ",G217)),"زنگ‌زدگی بدنه/قطعه (تعویض)",IF(OR(ISNUMBER(SEARCH("قطعات تزئين",G217)),ISNUMBER(SEARCH("قطعات تزئین",G217))),"قطعات تزئینی - شکستگی/کسری (تعویض)",IF(ISNUMBER(SEARCH("سبد",G217)),"سبد ظرفشویی - شکستگی (تعویض)",IF(ISNUMBER(SEARCH("تاب درام",G217)),"خرابی - تاب برداشتن درام (تعویض)",IF(ISNUMBER(SEARCH("درام",G217)),"خرابی - سایر ایراد درام (تعویض)",IF(ISNUMBER(SEARCH("موتور",G217)),"خرابی - موتور (تعویض)",IF(ISNUMBER(SEARCH("تسمه",G217)),"خرابی - تسمه (تعویض)",IF(OR(ISNUMBER(SEARCH("پيچ ولوم",G217)),ISNUMBER(SEARCH("پیچ ولوم",G217))),"تنظیم - پیچ ولوم/دکمه (تعمیر)",IF(OR(ISNUMBER(SEARCH("کسري قطعات",G217)),ISNUMBER(SEARCH("کسری قطعات",G217))),"کسری قطعات تزئینی (تعویض)",IF(ISNUMBER(SEARCH("پرچ",G217)),"پرچ/بدنه کابین(تعمیر)",IF(OR(ISNUMBER(SEARCH("نشت",G217)),ISNUMBER(SEARCH("آبريزش",G217)),ISNUMBER(SEARCH("آبریزش",G217))),"نشتی آب - محل نامشخص (نیازمند بازدید)",IF(ISNUMBER(SEARCH("درب",G217)),"سایر اجزای درب (بازبینی)",IF(ISNUMBER(SEARCH("ضربه",G217)),"بدنه/کابین - ضربه (بازبینی/تعویض پنل)",IF(ISNUMBER(SEARCH("تراز",G217)),"تراز/لرزش - نصب (رگلاژ پایه)",IF(OR(ISNUMBER(SEARCH("تعویض",G217)),ISNUMBER(SEARCH("تعويض",G217))),"تعویض کامل دستگاه (Replacement)","سایر (نیازمند بررسی دستی)")))))))))))))))))))))))))))))))))))))))))))</f>
        <v/>
      </c>
      <c r="P217" s="124" t="inlineStr">
        <is>
          <t>برد تلویزیون</t>
        </is>
      </c>
      <c r="Q217" s="124">
        <f>IF(ISNUMBER(SEARCH("عهده شرکت",F217)),"شرکت",IF(ISNUMBER(SEARCH("عهده مشتري",F217)),"مشتری",IF(ISNUMBER(SEARCH("عهده مشتری",F217)),"مشتری","نامشخص")))</f>
        <v/>
      </c>
      <c r="R217" s="178">
        <f>IF(O217="تعویض کامل دستگاه (Replacement)",IF(SUMIF('قیمت‌ها و مفروضات'!$A$9:$A$13,C217,'قیمت‌ها و مفروضات'!$C$9:$C$13)&lt;&gt;0,SUMIF('قیمت‌ها و مفروضات'!$A$9:$A$13,C217,'قیمت‌ها و مفروضات'!$C$9:$C$13),SUMIF('قیمت‌ها و مفروضات'!$A$9:$A$13,C217,'قیمت‌ها و مفروضات'!$B$9:$B$13)),IF(SUMIF('قیمت‌ها و مفروضات'!$A$18:$A$63,O217,'قیمت‌ها و مفروضات'!$C$18:$C$63)&lt;&gt;0,SUMIF('قیمت‌ها و مفروضات'!$A$18:$A$63,O217,'قیمت‌ها و مفروضات'!$C$18:$C$63),SUMIF('قیمت‌ها و مفروضات'!$A$18:$A$63,O217,'قیمت‌ها و مفروضات'!$B$18:$B$63)))</f>
        <v/>
      </c>
      <c r="S217" s="178">
        <f>'قیمت‌ها و مفروضات'!$B$3+'قیمت‌ها و مفروضات'!$B$4</f>
        <v/>
      </c>
      <c r="T217" s="178">
        <f>R217+S217</f>
        <v/>
      </c>
      <c r="U217" s="178">
        <f>IF(COUNTIF($E$2:E348,E217)&gt;1,"بله (تکراری)","خیر")</f>
        <v/>
      </c>
      <c r="V217" s="178">
        <f>IF(U217="بله (تکراری)",S217,0)</f>
        <v/>
      </c>
      <c r="W217" s="208" t="inlineStr"/>
      <c r="X217" s="208" t="inlineStr"/>
    </row>
    <row r="218" ht="58.5" customHeight="1" s="151">
      <c r="A218" s="176" t="n">
        <v>130004037</v>
      </c>
      <c r="B218" s="124">
        <f>CHOOSE(_xlfn.NUMBERVALUE(MID(H218,6,2)),"فروردین","اردیبهشت","خرداد","تیر","مرداد","شهریور","مهر","آبان","آذر","دی","بهمن","اسفند")</f>
        <v/>
      </c>
      <c r="C218" s="176" t="inlineStr">
        <is>
          <t>ماشين ظرفشويي</t>
        </is>
      </c>
      <c r="D218" s="176" t="inlineStr">
        <is>
          <t>CDW-H16T</t>
        </is>
      </c>
      <c r="E218" s="176" t="inlineStr">
        <is>
          <t>52220005N01629</t>
        </is>
      </c>
      <c r="F218" s="173" t="inlineStr">
        <is>
          <t>خطاي F12**اياب و ذهاب به عهده مشتري</t>
        </is>
      </c>
      <c r="G218" s="124" t="inlineStr">
        <is>
          <t>نشتي از شيلنگ ورودي</t>
        </is>
      </c>
      <c r="H218" s="124" t="inlineStr">
        <is>
          <t>1405/02/31</t>
        </is>
      </c>
      <c r="I218" s="124" t="inlineStr">
        <is>
          <t>1403/11/11</t>
        </is>
      </c>
      <c r="J218" s="124" t="inlineStr">
        <is>
          <t>1404/04/02</t>
        </is>
      </c>
      <c r="K218" s="177">
        <f>IFERROR(VLOOKUP(LEFT(H218,7),'تبدیل تاریخ'!$A$2:$B$73,2,FALSE())+VALUE(RIGHT(H218,2))-1,"")</f>
        <v/>
      </c>
      <c r="L218" s="177">
        <f>IFERROR(VLOOKUP(LEFT(I218,7),'تبدیل تاریخ'!$A$2:$B$73,2,FALSE())+VALUE(RIGHT(I218,2))-1,"")</f>
        <v/>
      </c>
      <c r="M218" s="177">
        <f>IF(J218="","",IFERROR(VLOOKUP(LEFT(J218,7),'تبدیل تاریخ'!$A$2:$B$73,2,FALSE())+VALUE(RIGHT(J218,2))-1,""))</f>
        <v/>
      </c>
      <c r="N218" s="124">
        <f>IF(OR(K218="",M218=""),"",CEILING((K218-M218)/30,1))</f>
        <v/>
      </c>
      <c r="O218" s="124">
        <f>IF(OR(ISNUMBER(SEARCH("بدون مورد",G218)),ISNUMBER(SEARCH("غير گارانتي",G218)),ISNUMBER(SEARCH("غیر گارانتی",G218)),ISNUMBER(SEARCH("بدون اجرت",G218)),ISNUMBER(SEARCH("فيلتر",G218)),ISNUMBER(SEARCH("فیلتر",G218))),"غیرگارانتی/بدون قطعه",IF(OR(ISNUMBER(SEARCH("ريست",G218)),ISNUMBER(SEARCH("ریست",G218))),"ریست نرم‌افزاری (بدون قطعه)",IF(OR(ISNUMBER(SEARCH("تعویض محصول",G218)),ISNUMBER(SEARCH("تعویض دستگاه",G218))),"تعویض کامل دستگاه (Replacement)",IF(ISNUMBER(SEARCH("پمپ",G218)),IF(ISNUMBER(SEARCH("نشت",G218)),"نشتی - پمپ تخلیه (تعمیر/آب‌بندی)","خرابی - پمپ تخلیه (تعویض)"),IF(ISNUMBER(SEARCH("کمپرسور",G218)),"خرابی - کمپرسور (تعویض)",IF(ISNUMBER(SEARCH("کمک فنر",G218)),"خرابی - کمک فنر (تعویض)",IF(ISNUMBER(SEARCH("لولا",G218)),"مکانیزم درب - لولا (تعویض)",IF(OR(ISNUMBER(SEARCH("قلاب",G218)),ISNUMBER(SEARCH("ميکروسوئيچ",G218)),ISNUMBER(SEARCH("میکروسوئیچ",G218))),"مکانیزم درب - میکروسوئیچ/قلاب (تعویض/تنظیم)",IF(ISNUMBER(SEARCH("زبانه",G218)),"مکانیزم درب - زبانه (تعویض)",IF(OR(ISNUMBER(SEARCH("شيلنگ",G218)),ISNUMBER(SEARCH("شیلنگ",G218))),IF(OR(ISNUMBER(SEARCH("نشتی",G218)),ISNUMBER(SEARCH("نشتي",G218))),"نشتی - شیلنگ (تعمیر/آب‌بندی)",IF(OR(ISNUMBER(SEARCH("يخ",G218)),ISNUMBER(SEARCH("یخ",G218))),"شیلنگ یخساز - یخ‌زدگی (بازبینی)","شیلنگ - برخورد/لهیدگی (بازبینی)")),IF(OR(ISNUMBER(SEARCH("تنظيم ديسپل",G218)),ISNUMBER(SEARCH("تنظیم دیسپل",G218)),ISNUMBER(SEARCH("تنظيم صفحه نمايش",G218)),ISNUMBER(SEARCH("تنظیم صفحه نمایش",G218))),"تنظیم - تنظیمات دستگاه/دیسپلی (تعمیر)",IF(OR(ISNUMBER(SEARCH("برد",G218)),ISNUMBER(SEARCH("سوکت",G218)),ISNUMBER(SEARCH("ديسپل",G218)),ISNUMBER(SEARCH("دیسپل",G218))),"خرابی - برد الکترونیک (تعویض)",IF(OR(ISNUMBER(SEARCH("يخساز",G218)),ISNUMBER(SEARCH("یخساز",G218)),ISNUMBER(SEARCH("دمپر",G218))),IF(OR(ISNUMBER(SEARCH("خرابی",G218)),ISNUMBER(SEARCH("خراب",G218)),ISNUMBER(SEARCH("عدم کارکرد",G218)),ISNUMBER(SEARCH("عدم عملکرد",G218))),"یخساز - خرابی موتور/سنسور/برد (تعویض)","یخساز - تنظیم/عایق (تعمیر)"),IF(OR(ISNUMBER(SEARCH("لاستيک",G218)),ISNUMBER(SEARCH("لاستیک",G218))),"لاستیک درزگیر - دفرمگی/پارگی (تعویض)",IF(OR(ISNUMBER(SEARCH("گسکت",G218)),ISNUMBER(SEARCH("گسگت",G218))),"لاستیک درزگیر - دفرمگی/پارگی (تعویض)",IF(ISNUMBER(SEARCH("مخزن نمک",G218)),"نشتی - درب مخزن نمک (تعمیر/آب‌بندی)",IF(ISNUMBER(SEARCH("براکت",G218)),"نشتی - براکت ریل (تعمیر/آب‌بندی)",IF(ISNUMBER(SEARCH("جاپودر",G218)),"نشتی - جاپودری (تعمیر/آب‌بندی)",IF(ISNUMBER(SEARCH("مقسم",G218)),"نشتی - مقسم آب (تعمیر/آب‌بندی)",IF(OR(ISNUMBER(SEARCH("سنسور دما",G218)),ISNUMBER(SEARCH("ترموستات",G218))),"خرابی - ترموستات (تعویض)",IF(OR(ISNUMBER(SEARCH("هيدروستات",G218)),ISNUMBER(SEARCH("هیدروستات",G218))),"خرابی - هیدروستات (تعویض)",IF(OR(ISNUMBER(SEARCH("بلبرينگ",G218)),ISNUMBER(SEARCH("بلبرینگ",G218))),"خرابی - بلبرینگ (تعویض)",IF(OR(ISNUMBER(SEARCH("شيربرق",G218)),ISNUMBER(SEARCH("شیربرق",G218))),"خرابی - شیربرقی (تعویض)",IF(OR(ISNUMBER(SEARCH("واتر جت",G218)),ISNUMBER(SEARCH("واترجت",G218))),"خرابی - واترجت (تعویض)",IF(OR(ISNUMBER(SEARCH("سيم",G218)),ISNUMBER(SEARCH("سیم",G218)),ISNUMBER(SEARCH("اتصال",G218))),"سیم‌کشی/اتصالات (تعویض/بازبینی)",IF(OR(ISNUMBER(SEARCH("تصوير",G218)),ISNUMBER(SEARCH("تصویر",G218))),"برد نمایش تلویزیون (تعویض)",IF(OR(ISNUMBER(SEARCH("ريموت",G218)),ISNUMBER(SEARCH("ریموت",G218))),"ریموت کنترل (تعویض/تعمیر)",IF(OR(ISNUMBER(SEARCH("ال اي دي",G218)),ISNUMBER(SEARCH("ال ای دی",G218)),ISNUMBER(SEARCH("LED",G218))),"خرابی - لامپ/LED داخلی (تعویض)",IF(ISNUMBER(SEARCH("زنگ زدگ",G218)),"زنگ‌زدگی بدنه/قطعه (تعویض)",IF(OR(ISNUMBER(SEARCH("قطعات تزئين",G218)),ISNUMBER(SEARCH("قطعات تزئین",G218))),"قطعات تزئینی - شکستگی/کسری (تعویض)",IF(ISNUMBER(SEARCH("سبد",G218)),"سبد ظرفشویی - شکستگی (تعویض)",IF(ISNUMBER(SEARCH("تاب درام",G218)),"خرابی - تاب برداشتن درام (تعویض)",IF(ISNUMBER(SEARCH("درام",G218)),"خرابی - سایر ایراد درام (تعویض)",IF(ISNUMBER(SEARCH("موتور",G218)),"خرابی - موتور (تعویض)",IF(ISNUMBER(SEARCH("تسمه",G218)),"خرابی - تسمه (تعویض)",IF(OR(ISNUMBER(SEARCH("پيچ ولوم",G218)),ISNUMBER(SEARCH("پیچ ولوم",G218))),"تنظیم - پیچ ولوم/دکمه (تعمیر)",IF(OR(ISNUMBER(SEARCH("کسري قطعات",G218)),ISNUMBER(SEARCH("کسری قطعات",G218))),"کسری قطعات تزئینی (تعویض)",IF(ISNUMBER(SEARCH("پرچ",G218)),"پرچ/بدنه کابین(تعمیر)",IF(OR(ISNUMBER(SEARCH("نشت",G218)),ISNUMBER(SEARCH("آبريزش",G218)),ISNUMBER(SEARCH("آبریزش",G218))),"نشتی آب - محل نامشخص (نیازمند بازدید)",IF(ISNUMBER(SEARCH("درب",G218)),"سایر اجزای درب (بازبینی)",IF(ISNUMBER(SEARCH("ضربه",G218)),"بدنه/کابین - ضربه (بازبینی/تعویض پنل)",IF(ISNUMBER(SEARCH("تراز",G218)),"تراز/لرزش - نصب (رگلاژ پایه)",IF(OR(ISNUMBER(SEARCH("تعویض",G218)),ISNUMBER(SEARCH("تعويض",G218))),"تعویض کامل دستگاه (Replacement)","سایر (نیازمند بررسی دستی)")))))))))))))))))))))))))))))))))))))))))))</f>
        <v/>
      </c>
      <c r="P218" s="124" t="inlineStr">
        <is>
          <t>*</t>
        </is>
      </c>
      <c r="Q218" s="124">
        <f>IF(ISNUMBER(SEARCH("عهده شرکت",F218)),"شرکت",IF(ISNUMBER(SEARCH("عهده مشتري",F218)),"مشتری",IF(ISNUMBER(SEARCH("عهده مشتری",F218)),"مشتری","نامشخص")))</f>
        <v/>
      </c>
      <c r="R218" s="178">
        <f>IF(O218="تعویض کامل دستگاه (Replacement)",IF(SUMIF('قیمت‌ها و مفروضات'!$A$9:$A$13,C218,'قیمت‌ها و مفروضات'!$C$9:$C$13)&lt;&gt;0,SUMIF('قیمت‌ها و مفروضات'!$A$9:$A$13,C218,'قیمت‌ها و مفروضات'!$C$9:$C$13),SUMIF('قیمت‌ها و مفروضات'!$A$9:$A$13,C218,'قیمت‌ها و مفروضات'!$B$9:$B$13)),IF(SUMIF('قیمت‌ها و مفروضات'!$A$18:$A$63,O218,'قیمت‌ها و مفروضات'!$C$18:$C$63)&lt;&gt;0,SUMIF('قیمت‌ها و مفروضات'!$A$18:$A$63,O218,'قیمت‌ها و مفروضات'!$C$18:$C$63),SUMIF('قیمت‌ها و مفروضات'!$A$18:$A$63,O218,'قیمت‌ها و مفروضات'!$B$18:$B$63)))</f>
        <v/>
      </c>
      <c r="S218" s="178">
        <f>'قیمت‌ها و مفروضات'!$B$3+'قیمت‌ها و مفروضات'!$B$4</f>
        <v/>
      </c>
      <c r="T218" s="178">
        <f>R218+S218</f>
        <v/>
      </c>
      <c r="U218" s="178">
        <f>IF(COUNTIF($E$2:E349,E218)&gt;1,"بله (تکراری)","خیر")</f>
        <v/>
      </c>
      <c r="V218" s="178">
        <f>IF(U218="بله (تکراری)",S218,0)</f>
        <v/>
      </c>
      <c r="W218" s="208" t="inlineStr"/>
      <c r="X218" s="208" t="inlineStr"/>
    </row>
    <row r="219" ht="58.5" customHeight="1" s="151">
      <c r="A219" s="176" t="n">
        <v>767776</v>
      </c>
      <c r="B219" s="124">
        <f>CHOOSE(_xlfn.NUMBERVALUE(MID(H219,6,2)),"فروردین","اردیبهشت","خرداد","تیر","مرداد","شهریور","مهر","آبان","آذر","دی","بهمن","اسفند")</f>
        <v/>
      </c>
      <c r="C219" s="176" t="inlineStr">
        <is>
          <t>ماشين ظرفشويي</t>
        </is>
      </c>
      <c r="D219" s="176" t="inlineStr">
        <is>
          <t>CDW-H16T</t>
        </is>
      </c>
      <c r="E219" s="176" t="inlineStr">
        <is>
          <t>52220005N00726</t>
        </is>
      </c>
      <c r="F219" s="173" t="inlineStr">
        <is>
          <t>بسته نشدن درب ** اياب و ذهاب به عهده شرکت</t>
        </is>
      </c>
      <c r="G219" s="124" t="inlineStr">
        <is>
          <t>ريست دستگاه - ظرفشويي</t>
        </is>
      </c>
      <c r="H219" s="176" t="inlineStr">
        <is>
          <t>1405/02/01</t>
        </is>
      </c>
      <c r="I219" s="124" t="inlineStr">
        <is>
          <t>1403/08/15</t>
        </is>
      </c>
      <c r="J219" s="124" t="inlineStr">
        <is>
          <t>1404/04/24</t>
        </is>
      </c>
      <c r="K219" s="177">
        <f>IFERROR(VLOOKUP(LEFT(H219,7),'تبدیل تاریخ'!$A$2:$B$73,2,FALSE())+VALUE(RIGHT(H219,2))-1,"")</f>
        <v/>
      </c>
      <c r="L219" s="177">
        <f>IFERROR(VLOOKUP(LEFT(I219,7),'تبدیل تاریخ'!$A$2:$B$73,2,FALSE())+VALUE(RIGHT(I219,2))-1,"")</f>
        <v/>
      </c>
      <c r="M219" s="177">
        <f>IF(J219="","",IFERROR(VLOOKUP(LEFT(J219,7),'تبدیل تاریخ'!$A$2:$B$73,2,FALSE())+VALUE(RIGHT(J219,2))-1,""))</f>
        <v/>
      </c>
      <c r="N219" s="124">
        <f>IF(OR(K219="",M219=""),"",CEILING((K219-M219)/30,1))</f>
        <v/>
      </c>
      <c r="O219" s="124">
        <f>IF(OR(ISNUMBER(SEARCH("بدون مورد",G219)),ISNUMBER(SEARCH("غير گارانتي",G219)),ISNUMBER(SEARCH("غیر گارانتی",G219)),ISNUMBER(SEARCH("بدون اجرت",G219)),ISNUMBER(SEARCH("فيلتر",G219)),ISNUMBER(SEARCH("فیلتر",G219))),"غیرگارانتی/بدون قطعه",IF(OR(ISNUMBER(SEARCH("ريست",G219)),ISNUMBER(SEARCH("ریست",G219))),"ریست نرم‌افزاری (بدون قطعه)",IF(OR(ISNUMBER(SEARCH("تعویض محصول",G219)),ISNUMBER(SEARCH("تعویض دستگاه",G219))),"تعویض کامل دستگاه (Replacement)",IF(ISNUMBER(SEARCH("پمپ",G219)),IF(ISNUMBER(SEARCH("نشت",G219)),"نشتی - پمپ تخلیه (تعمیر/آب‌بندی)","خرابی - پمپ تخلیه (تعویض)"),IF(ISNUMBER(SEARCH("کمپرسور",G219)),"خرابی - کمپرسور (تعویض)",IF(ISNUMBER(SEARCH("کمک فنر",G219)),"خرابی - کمک فنر (تعویض)",IF(ISNUMBER(SEARCH("لولا",G219)),"مکانیزم درب - لولا (تعویض)",IF(OR(ISNUMBER(SEARCH("قلاب",G219)),ISNUMBER(SEARCH("ميکروسوئيچ",G219)),ISNUMBER(SEARCH("میکروسوئیچ",G219))),"مکانیزم درب - میکروسوئیچ/قلاب (تعویض/تنظیم)",IF(ISNUMBER(SEARCH("زبانه",G219)),"مکانیزم درب - زبانه (تعویض)",IF(OR(ISNUMBER(SEARCH("شيلنگ",G219)),ISNUMBER(SEARCH("شیلنگ",G219))),IF(OR(ISNUMBER(SEARCH("نشتی",G219)),ISNUMBER(SEARCH("نشتي",G219))),"نشتی - شیلنگ (تعمیر/آب‌بندی)",IF(OR(ISNUMBER(SEARCH("يخ",G219)),ISNUMBER(SEARCH("یخ",G219))),"شیلنگ یخساز - یخ‌زدگی (بازبینی)","شیلنگ - برخورد/لهیدگی (بازبینی)")),IF(OR(ISNUMBER(SEARCH("تنظيم ديسپل",G219)),ISNUMBER(SEARCH("تنظیم دیسپل",G219)),ISNUMBER(SEARCH("تنظيم صفحه نمايش",G219)),ISNUMBER(SEARCH("تنظیم صفحه نمایش",G219))),"تنظیم - تنظیمات دستگاه/دیسپلی (تعمیر)",IF(OR(ISNUMBER(SEARCH("برد",G219)),ISNUMBER(SEARCH("سوکت",G219)),ISNUMBER(SEARCH("ديسپل",G219)),ISNUMBER(SEARCH("دیسپل",G219))),"خرابی - برد الکترونیک (تعویض)",IF(OR(ISNUMBER(SEARCH("يخساز",G219)),ISNUMBER(SEARCH("یخساز",G219)),ISNUMBER(SEARCH("دمپر",G219))),IF(OR(ISNUMBER(SEARCH("خرابی",G219)),ISNUMBER(SEARCH("خراب",G219)),ISNUMBER(SEARCH("عدم کارکرد",G219)),ISNUMBER(SEARCH("عدم عملکرد",G219))),"یخساز - خرابی موتور/سنسور/برد (تعویض)","یخساز - تنظیم/عایق (تعمیر)"),IF(OR(ISNUMBER(SEARCH("لاستيک",G219)),ISNUMBER(SEARCH("لاستیک",G219))),"لاستیک درزگیر - دفرمگی/پارگی (تعویض)",IF(OR(ISNUMBER(SEARCH("گسکت",G219)),ISNUMBER(SEARCH("گسگت",G219))),"لاستیک درزگیر - دفرمگی/پارگی (تعویض)",IF(ISNUMBER(SEARCH("مخزن نمک",G219)),"نشتی - درب مخزن نمک (تعمیر/آب‌بندی)",IF(ISNUMBER(SEARCH("براکت",G219)),"نشتی - براکت ریل (تعمیر/آب‌بندی)",IF(ISNUMBER(SEARCH("جاپودر",G219)),"نشتی - جاپودری (تعمیر/آب‌بندی)",IF(ISNUMBER(SEARCH("مقسم",G219)),"نشتی - مقسم آب (تعمیر/آب‌بندی)",IF(OR(ISNUMBER(SEARCH("سنسور دما",G219)),ISNUMBER(SEARCH("ترموستات",G219))),"خرابی - ترموستات (تعویض)",IF(OR(ISNUMBER(SEARCH("هيدروستات",G219)),ISNUMBER(SEARCH("هیدروستات",G219))),"خرابی - هیدروستات (تعویض)",IF(OR(ISNUMBER(SEARCH("بلبرينگ",G219)),ISNUMBER(SEARCH("بلبرینگ",G219))),"خرابی - بلبرینگ (تعویض)",IF(OR(ISNUMBER(SEARCH("شيربرق",G219)),ISNUMBER(SEARCH("شیربرق",G219))),"خرابی - شیربرقی (تعویض)",IF(OR(ISNUMBER(SEARCH("واتر جت",G219)),ISNUMBER(SEARCH("واترجت",G219))),"خرابی - واترجت (تعویض)",IF(OR(ISNUMBER(SEARCH("سيم",G219)),ISNUMBER(SEARCH("سیم",G219)),ISNUMBER(SEARCH("اتصال",G219))),"سیم‌کشی/اتصالات (تعویض/بازبینی)",IF(OR(ISNUMBER(SEARCH("تصوير",G219)),ISNUMBER(SEARCH("تصویر",G219))),"برد نمایش تلویزیون (تعویض)",IF(OR(ISNUMBER(SEARCH("ريموت",G219)),ISNUMBER(SEARCH("ریموت",G219))),"ریموت کنترل (تعویض/تعمیر)",IF(OR(ISNUMBER(SEARCH("ال اي دي",G219)),ISNUMBER(SEARCH("ال ای دی",G219)),ISNUMBER(SEARCH("LED",G219))),"خرابی - لامپ/LED داخلی (تعویض)",IF(ISNUMBER(SEARCH("زنگ زدگ",G219)),"زنگ‌زدگی بدنه/قطعه (تعویض)",IF(OR(ISNUMBER(SEARCH("قطعات تزئين",G219)),ISNUMBER(SEARCH("قطعات تزئین",G219))),"قطعات تزئینی - شکستگی/کسری (تعویض)",IF(ISNUMBER(SEARCH("سبد",G219)),"سبد ظرفشویی - شکستگی (تعویض)",IF(ISNUMBER(SEARCH("تاب درام",G219)),"خرابی - تاب برداشتن درام (تعویض)",IF(ISNUMBER(SEARCH("درام",G219)),"خرابی - سایر ایراد درام (تعویض)",IF(ISNUMBER(SEARCH("موتور",G219)),"خرابی - موتور (تعویض)",IF(ISNUMBER(SEARCH("تسمه",G219)),"خرابی - تسمه (تعویض)",IF(OR(ISNUMBER(SEARCH("پيچ ولوم",G219)),ISNUMBER(SEARCH("پیچ ولوم",G219))),"تنظیم - پیچ ولوم/دکمه (تعمیر)",IF(OR(ISNUMBER(SEARCH("کسري قطعات",G219)),ISNUMBER(SEARCH("کسری قطعات",G219))),"کسری قطعات تزئینی (تعویض)",IF(ISNUMBER(SEARCH("پرچ",G219)),"پرچ/بدنه کابین(تعمیر)",IF(OR(ISNUMBER(SEARCH("نشت",G219)),ISNUMBER(SEARCH("آبريزش",G219)),ISNUMBER(SEARCH("آبریزش",G219))),"نشتی آب - محل نامشخص (نیازمند بازدید)",IF(ISNUMBER(SEARCH("درب",G219)),"سایر اجزای درب (بازبینی)",IF(ISNUMBER(SEARCH("ضربه",G219)),"بدنه/کابین - ضربه (بازبینی/تعویض پنل)",IF(ISNUMBER(SEARCH("تراز",G219)),"تراز/لرزش - نصب (رگلاژ پایه)",IF(OR(ISNUMBER(SEARCH("تعویض",G219)),ISNUMBER(SEARCH("تعويض",G219))),"تعویض کامل دستگاه (Replacement)","سایر (نیازمند بررسی دستی)")))))))))))))))))))))))))))))))))))))))))))</f>
        <v/>
      </c>
      <c r="P219" s="124" t="inlineStr">
        <is>
          <t>*</t>
        </is>
      </c>
      <c r="Q219" s="124">
        <f>IF(ISNUMBER(SEARCH("عهده شرکت",F219)),"شرکت",IF(ISNUMBER(SEARCH("عهده مشتري",F219)),"مشتری",IF(ISNUMBER(SEARCH("عهده مشتری",F219)),"مشتری","نامشخص")))</f>
        <v/>
      </c>
      <c r="R219" s="178">
        <f>IF(O219="تعویض کامل دستگاه (Replacement)",IF(SUMIF('قیمت‌ها و مفروضات'!$A$9:$A$13,C219,'قیمت‌ها و مفروضات'!$C$9:$C$13)&lt;&gt;0,SUMIF('قیمت‌ها و مفروضات'!$A$9:$A$13,C219,'قیمت‌ها و مفروضات'!$C$9:$C$13),SUMIF('قیمت‌ها و مفروضات'!$A$9:$A$13,C219,'قیمت‌ها و مفروضات'!$B$9:$B$13)),IF(SUMIF('قیمت‌ها و مفروضات'!$A$18:$A$63,O219,'قیمت‌ها و مفروضات'!$C$18:$C$63)&lt;&gt;0,SUMIF('قیمت‌ها و مفروضات'!$A$18:$A$63,O219,'قیمت‌ها و مفروضات'!$C$18:$C$63),SUMIF('قیمت‌ها و مفروضات'!$A$18:$A$63,O219,'قیمت‌ها و مفروضات'!$B$18:$B$63)))</f>
        <v/>
      </c>
      <c r="S219" s="178">
        <f>'قیمت‌ها و مفروضات'!$B$3+'قیمت‌ها و مفروضات'!$B$4</f>
        <v/>
      </c>
      <c r="T219" s="178">
        <f>R219+S219</f>
        <v/>
      </c>
      <c r="U219" s="178">
        <f>IF(COUNTIF($E$2:E350,E219)&gt;1,"بله (تکراری)","خیر")</f>
        <v/>
      </c>
      <c r="V219" s="178">
        <f>IF(U219="بله (تکراری)",S219,0)</f>
        <v/>
      </c>
      <c r="W219" s="208" t="inlineStr"/>
      <c r="X219" s="208" t="inlineStr"/>
    </row>
    <row r="220" ht="58.5" customHeight="1" s="151">
      <c r="A220" s="176" t="n">
        <v>768255</v>
      </c>
      <c r="B220" s="124">
        <f>CHOOSE(_xlfn.NUMBERVALUE(MID(H220,6,2)),"فروردین","اردیبهشت","خرداد","تیر","مرداد","شهریور","مهر","آبان","آذر","دی","بهمن","اسفند")</f>
        <v/>
      </c>
      <c r="C220" s="176" t="inlineStr">
        <is>
          <t>ماشين لباسشويي</t>
        </is>
      </c>
      <c r="D220" s="176" t="inlineStr">
        <is>
          <t>CWM-BMW9T1</t>
        </is>
      </c>
      <c r="E220" s="176" t="inlineStr">
        <is>
          <t>52210007N00761</t>
        </is>
      </c>
      <c r="F220" s="173" t="inlineStr">
        <is>
          <t>صداي غيرعادي هنگام خشک کن ** اياب و ذهاب به عهده شرکت</t>
        </is>
      </c>
      <c r="G220" s="124" t="inlineStr">
        <is>
          <t>تراز پايه تنظيم</t>
        </is>
      </c>
      <c r="H220" s="176" t="inlineStr">
        <is>
          <t>1405/02/02</t>
        </is>
      </c>
      <c r="I220" s="124" t="inlineStr">
        <is>
          <t>1404/02/19</t>
        </is>
      </c>
      <c r="J220" s="124" t="inlineStr">
        <is>
          <t>1404/09/12</t>
        </is>
      </c>
      <c r="K220" s="177">
        <f>IFERROR(VLOOKUP(LEFT(H220,7),'تبدیل تاریخ'!$A$2:$B$73,2,FALSE())+VALUE(RIGHT(H220,2))-1,"")</f>
        <v/>
      </c>
      <c r="L220" s="177">
        <f>IFERROR(VLOOKUP(LEFT(I220,7),'تبدیل تاریخ'!$A$2:$B$73,2,FALSE())+VALUE(RIGHT(I220,2))-1,"")</f>
        <v/>
      </c>
      <c r="M220" s="177">
        <f>IF(J220="","",IFERROR(VLOOKUP(LEFT(J220,7),'تبدیل تاریخ'!$A$2:$B$73,2,FALSE())+VALUE(RIGHT(J220,2))-1,""))</f>
        <v/>
      </c>
      <c r="N220" s="124">
        <f>IF(OR(K220="",M220=""),"",CEILING((K220-M220)/30,1))</f>
        <v/>
      </c>
      <c r="O220" s="124">
        <f>IF(OR(ISNUMBER(SEARCH("بدون مورد",G220)),ISNUMBER(SEARCH("غير گارانتي",G220)),ISNUMBER(SEARCH("غیر گارانتی",G220)),ISNUMBER(SEARCH("بدون اجرت",G220)),ISNUMBER(SEARCH("فيلتر",G220)),ISNUMBER(SEARCH("فیلتر",G220))),"غیرگارانتی/بدون قطعه",IF(OR(ISNUMBER(SEARCH("ريست",G220)),ISNUMBER(SEARCH("ریست",G220))),"ریست نرم‌افزاری (بدون قطعه)",IF(OR(ISNUMBER(SEARCH("تعویض محصول",G220)),ISNUMBER(SEARCH("تعویض دستگاه",G220))),"تعویض کامل دستگاه (Replacement)",IF(ISNUMBER(SEARCH("پمپ",G220)),IF(ISNUMBER(SEARCH("نشت",G220)),"نشتی - پمپ تخلیه (تعمیر/آب‌بندی)","خرابی - پمپ تخلیه (تعویض)"),IF(ISNUMBER(SEARCH("کمپرسور",G220)),"خرابی - کمپرسور (تعویض)",IF(ISNUMBER(SEARCH("کمک فنر",G220)),"خرابی - کمک فنر (تعویض)",IF(ISNUMBER(SEARCH("لولا",G220)),"مکانیزم درب - لولا (تعویض)",IF(OR(ISNUMBER(SEARCH("قلاب",G220)),ISNUMBER(SEARCH("ميکروسوئيچ",G220)),ISNUMBER(SEARCH("میکروسوئیچ",G220))),"مکانیزم درب - میکروسوئیچ/قلاب (تعویض/تنظیم)",IF(ISNUMBER(SEARCH("زبانه",G220)),"مکانیزم درب - زبانه (تعویض)",IF(OR(ISNUMBER(SEARCH("شيلنگ",G220)),ISNUMBER(SEARCH("شیلنگ",G220))),IF(OR(ISNUMBER(SEARCH("نشتی",G220)),ISNUMBER(SEARCH("نشتي",G220))),"نشتی - شیلنگ (تعمیر/آب‌بندی)",IF(OR(ISNUMBER(SEARCH("يخ",G220)),ISNUMBER(SEARCH("یخ",G220))),"شیلنگ یخساز - یخ‌زدگی (بازبینی)","شیلنگ - برخورد/لهیدگی (بازبینی)")),IF(OR(ISNUMBER(SEARCH("تنظيم ديسپل",G220)),ISNUMBER(SEARCH("تنظیم دیسپل",G220)),ISNUMBER(SEARCH("تنظيم صفحه نمايش",G220)),ISNUMBER(SEARCH("تنظیم صفحه نمایش",G220))),"تنظیم - تنظیمات دستگاه/دیسپلی (تعمیر)",IF(OR(ISNUMBER(SEARCH("برد",G220)),ISNUMBER(SEARCH("سوکت",G220)),ISNUMBER(SEARCH("ديسپل",G220)),ISNUMBER(SEARCH("دیسپل",G220))),"خرابی - برد الکترونیک (تعویض)",IF(OR(ISNUMBER(SEARCH("يخساز",G220)),ISNUMBER(SEARCH("یخساز",G220)),ISNUMBER(SEARCH("دمپر",G220))),IF(OR(ISNUMBER(SEARCH("خرابی",G220)),ISNUMBER(SEARCH("خراب",G220)),ISNUMBER(SEARCH("عدم کارکرد",G220)),ISNUMBER(SEARCH("عدم عملکرد",G220))),"یخساز - خرابی موتور/سنسور/برد (تعویض)","یخساز - تنظیم/عایق (تعمیر)"),IF(OR(ISNUMBER(SEARCH("لاستيک",G220)),ISNUMBER(SEARCH("لاستیک",G220))),"لاستیک درزگیر - دفرمگی/پارگی (تعویض)",IF(OR(ISNUMBER(SEARCH("گسکت",G220)),ISNUMBER(SEARCH("گسگت",G220))),"لاستیک درزگیر - دفرمگی/پارگی (تعویض)",IF(ISNUMBER(SEARCH("مخزن نمک",G220)),"نشتی - درب مخزن نمک (تعمیر/آب‌بندی)",IF(ISNUMBER(SEARCH("براکت",G220)),"نشتی - براکت ریل (تعمیر/آب‌بندی)",IF(ISNUMBER(SEARCH("جاپودر",G220)),"نشتی - جاپودری (تعمیر/آب‌بندی)",IF(ISNUMBER(SEARCH("مقسم",G220)),"نشتی - مقسم آب (تعمیر/آب‌بندی)",IF(OR(ISNUMBER(SEARCH("سنسور دما",G220)),ISNUMBER(SEARCH("ترموستات",G220))),"خرابی - ترموستات (تعویض)",IF(OR(ISNUMBER(SEARCH("هيدروستات",G220)),ISNUMBER(SEARCH("هیدروستات",G220))),"خرابی - هیدروستات (تعویض)",IF(OR(ISNUMBER(SEARCH("بلبرينگ",G220)),ISNUMBER(SEARCH("بلبرینگ",G220))),"خرابی - بلبرینگ (تعویض)",IF(OR(ISNUMBER(SEARCH("شيربرق",G220)),ISNUMBER(SEARCH("شیربرق",G220))),"خرابی - شیربرقی (تعویض)",IF(OR(ISNUMBER(SEARCH("واتر جت",G220)),ISNUMBER(SEARCH("واترجت",G220))),"خرابی - واترجت (تعویض)",IF(OR(ISNUMBER(SEARCH("سيم",G220)),ISNUMBER(SEARCH("سیم",G220)),ISNUMBER(SEARCH("اتصال",G220))),"سیم‌کشی/اتصالات (تعویض/بازبینی)",IF(OR(ISNUMBER(SEARCH("تصوير",G220)),ISNUMBER(SEARCH("تصویر",G220))),"برد نمایش تلویزیون (تعویض)",IF(OR(ISNUMBER(SEARCH("ريموت",G220)),ISNUMBER(SEARCH("ریموت",G220))),"ریموت کنترل (تعویض/تعمیر)",IF(OR(ISNUMBER(SEARCH("ال اي دي",G220)),ISNUMBER(SEARCH("ال ای دی",G220)),ISNUMBER(SEARCH("LED",G220))),"خرابی - لامپ/LED داخلی (تعویض)",IF(ISNUMBER(SEARCH("زنگ زدگ",G220)),"زنگ‌زدگی بدنه/قطعه (تعویض)",IF(OR(ISNUMBER(SEARCH("قطعات تزئين",G220)),ISNUMBER(SEARCH("قطعات تزئین",G220))),"قطعات تزئینی - شکستگی/کسری (تعویض)",IF(ISNUMBER(SEARCH("سبد",G220)),"سبد ظرفشویی - شکستگی (تعویض)",IF(ISNUMBER(SEARCH("تاب درام",G220)),"خرابی - تاب برداشتن درام (تعویض)",IF(ISNUMBER(SEARCH("درام",G220)),"خرابی - سایر ایراد درام (تعویض)",IF(ISNUMBER(SEARCH("موتور",G220)),"خرابی - موتور (تعویض)",IF(ISNUMBER(SEARCH("تسمه",G220)),"خرابی - تسمه (تعویض)",IF(OR(ISNUMBER(SEARCH("پيچ ولوم",G220)),ISNUMBER(SEARCH("پیچ ولوم",G220))),"تنظیم - پیچ ولوم/دکمه (تعمیر)",IF(OR(ISNUMBER(SEARCH("کسري قطعات",G220)),ISNUMBER(SEARCH("کسری قطعات",G220))),"کسری قطعات تزئینی (تعویض)",IF(ISNUMBER(SEARCH("پرچ",G220)),"پرچ/بدنه کابین(تعمیر)",IF(OR(ISNUMBER(SEARCH("نشت",G220)),ISNUMBER(SEARCH("آبريزش",G220)),ISNUMBER(SEARCH("آبریزش",G220))),"نشتی آب - محل نامشخص (نیازمند بازدید)",IF(ISNUMBER(SEARCH("درب",G220)),"سایر اجزای درب (بازبینی)",IF(ISNUMBER(SEARCH("ضربه",G220)),"بدنه/کابین - ضربه (بازبینی/تعویض پنل)",IF(ISNUMBER(SEARCH("تراز",G220)),"تراز/لرزش - نصب (رگلاژ پایه)",IF(OR(ISNUMBER(SEARCH("تعویض",G220)),ISNUMBER(SEARCH("تعويض",G220))),"تعویض کامل دستگاه (Replacement)","سایر (نیازمند بررسی دستی)")))))))))))))))))))))))))))))))))))))))))))</f>
        <v/>
      </c>
      <c r="P220" s="124" t="inlineStr">
        <is>
          <t>رگلاژ پایه تنظیم لباسشویی</t>
        </is>
      </c>
      <c r="Q220" s="124">
        <f>IF(ISNUMBER(SEARCH("عهده شرکت",F220)),"شرکت",IF(ISNUMBER(SEARCH("عهده مشتري",F220)),"مشتری",IF(ISNUMBER(SEARCH("عهده مشتری",F220)),"مشتری","نامشخص")))</f>
        <v/>
      </c>
      <c r="R220" s="178">
        <f>IF(O220="تعویض کامل دستگاه (Replacement)",IF(SUMIF('قیمت‌ها و مفروضات'!$A$9:$A$13,C220,'قیمت‌ها و مفروضات'!$C$9:$C$13)&lt;&gt;0,SUMIF('قیمت‌ها و مفروضات'!$A$9:$A$13,C220,'قیمت‌ها و مفروضات'!$C$9:$C$13),SUMIF('قیمت‌ها و مفروضات'!$A$9:$A$13,C220,'قیمت‌ها و مفروضات'!$B$9:$B$13)),IF(SUMIF('قیمت‌ها و مفروضات'!$A$18:$A$63,O220,'قیمت‌ها و مفروضات'!$C$18:$C$63)&lt;&gt;0,SUMIF('قیمت‌ها و مفروضات'!$A$18:$A$63,O220,'قیمت‌ها و مفروضات'!$C$18:$C$63),SUMIF('قیمت‌ها و مفروضات'!$A$18:$A$63,O220,'قیمت‌ها و مفروضات'!$B$18:$B$63)))</f>
        <v/>
      </c>
      <c r="S220" s="178">
        <f>'قیمت‌ها و مفروضات'!$B$3+'قیمت‌ها و مفروضات'!$B$4</f>
        <v/>
      </c>
      <c r="T220" s="178">
        <f>R220+S220</f>
        <v/>
      </c>
      <c r="U220" s="178">
        <f>IF(COUNTIF($E$2:E351,E220)&gt;1,"بله (تکراری)","خیر")</f>
        <v/>
      </c>
      <c r="V220" s="178">
        <f>IF(U220="بله (تکراری)",S220,0)</f>
        <v/>
      </c>
      <c r="W220" s="208" t="inlineStr"/>
      <c r="X220" s="208" t="inlineStr"/>
    </row>
    <row r="221" ht="58.5" customHeight="1" s="151">
      <c r="A221" s="176" t="n">
        <v>768502</v>
      </c>
      <c r="B221" s="124">
        <f>CHOOSE(_xlfn.NUMBERVALUE(MID(H221,6,2)),"فروردین","اردیبهشت","خرداد","تیر","مرداد","شهریور","مهر","آبان","آذر","دی","بهمن","اسفند")</f>
        <v/>
      </c>
      <c r="C221" s="176" t="inlineStr">
        <is>
          <t>ماشين لباسشويي</t>
        </is>
      </c>
      <c r="D221" s="176" t="inlineStr">
        <is>
          <t>CWM-BMW8T2</t>
        </is>
      </c>
      <c r="E221" s="176" t="inlineStr">
        <is>
          <t>52210010N01056</t>
        </is>
      </c>
      <c r="F221" s="173" t="inlineStr">
        <is>
          <t>صداي غيرعادي هنگام خشک کن**اياب و ذهاب به عهده شرکت</t>
        </is>
      </c>
      <c r="G221" s="124" t="inlineStr">
        <is>
          <t>تراز پايه تنظيم</t>
        </is>
      </c>
      <c r="H221" s="176" t="inlineStr">
        <is>
          <t>1405/02/03</t>
        </is>
      </c>
      <c r="I221" s="124" t="inlineStr">
        <is>
          <t>1404/03/03</t>
        </is>
      </c>
      <c r="J221" s="124" t="inlineStr">
        <is>
          <t>1404/05/22</t>
        </is>
      </c>
      <c r="K221" s="177">
        <f>IFERROR(VLOOKUP(LEFT(H221,7),'تبدیل تاریخ'!$A$2:$B$73,2,FALSE())+VALUE(RIGHT(H221,2))-1,"")</f>
        <v/>
      </c>
      <c r="L221" s="177">
        <f>IFERROR(VLOOKUP(LEFT(I221,7),'تبدیل تاریخ'!$A$2:$B$73,2,FALSE())+VALUE(RIGHT(I221,2))-1,"")</f>
        <v/>
      </c>
      <c r="M221" s="177">
        <f>IF(J221="","",IFERROR(VLOOKUP(LEFT(J221,7),'تبدیل تاریخ'!$A$2:$B$73,2,FALSE())+VALUE(RIGHT(J221,2))-1,""))</f>
        <v/>
      </c>
      <c r="N221" s="124">
        <f>IF(OR(K221="",M221=""),"",CEILING((K221-M221)/30,1))</f>
        <v/>
      </c>
      <c r="O221" s="124">
        <f>IF(OR(ISNUMBER(SEARCH("بدون مورد",G221)),ISNUMBER(SEARCH("غير گارانتي",G221)),ISNUMBER(SEARCH("غیر گارانتی",G221)),ISNUMBER(SEARCH("بدون اجرت",G221)),ISNUMBER(SEARCH("فيلتر",G221)),ISNUMBER(SEARCH("فیلتر",G221))),"غیرگارانتی/بدون قطعه",IF(OR(ISNUMBER(SEARCH("ريست",G221)),ISNUMBER(SEARCH("ریست",G221))),"ریست نرم‌افزاری (بدون قطعه)",IF(OR(ISNUMBER(SEARCH("تعویض محصول",G221)),ISNUMBER(SEARCH("تعویض دستگاه",G221))),"تعویض کامل دستگاه (Replacement)",IF(ISNUMBER(SEARCH("پمپ",G221)),IF(ISNUMBER(SEARCH("نشت",G221)),"نشتی - پمپ تخلیه (تعمیر/آب‌بندی)","خرابی - پمپ تخلیه (تعویض)"),IF(ISNUMBER(SEARCH("کمپرسور",G221)),"خرابی - کمپرسور (تعویض)",IF(ISNUMBER(SEARCH("کمک فنر",G221)),"خرابی - کمک فنر (تعویض)",IF(ISNUMBER(SEARCH("لولا",G221)),"مکانیزم درب - لولا (تعویض)",IF(OR(ISNUMBER(SEARCH("قلاب",G221)),ISNUMBER(SEARCH("ميکروسوئيچ",G221)),ISNUMBER(SEARCH("میکروسوئیچ",G221))),"مکانیزم درب - میکروسوئیچ/قلاب (تعویض/تنظیم)",IF(ISNUMBER(SEARCH("زبانه",G221)),"مکانیزم درب - زبانه (تعویض)",IF(OR(ISNUMBER(SEARCH("شيلنگ",G221)),ISNUMBER(SEARCH("شیلنگ",G221))),IF(OR(ISNUMBER(SEARCH("نشتی",G221)),ISNUMBER(SEARCH("نشتي",G221))),"نشتی - شیلنگ (تعمیر/آب‌بندی)",IF(OR(ISNUMBER(SEARCH("يخ",G221)),ISNUMBER(SEARCH("یخ",G221))),"شیلنگ یخساز - یخ‌زدگی (بازبینی)","شیلنگ - برخورد/لهیدگی (بازبینی)")),IF(OR(ISNUMBER(SEARCH("تنظيم ديسپل",G221)),ISNUMBER(SEARCH("تنظیم دیسپل",G221)),ISNUMBER(SEARCH("تنظيم صفحه نمايش",G221)),ISNUMBER(SEARCH("تنظیم صفحه نمایش",G221))),"تنظیم - تنظیمات دستگاه/دیسپلی (تعمیر)",IF(OR(ISNUMBER(SEARCH("برد",G221)),ISNUMBER(SEARCH("سوکت",G221)),ISNUMBER(SEARCH("ديسپل",G221)),ISNUMBER(SEARCH("دیسپل",G221))),"خرابی - برد الکترونیک (تعویض)",IF(OR(ISNUMBER(SEARCH("يخساز",G221)),ISNUMBER(SEARCH("یخساز",G221)),ISNUMBER(SEARCH("دمپر",G221))),IF(OR(ISNUMBER(SEARCH("خرابی",G221)),ISNUMBER(SEARCH("خراب",G221)),ISNUMBER(SEARCH("عدم کارکرد",G221)),ISNUMBER(SEARCH("عدم عملکرد",G221))),"یخساز - خرابی موتور/سنسور/برد (تعویض)","یخساز - تنظیم/عایق (تعمیر)"),IF(OR(ISNUMBER(SEARCH("لاستيک",G221)),ISNUMBER(SEARCH("لاستیک",G221))),"لاستیک درزگیر - دفرمگی/پارگی (تعویض)",IF(OR(ISNUMBER(SEARCH("گسکت",G221)),ISNUMBER(SEARCH("گسگت",G221))),"لاستیک درزگیر - دفرمگی/پارگی (تعویض)",IF(ISNUMBER(SEARCH("مخزن نمک",G221)),"نشتی - درب مخزن نمک (تعمیر/آب‌بندی)",IF(ISNUMBER(SEARCH("براکت",G221)),"نشتی - براکت ریل (تعمیر/آب‌بندی)",IF(ISNUMBER(SEARCH("جاپودر",G221)),"نشتی - جاپودری (تعمیر/آب‌بندی)",IF(ISNUMBER(SEARCH("مقسم",G221)),"نشتی - مقسم آب (تعمیر/آب‌بندی)",IF(OR(ISNUMBER(SEARCH("سنسور دما",G221)),ISNUMBER(SEARCH("ترموستات",G221))),"خرابی - ترموستات (تعویض)",IF(OR(ISNUMBER(SEARCH("هيدروستات",G221)),ISNUMBER(SEARCH("هیدروستات",G221))),"خرابی - هیدروستات (تعویض)",IF(OR(ISNUMBER(SEARCH("بلبرينگ",G221)),ISNUMBER(SEARCH("بلبرینگ",G221))),"خرابی - بلبرینگ (تعویض)",IF(OR(ISNUMBER(SEARCH("شيربرق",G221)),ISNUMBER(SEARCH("شیربرق",G221))),"خرابی - شیربرقی (تعویض)",IF(OR(ISNUMBER(SEARCH("واتر جت",G221)),ISNUMBER(SEARCH("واترجت",G221))),"خرابی - واترجت (تعویض)",IF(OR(ISNUMBER(SEARCH("سيم",G221)),ISNUMBER(SEARCH("سیم",G221)),ISNUMBER(SEARCH("اتصال",G221))),"سیم‌کشی/اتصالات (تعویض/بازبینی)",IF(OR(ISNUMBER(SEARCH("تصوير",G221)),ISNUMBER(SEARCH("تصویر",G221))),"برد نمایش تلویزیون (تعویض)",IF(OR(ISNUMBER(SEARCH("ريموت",G221)),ISNUMBER(SEARCH("ریموت",G221))),"ریموت کنترل (تعویض/تعمیر)",IF(OR(ISNUMBER(SEARCH("ال اي دي",G221)),ISNUMBER(SEARCH("ال ای دی",G221)),ISNUMBER(SEARCH("LED",G221))),"خرابی - لامپ/LED داخلی (تعویض)",IF(ISNUMBER(SEARCH("زنگ زدگ",G221)),"زنگ‌زدگی بدنه/قطعه (تعویض)",IF(OR(ISNUMBER(SEARCH("قطعات تزئين",G221)),ISNUMBER(SEARCH("قطعات تزئین",G221))),"قطعات تزئینی - شکستگی/کسری (تعویض)",IF(ISNUMBER(SEARCH("سبد",G221)),"سبد ظرفشویی - شکستگی (تعویض)",IF(ISNUMBER(SEARCH("تاب درام",G221)),"خرابی - تاب برداشتن درام (تعویض)",IF(ISNUMBER(SEARCH("درام",G221)),"خرابی - سایر ایراد درام (تعویض)",IF(ISNUMBER(SEARCH("موتور",G221)),"خرابی - موتور (تعویض)",IF(ISNUMBER(SEARCH("تسمه",G221)),"خرابی - تسمه (تعویض)",IF(OR(ISNUMBER(SEARCH("پيچ ولوم",G221)),ISNUMBER(SEARCH("پیچ ولوم",G221))),"تنظیم - پیچ ولوم/دکمه (تعمیر)",IF(OR(ISNUMBER(SEARCH("کسري قطعات",G221)),ISNUMBER(SEARCH("کسری قطعات",G221))),"کسری قطعات تزئینی (تعویض)",IF(ISNUMBER(SEARCH("پرچ",G221)),"پرچ/بدنه کابین(تعمیر)",IF(OR(ISNUMBER(SEARCH("نشت",G221)),ISNUMBER(SEARCH("آبريزش",G221)),ISNUMBER(SEARCH("آبریزش",G221))),"نشتی آب - محل نامشخص (نیازمند بازدید)",IF(ISNUMBER(SEARCH("درب",G221)),"سایر اجزای درب (بازبینی)",IF(ISNUMBER(SEARCH("ضربه",G221)),"بدنه/کابین - ضربه (بازبینی/تعویض پنل)",IF(ISNUMBER(SEARCH("تراز",G221)),"تراز/لرزش - نصب (رگلاژ پایه)",IF(OR(ISNUMBER(SEARCH("تعویض",G221)),ISNUMBER(SEARCH("تعويض",G221))),"تعویض کامل دستگاه (Replacement)","سایر (نیازمند بررسی دستی)")))))))))))))))))))))))))))))))))))))))))))</f>
        <v/>
      </c>
      <c r="P221" s="124" t="inlineStr">
        <is>
          <t>رگلاژ پایه تنظیم لباسشویی</t>
        </is>
      </c>
      <c r="Q221" s="124">
        <f>IF(ISNUMBER(SEARCH("عهده شرکت",F221)),"شرکت",IF(ISNUMBER(SEARCH("عهده مشتري",F221)),"مشتری",IF(ISNUMBER(SEARCH("عهده مشتری",F221)),"مشتری","نامشخص")))</f>
        <v/>
      </c>
      <c r="R221" s="178">
        <f>IF(O221="تعویض کامل دستگاه (Replacement)",IF(SUMIF('قیمت‌ها و مفروضات'!$A$9:$A$13,C221,'قیمت‌ها و مفروضات'!$C$9:$C$13)&lt;&gt;0,SUMIF('قیمت‌ها و مفروضات'!$A$9:$A$13,C221,'قیمت‌ها و مفروضات'!$C$9:$C$13),SUMIF('قیمت‌ها و مفروضات'!$A$9:$A$13,C221,'قیمت‌ها و مفروضات'!$B$9:$B$13)),IF(SUMIF('قیمت‌ها و مفروضات'!$A$18:$A$63,O221,'قیمت‌ها و مفروضات'!$C$18:$C$63)&lt;&gt;0,SUMIF('قیمت‌ها و مفروضات'!$A$18:$A$63,O221,'قیمت‌ها و مفروضات'!$C$18:$C$63),SUMIF('قیمت‌ها و مفروضات'!$A$18:$A$63,O221,'قیمت‌ها و مفروضات'!$B$18:$B$63)))</f>
        <v/>
      </c>
      <c r="S221" s="178">
        <f>'قیمت‌ها و مفروضات'!$B$3+'قیمت‌ها و مفروضات'!$B$4</f>
        <v/>
      </c>
      <c r="T221" s="178">
        <f>R221+S221</f>
        <v/>
      </c>
      <c r="U221" s="178">
        <f>IF(COUNTIF($E$2:E352,E221)&gt;1,"بله (تکراری)","خیر")</f>
        <v/>
      </c>
      <c r="V221" s="178">
        <f>IF(U221="بله (تکراری)",S221,0)</f>
        <v/>
      </c>
      <c r="W221" s="208" t="inlineStr"/>
      <c r="X221" s="208" t="inlineStr"/>
    </row>
    <row r="222" ht="58.5" customHeight="1" s="151">
      <c r="A222" s="176" t="n">
        <v>768535</v>
      </c>
      <c r="B222" s="124">
        <f>CHOOSE(_xlfn.NUMBERVALUE(MID(H222,6,2)),"فروردین","اردیبهشت","خرداد","تیر","مرداد","شهریور","مهر","آبان","آذر","دی","بهمن","اسفند")</f>
        <v/>
      </c>
      <c r="C222" s="176" t="inlineStr">
        <is>
          <t>ماشين ظرفشويي</t>
        </is>
      </c>
      <c r="D222" s="176" t="inlineStr">
        <is>
          <t>CDW-H16T</t>
        </is>
      </c>
      <c r="E222" s="176" t="inlineStr">
        <is>
          <t>52220005N02662</t>
        </is>
      </c>
      <c r="F222" s="173" t="inlineStr">
        <is>
          <t>خطاي F54**اياب و ذهاب به عهده شرکت</t>
        </is>
      </c>
      <c r="G222" s="124" t="inlineStr">
        <is>
          <t>نشتی از براکت ریل وسط</t>
        </is>
      </c>
      <c r="H222" s="176" t="inlineStr">
        <is>
          <t>1405/02/03</t>
        </is>
      </c>
      <c r="I222" s="124" t="inlineStr">
        <is>
          <t>1404/02/06</t>
        </is>
      </c>
      <c r="J222" s="124" t="inlineStr">
        <is>
          <t>1404/08/12</t>
        </is>
      </c>
      <c r="K222" s="177">
        <f>IFERROR(VLOOKUP(LEFT(H222,7),'تبدیل تاریخ'!$A$2:$B$73,2,FALSE())+VALUE(RIGHT(H222,2))-1,"")</f>
        <v/>
      </c>
      <c r="L222" s="177">
        <f>IFERROR(VLOOKUP(LEFT(I222,7),'تبدیل تاریخ'!$A$2:$B$73,2,FALSE())+VALUE(RIGHT(I222,2))-1,"")</f>
        <v/>
      </c>
      <c r="M222" s="177">
        <f>IF(J222="","",IFERROR(VLOOKUP(LEFT(J222,7),'تبدیل تاریخ'!$A$2:$B$73,2,FALSE())+VALUE(RIGHT(J222,2))-1,""))</f>
        <v/>
      </c>
      <c r="N222" s="124">
        <f>IF(OR(K222="",M222=""),"",CEILING((K222-M222)/30,1))</f>
        <v/>
      </c>
      <c r="O222" s="124">
        <f>IF(OR(ISNUMBER(SEARCH("بدون مورد",G222)),ISNUMBER(SEARCH("غير گارانتي",G222)),ISNUMBER(SEARCH("غیر گارانتی",G222)),ISNUMBER(SEARCH("بدون اجرت",G222)),ISNUMBER(SEARCH("فيلتر",G222)),ISNUMBER(SEARCH("فیلتر",G222))),"غیرگارانتی/بدون قطعه",IF(OR(ISNUMBER(SEARCH("ريست",G222)),ISNUMBER(SEARCH("ریست",G222))),"ریست نرم‌افزاری (بدون قطعه)",IF(OR(ISNUMBER(SEARCH("تعویض محصول",G222)),ISNUMBER(SEARCH("تعویض دستگاه",G222))),"تعویض کامل دستگاه (Replacement)",IF(ISNUMBER(SEARCH("پمپ",G222)),IF(ISNUMBER(SEARCH("نشت",G222)),"نشتی - پمپ تخلیه (تعمیر/آب‌بندی)","خرابی - پمپ تخلیه (تعویض)"),IF(ISNUMBER(SEARCH("کمپرسور",G222)),"خرابی - کمپرسور (تعویض)",IF(ISNUMBER(SEARCH("کمک فنر",G222)),"خرابی - کمک فنر (تعویض)",IF(ISNUMBER(SEARCH("لولا",G222)),"مکانیزم درب - لولا (تعویض)",IF(OR(ISNUMBER(SEARCH("قلاب",G222)),ISNUMBER(SEARCH("ميکروسوئيچ",G222)),ISNUMBER(SEARCH("میکروسوئیچ",G222))),"مکانیزم درب - میکروسوئیچ/قلاب (تعویض/تنظیم)",IF(ISNUMBER(SEARCH("زبانه",G222)),"مکانیزم درب - زبانه (تعویض)",IF(OR(ISNUMBER(SEARCH("شيلنگ",G222)),ISNUMBER(SEARCH("شیلنگ",G222))),IF(OR(ISNUMBER(SEARCH("نشتی",G222)),ISNUMBER(SEARCH("نشتي",G222))),"نشتی - شیلنگ (تعمیر/آب‌بندی)",IF(OR(ISNUMBER(SEARCH("يخ",G222)),ISNUMBER(SEARCH("یخ",G222))),"شیلنگ یخساز - یخ‌زدگی (بازبینی)","شیلنگ - برخورد/لهیدگی (بازبینی)")),IF(OR(ISNUMBER(SEARCH("تنظيم ديسپل",G222)),ISNUMBER(SEARCH("تنظیم دیسپل",G222)),ISNUMBER(SEARCH("تنظيم صفحه نمايش",G222)),ISNUMBER(SEARCH("تنظیم صفحه نمایش",G222))),"تنظیم - تنظیمات دستگاه/دیسپلی (تعمیر)",IF(OR(ISNUMBER(SEARCH("برد",G222)),ISNUMBER(SEARCH("سوکت",G222)),ISNUMBER(SEARCH("ديسپل",G222)),ISNUMBER(SEARCH("دیسپل",G222))),"خرابی - برد الکترونیک (تعویض)",IF(OR(ISNUMBER(SEARCH("يخساز",G222)),ISNUMBER(SEARCH("یخساز",G222)),ISNUMBER(SEARCH("دمپر",G222))),IF(OR(ISNUMBER(SEARCH("خرابی",G222)),ISNUMBER(SEARCH("خراب",G222)),ISNUMBER(SEARCH("عدم کارکرد",G222)),ISNUMBER(SEARCH("عدم عملکرد",G222))),"یخساز - خرابی موتور/سنسور/برد (تعویض)","یخساز - تنظیم/عایق (تعمیر)"),IF(OR(ISNUMBER(SEARCH("لاستيک",G222)),ISNUMBER(SEARCH("لاستیک",G222))),"لاستیک درزگیر - دفرمگی/پارگی (تعویض)",IF(OR(ISNUMBER(SEARCH("گسکت",G222)),ISNUMBER(SEARCH("گسگت",G222))),"لاستیک درزگیر - دفرمگی/پارگی (تعویض)",IF(ISNUMBER(SEARCH("مخزن نمک",G222)),"نشتی - درب مخزن نمک (تعمیر/آب‌بندی)",IF(ISNUMBER(SEARCH("براکت",G222)),"نشتی - براکت ریل (تعمیر/آب‌بندی)",IF(ISNUMBER(SEARCH("جاپودر",G222)),"نشتی - جاپودری (تعمیر/آب‌بندی)",IF(ISNUMBER(SEARCH("مقسم",G222)),"نشتی - مقسم آب (تعمیر/آب‌بندی)",IF(OR(ISNUMBER(SEARCH("سنسور دما",G222)),ISNUMBER(SEARCH("ترموستات",G222))),"خرابی - ترموستات (تعویض)",IF(OR(ISNUMBER(SEARCH("هيدروستات",G222)),ISNUMBER(SEARCH("هیدروستات",G222))),"خرابی - هیدروستات (تعویض)",IF(OR(ISNUMBER(SEARCH("بلبرينگ",G222)),ISNUMBER(SEARCH("بلبرینگ",G222))),"خرابی - بلبرینگ (تعویض)",IF(OR(ISNUMBER(SEARCH("شيربرق",G222)),ISNUMBER(SEARCH("شیربرق",G222))),"خرابی - شیربرقی (تعویض)",IF(OR(ISNUMBER(SEARCH("واتر جت",G222)),ISNUMBER(SEARCH("واترجت",G222))),"خرابی - واترجت (تعویض)",IF(OR(ISNUMBER(SEARCH("سيم",G222)),ISNUMBER(SEARCH("سیم",G222)),ISNUMBER(SEARCH("اتصال",G222))),"سیم‌کشی/اتصالات (تعویض/بازبینی)",IF(OR(ISNUMBER(SEARCH("تصوير",G222)),ISNUMBER(SEARCH("تصویر",G222))),"برد نمایش تلویزیون (تعویض)",IF(OR(ISNUMBER(SEARCH("ريموت",G222)),ISNUMBER(SEARCH("ریموت",G222))),"ریموت کنترل (تعویض/تعمیر)",IF(OR(ISNUMBER(SEARCH("ال اي دي",G222)),ISNUMBER(SEARCH("ال ای دی",G222)),ISNUMBER(SEARCH("LED",G222))),"خرابی - لامپ/LED داخلی (تعویض)",IF(ISNUMBER(SEARCH("زنگ زدگ",G222)),"زنگ‌زدگی بدنه/قطعه (تعویض)",IF(OR(ISNUMBER(SEARCH("قطعات تزئين",G222)),ISNUMBER(SEARCH("قطعات تزئین",G222))),"قطعات تزئینی - شکستگی/کسری (تعویض)",IF(ISNUMBER(SEARCH("سبد",G222)),"سبد ظرفشویی - شکستگی (تعویض)",IF(ISNUMBER(SEARCH("تاب درام",G222)),"خرابی - تاب برداشتن درام (تعویض)",IF(ISNUMBER(SEARCH("درام",G222)),"خرابی - سایر ایراد درام (تعویض)",IF(ISNUMBER(SEARCH("موتور",G222)),"خرابی - موتور (تعویض)",IF(ISNUMBER(SEARCH("تسمه",G222)),"خرابی - تسمه (تعویض)",IF(OR(ISNUMBER(SEARCH("پيچ ولوم",G222)),ISNUMBER(SEARCH("پیچ ولوم",G222))),"تنظیم - پیچ ولوم/دکمه (تعمیر)",IF(OR(ISNUMBER(SEARCH("کسري قطعات",G222)),ISNUMBER(SEARCH("کسری قطعات",G222))),"کسری قطعات تزئینی (تعویض)",IF(ISNUMBER(SEARCH("پرچ",G222)),"پرچ/بدنه کابین(تعمیر)",IF(OR(ISNUMBER(SEARCH("نشت",G222)),ISNUMBER(SEARCH("آبريزش",G222)),ISNUMBER(SEARCH("آبریزش",G222))),"نشتی آب - محل نامشخص (نیازمند بازدید)",IF(ISNUMBER(SEARCH("درب",G222)),"سایر اجزای درب (بازبینی)",IF(ISNUMBER(SEARCH("ضربه",G222)),"بدنه/کابین - ضربه (بازبینی/تعویض پنل)",IF(ISNUMBER(SEARCH("تراز",G222)),"تراز/لرزش - نصب (رگلاژ پایه)",IF(OR(ISNUMBER(SEARCH("تعویض",G222)),ISNUMBER(SEARCH("تعويض",G222))),"تعویض کامل دستگاه (Replacement)","سایر (نیازمند بررسی دستی)")))))))))))))))))))))))))))))))))))))))))))</f>
        <v/>
      </c>
      <c r="P222" s="124" t="inlineStr">
        <is>
          <t>باز شدن پرچ داخل کابين</t>
        </is>
      </c>
      <c r="Q222" s="124">
        <f>IF(ISNUMBER(SEARCH("عهده شرکت",F222)),"شرکت",IF(ISNUMBER(SEARCH("عهده مشتري",F222)),"مشتری",IF(ISNUMBER(SEARCH("عهده مشتری",F222)),"مشتری","نامشخص")))</f>
        <v/>
      </c>
      <c r="R222" s="178">
        <f>IF(O222="تعویض کامل دستگاه (Replacement)",IF(SUMIF('قیمت‌ها و مفروضات'!$A$9:$A$13,C222,'قیمت‌ها و مفروضات'!$C$9:$C$13)&lt;&gt;0,SUMIF('قیمت‌ها و مفروضات'!$A$9:$A$13,C222,'قیمت‌ها و مفروضات'!$C$9:$C$13),SUMIF('قیمت‌ها و مفروضات'!$A$9:$A$13,C222,'قیمت‌ها و مفروضات'!$B$9:$B$13)),IF(SUMIF('قیمت‌ها و مفروضات'!$A$18:$A$63,O222,'قیمت‌ها و مفروضات'!$C$18:$C$63)&lt;&gt;0,SUMIF('قیمت‌ها و مفروضات'!$A$18:$A$63,O222,'قیمت‌ها و مفروضات'!$C$18:$C$63),SUMIF('قیمت‌ها و مفروضات'!$A$18:$A$63,O222,'قیمت‌ها و مفروضات'!$B$18:$B$63)))</f>
        <v/>
      </c>
      <c r="S222" s="178">
        <f>'قیمت‌ها و مفروضات'!$B$3+'قیمت‌ها و مفروضات'!$B$4</f>
        <v/>
      </c>
      <c r="T222" s="178">
        <f>R222+S222</f>
        <v/>
      </c>
      <c r="U222" s="178">
        <f>IF(COUNTIF($E$2:E353,E222)&gt;1,"بله (تکراری)","خیر")</f>
        <v/>
      </c>
      <c r="V222" s="178">
        <f>IF(U222="بله (تکراری)",S222,0)</f>
        <v/>
      </c>
      <c r="W222" s="208" t="inlineStr"/>
      <c r="X222" s="208" t="inlineStr"/>
    </row>
    <row r="223" ht="58.5" customHeight="1" s="151">
      <c r="A223" s="176" t="n">
        <v>768537</v>
      </c>
      <c r="B223" s="124">
        <f>CHOOSE(_xlfn.NUMBERVALUE(MID(H223,6,2)),"فروردین","اردیبهشت","خرداد","تیر","مرداد","شهریور","مهر","آبان","آذر","دی","بهمن","اسفند")</f>
        <v/>
      </c>
      <c r="C223" s="176" t="inlineStr">
        <is>
          <t>ماشين ظرفشويي</t>
        </is>
      </c>
      <c r="D223" s="176" t="inlineStr">
        <is>
          <t>CDW-H16T</t>
        </is>
      </c>
      <c r="E223" s="176" t="inlineStr">
        <is>
          <t>52220004N01168</t>
        </is>
      </c>
      <c r="F223" s="173" t="inlineStr">
        <is>
          <t>جمع شدن آب زير محصول**اياب و ذهاب به عهده مشتري</t>
        </is>
      </c>
      <c r="G223" s="124" t="inlineStr">
        <is>
          <t>باز شدن پرچ داخل کابين</t>
        </is>
      </c>
      <c r="H223" s="176" t="inlineStr">
        <is>
          <t>1405/02/03</t>
        </is>
      </c>
      <c r="I223" s="124" t="inlineStr">
        <is>
          <t>1403/09/30</t>
        </is>
      </c>
      <c r="J223" s="124" t="inlineStr">
        <is>
          <t>1403/12/21</t>
        </is>
      </c>
      <c r="K223" s="177">
        <f>IFERROR(VLOOKUP(LEFT(H223,7),'تبدیل تاریخ'!$A$2:$B$73,2,FALSE())+VALUE(RIGHT(H223,2))-1,"")</f>
        <v/>
      </c>
      <c r="L223" s="177">
        <f>IFERROR(VLOOKUP(LEFT(I223,7),'تبدیل تاریخ'!$A$2:$B$73,2,FALSE())+VALUE(RIGHT(I223,2))-1,"")</f>
        <v/>
      </c>
      <c r="M223" s="177">
        <f>IF(J223="","",IFERROR(VLOOKUP(LEFT(J223,7),'تبدیل تاریخ'!$A$2:$B$73,2,FALSE())+VALUE(RIGHT(J223,2))-1,""))</f>
        <v/>
      </c>
      <c r="N223" s="124">
        <f>IF(OR(K223="",M223=""),"",CEILING((K223-M223)/30,1))</f>
        <v/>
      </c>
      <c r="O223" s="124">
        <f>IF(OR(ISNUMBER(SEARCH("بدون مورد",G223)),ISNUMBER(SEARCH("غير گارانتي",G223)),ISNUMBER(SEARCH("غیر گارانتی",G223)),ISNUMBER(SEARCH("بدون اجرت",G223)),ISNUMBER(SEARCH("فيلتر",G223)),ISNUMBER(SEARCH("فیلتر",G223))),"غیرگارانتی/بدون قطعه",IF(OR(ISNUMBER(SEARCH("ريست",G223)),ISNUMBER(SEARCH("ریست",G223))),"ریست نرم‌افزاری (بدون قطعه)",IF(OR(ISNUMBER(SEARCH("تعویض محصول",G223)),ISNUMBER(SEARCH("تعویض دستگاه",G223))),"تعویض کامل دستگاه (Replacement)",IF(ISNUMBER(SEARCH("پمپ",G223)),IF(ISNUMBER(SEARCH("نشت",G223)),"نشتی - پمپ تخلیه (تعمیر/آب‌بندی)","خرابی - پمپ تخلیه (تعویض)"),IF(ISNUMBER(SEARCH("کمپرسور",G223)),"خرابی - کمپرسور (تعویض)",IF(ISNUMBER(SEARCH("کمک فنر",G223)),"خرابی - کمک فنر (تعویض)",IF(ISNUMBER(SEARCH("لولا",G223)),"مکانیزم درب - لولا (تعویض)",IF(OR(ISNUMBER(SEARCH("قلاب",G223)),ISNUMBER(SEARCH("ميکروسوئيچ",G223)),ISNUMBER(SEARCH("میکروسوئیچ",G223))),"مکانیزم درب - میکروسوئیچ/قلاب (تعویض/تنظیم)",IF(ISNUMBER(SEARCH("زبانه",G223)),"مکانیزم درب - زبانه (تعویض)",IF(OR(ISNUMBER(SEARCH("شيلنگ",G223)),ISNUMBER(SEARCH("شیلنگ",G223))),IF(OR(ISNUMBER(SEARCH("نشتی",G223)),ISNUMBER(SEARCH("نشتي",G223))),"نشتی - شیلنگ (تعمیر/آب‌بندی)",IF(OR(ISNUMBER(SEARCH("يخ",G223)),ISNUMBER(SEARCH("یخ",G223))),"شیلنگ یخساز - یخ‌زدگی (بازبینی)","شیلنگ - برخورد/لهیدگی (بازبینی)")),IF(OR(ISNUMBER(SEARCH("تنظيم ديسپل",G223)),ISNUMBER(SEARCH("تنظیم دیسپل",G223)),ISNUMBER(SEARCH("تنظيم صفحه نمايش",G223)),ISNUMBER(SEARCH("تنظیم صفحه نمایش",G223))),"تنظیم - تنظیمات دستگاه/دیسپلی (تعمیر)",IF(OR(ISNUMBER(SEARCH("برد",G223)),ISNUMBER(SEARCH("سوکت",G223)),ISNUMBER(SEARCH("ديسپل",G223)),ISNUMBER(SEARCH("دیسپل",G223))),"خرابی - برد الکترونیک (تعویض)",IF(OR(ISNUMBER(SEARCH("يخساز",G223)),ISNUMBER(SEARCH("یخساز",G223)),ISNUMBER(SEARCH("دمپر",G223))),IF(OR(ISNUMBER(SEARCH("خرابی",G223)),ISNUMBER(SEARCH("خراب",G223)),ISNUMBER(SEARCH("عدم کارکرد",G223)),ISNUMBER(SEARCH("عدم عملکرد",G223))),"یخساز - خرابی موتور/سنسور/برد (تعویض)","یخساز - تنظیم/عایق (تعمیر)"),IF(OR(ISNUMBER(SEARCH("لاستيک",G223)),ISNUMBER(SEARCH("لاستیک",G223))),"لاستیک درزگیر - دفرمگی/پارگی (تعویض)",IF(OR(ISNUMBER(SEARCH("گسکت",G223)),ISNUMBER(SEARCH("گسگت",G223))),"لاستیک درزگیر - دفرمگی/پارگی (تعویض)",IF(ISNUMBER(SEARCH("مخزن نمک",G223)),"نشتی - درب مخزن نمک (تعمیر/آب‌بندی)",IF(ISNUMBER(SEARCH("براکت",G223)),"نشتی - براکت ریل (تعمیر/آب‌بندی)",IF(ISNUMBER(SEARCH("جاپودر",G223)),"نشتی - جاپودری (تعمیر/آب‌بندی)",IF(ISNUMBER(SEARCH("مقسم",G223)),"نشتی - مقسم آب (تعمیر/آب‌بندی)",IF(OR(ISNUMBER(SEARCH("سنسور دما",G223)),ISNUMBER(SEARCH("ترموستات",G223))),"خرابی - ترموستات (تعویض)",IF(OR(ISNUMBER(SEARCH("هيدروستات",G223)),ISNUMBER(SEARCH("هیدروستات",G223))),"خرابی - هیدروستات (تعویض)",IF(OR(ISNUMBER(SEARCH("بلبرينگ",G223)),ISNUMBER(SEARCH("بلبرینگ",G223))),"خرابی - بلبرینگ (تعویض)",IF(OR(ISNUMBER(SEARCH("شيربرق",G223)),ISNUMBER(SEARCH("شیربرق",G223))),"خرابی - شیربرقی (تعویض)",IF(OR(ISNUMBER(SEARCH("واتر جت",G223)),ISNUMBER(SEARCH("واترجت",G223))),"خرابی - واترجت (تعویض)",IF(OR(ISNUMBER(SEARCH("سيم",G223)),ISNUMBER(SEARCH("سیم",G223)),ISNUMBER(SEARCH("اتصال",G223))),"سیم‌کشی/اتصالات (تعویض/بازبینی)",IF(OR(ISNUMBER(SEARCH("تصوير",G223)),ISNUMBER(SEARCH("تصویر",G223))),"برد نمایش تلویزیون (تعویض)",IF(OR(ISNUMBER(SEARCH("ريموت",G223)),ISNUMBER(SEARCH("ریموت",G223))),"ریموت کنترل (تعویض/تعمیر)",IF(OR(ISNUMBER(SEARCH("ال اي دي",G223)),ISNUMBER(SEARCH("ال ای دی",G223)),ISNUMBER(SEARCH("LED",G223))),"خرابی - لامپ/LED داخلی (تعویض)",IF(ISNUMBER(SEARCH("زنگ زدگ",G223)),"زنگ‌زدگی بدنه/قطعه (تعویض)",IF(OR(ISNUMBER(SEARCH("قطعات تزئين",G223)),ISNUMBER(SEARCH("قطعات تزئین",G223))),"قطعات تزئینی - شکستگی/کسری (تعویض)",IF(ISNUMBER(SEARCH("سبد",G223)),"سبد ظرفشویی - شکستگی (تعویض)",IF(ISNUMBER(SEARCH("تاب درام",G223)),"خرابی - تاب برداشتن درام (تعویض)",IF(ISNUMBER(SEARCH("درام",G223)),"خرابی - سایر ایراد درام (تعویض)",IF(ISNUMBER(SEARCH("موتور",G223)),"خرابی - موتور (تعویض)",IF(ISNUMBER(SEARCH("تسمه",G223)),"خرابی - تسمه (تعویض)",IF(OR(ISNUMBER(SEARCH("پيچ ولوم",G223)),ISNUMBER(SEARCH("پیچ ولوم",G223))),"تنظیم - پیچ ولوم/دکمه (تعمیر)",IF(OR(ISNUMBER(SEARCH("کسري قطعات",G223)),ISNUMBER(SEARCH("کسری قطعات",G223))),"کسری قطعات تزئینی (تعویض)",IF(ISNUMBER(SEARCH("پرچ",G223)),"پرچ/بدنه کابین(تعمیر)",IF(OR(ISNUMBER(SEARCH("نشت",G223)),ISNUMBER(SEARCH("آبريزش",G223)),ISNUMBER(SEARCH("آبریزش",G223))),"نشتی آب - محل نامشخص (نیازمند بازدید)",IF(ISNUMBER(SEARCH("درب",G223)),"سایر اجزای درب (بازبینی)",IF(ISNUMBER(SEARCH("ضربه",G223)),"بدنه/کابین - ضربه (بازبینی/تعویض پنل)",IF(ISNUMBER(SEARCH("تراز",G223)),"تراز/لرزش - نصب (رگلاژ پایه)",IF(OR(ISNUMBER(SEARCH("تعویض",G223)),ISNUMBER(SEARCH("تعويض",G223))),"تعویض کامل دستگاه (Replacement)","سایر (نیازمند بررسی دستی)")))))))))))))))))))))))))))))))))))))))))))</f>
        <v/>
      </c>
      <c r="P223" s="124" t="inlineStr">
        <is>
          <t>باز شدن پرچ داخل کابين</t>
        </is>
      </c>
      <c r="Q223" s="124">
        <f>IF(ISNUMBER(SEARCH("عهده شرکت",F223)),"شرکت",IF(ISNUMBER(SEARCH("عهده مشتري",F223)),"مشتری",IF(ISNUMBER(SEARCH("عهده مشتری",F223)),"مشتری","نامشخص")))</f>
        <v/>
      </c>
      <c r="R223" s="178">
        <f>IF(O223="تعویض کامل دستگاه (Replacement)",IF(SUMIF('قیمت‌ها و مفروضات'!$A$9:$A$13,C223,'قیمت‌ها و مفروضات'!$C$9:$C$13)&lt;&gt;0,SUMIF('قیمت‌ها و مفروضات'!$A$9:$A$13,C223,'قیمت‌ها و مفروضات'!$C$9:$C$13),SUMIF('قیمت‌ها و مفروضات'!$A$9:$A$13,C223,'قیمت‌ها و مفروضات'!$B$9:$B$13)),IF(SUMIF('قیمت‌ها و مفروضات'!$A$18:$A$63,O223,'قیمت‌ها و مفروضات'!$C$18:$C$63)&lt;&gt;0,SUMIF('قیمت‌ها و مفروضات'!$A$18:$A$63,O223,'قیمت‌ها و مفروضات'!$C$18:$C$63),SUMIF('قیمت‌ها و مفروضات'!$A$18:$A$63,O223,'قیمت‌ها و مفروضات'!$B$18:$B$63)))</f>
        <v/>
      </c>
      <c r="S223" s="178">
        <f>'قیمت‌ها و مفروضات'!$B$3+'قیمت‌ها و مفروضات'!$B$4</f>
        <v/>
      </c>
      <c r="T223" s="178">
        <f>R223+S223</f>
        <v/>
      </c>
      <c r="U223" s="178">
        <f>IF(COUNTIF($E$2:E354,E223)&gt;1,"بله (تکراری)","خیر")</f>
        <v/>
      </c>
      <c r="V223" s="178">
        <f>IF(U223="بله (تکراری)",S223,0)</f>
        <v/>
      </c>
      <c r="W223" s="208" t="inlineStr"/>
      <c r="X223" s="208" t="inlineStr"/>
    </row>
    <row r="224" ht="58.5" customHeight="1" s="151">
      <c r="A224" s="176" t="n">
        <v>769082</v>
      </c>
      <c r="B224" s="124">
        <f>CHOOSE(_xlfn.NUMBERVALUE(MID(H224,6,2)),"فروردین","اردیبهشت","خرداد","تیر","مرداد","شهریور","مهر","آبان","آذر","دی","بهمن","اسفند")</f>
        <v/>
      </c>
      <c r="C224" s="176" t="inlineStr">
        <is>
          <t>ماشين ظرفشويي</t>
        </is>
      </c>
      <c r="D224" s="176" t="inlineStr">
        <is>
          <t>CDW-H15V</t>
        </is>
      </c>
      <c r="E224" s="176" t="inlineStr">
        <is>
          <t>52220002N02776</t>
        </is>
      </c>
      <c r="F224" s="173" t="inlineStr">
        <is>
          <t>خطاي F54**اياب و ذهاب به عهده شرکت</t>
        </is>
      </c>
      <c r="G224" s="124" t="inlineStr">
        <is>
          <t>نشتي شيلنگ تخليه</t>
        </is>
      </c>
      <c r="H224" s="176" t="inlineStr">
        <is>
          <t>1405/02/05</t>
        </is>
      </c>
      <c r="I224" s="124" t="inlineStr">
        <is>
          <t>1404/08/17</t>
        </is>
      </c>
      <c r="J224" s="124" t="inlineStr">
        <is>
          <t>1404/10/02</t>
        </is>
      </c>
      <c r="K224" s="177">
        <f>IFERROR(VLOOKUP(LEFT(H224,7),'تبدیل تاریخ'!$A$2:$B$73,2,FALSE())+VALUE(RIGHT(H224,2))-1,"")</f>
        <v/>
      </c>
      <c r="L224" s="177">
        <f>IFERROR(VLOOKUP(LEFT(I224,7),'تبدیل تاریخ'!$A$2:$B$73,2,FALSE())+VALUE(RIGHT(I224,2))-1,"")</f>
        <v/>
      </c>
      <c r="M224" s="177">
        <f>IF(J224="","",IFERROR(VLOOKUP(LEFT(J224,7),'تبدیل تاریخ'!$A$2:$B$73,2,FALSE())+VALUE(RIGHT(J224,2))-1,""))</f>
        <v/>
      </c>
      <c r="N224" s="124">
        <f>IF(OR(K224="",M224=""),"",CEILING((K224-M224)/30,1))</f>
        <v/>
      </c>
      <c r="O224" s="124">
        <f>IF(OR(ISNUMBER(SEARCH("بدون مورد",G224)),ISNUMBER(SEARCH("غير گارانتي",G224)),ISNUMBER(SEARCH("غیر گارانتی",G224)),ISNUMBER(SEARCH("بدون اجرت",G224)),ISNUMBER(SEARCH("فيلتر",G224)),ISNUMBER(SEARCH("فیلتر",G224))),"غیرگارانتی/بدون قطعه",IF(OR(ISNUMBER(SEARCH("ريست",G224)),ISNUMBER(SEARCH("ریست",G224))),"ریست نرم‌افزاری (بدون قطعه)",IF(OR(ISNUMBER(SEARCH("تعویض محصول",G224)),ISNUMBER(SEARCH("تعویض دستگاه",G224))),"تعویض کامل دستگاه (Replacement)",IF(ISNUMBER(SEARCH("پمپ",G224)),IF(ISNUMBER(SEARCH("نشت",G224)),"نشتی - پمپ تخلیه (تعمیر/آب‌بندی)","خرابی - پمپ تخلیه (تعویض)"),IF(ISNUMBER(SEARCH("کمپرسور",G224)),"خرابی - کمپرسور (تعویض)",IF(ISNUMBER(SEARCH("کمک فنر",G224)),"خرابی - کمک فنر (تعویض)",IF(ISNUMBER(SEARCH("لولا",G224)),"مکانیزم درب - لولا (تعویض)",IF(OR(ISNUMBER(SEARCH("قلاب",G224)),ISNUMBER(SEARCH("ميکروسوئيچ",G224)),ISNUMBER(SEARCH("میکروسوئیچ",G224))),"مکانیزم درب - میکروسوئیچ/قلاب (تعویض/تنظیم)",IF(ISNUMBER(SEARCH("زبانه",G224)),"مکانیزم درب - زبانه (تعویض)",IF(OR(ISNUMBER(SEARCH("شيلنگ",G224)),ISNUMBER(SEARCH("شیلنگ",G224))),IF(OR(ISNUMBER(SEARCH("نشتی",G224)),ISNUMBER(SEARCH("نشتي",G224))),"نشتی - شیلنگ (تعمیر/آب‌بندی)",IF(OR(ISNUMBER(SEARCH("يخ",G224)),ISNUMBER(SEARCH("یخ",G224))),"شیلنگ یخساز - یخ‌زدگی (بازبینی)","شیلنگ - برخورد/لهیدگی (بازبینی)")),IF(OR(ISNUMBER(SEARCH("تنظيم ديسپل",G224)),ISNUMBER(SEARCH("تنظیم دیسپل",G224)),ISNUMBER(SEARCH("تنظيم صفحه نمايش",G224)),ISNUMBER(SEARCH("تنظیم صفحه نمایش",G224))),"تنظیم - تنظیمات دستگاه/دیسپلی (تعمیر)",IF(OR(ISNUMBER(SEARCH("برد",G224)),ISNUMBER(SEARCH("سوکت",G224)),ISNUMBER(SEARCH("ديسپل",G224)),ISNUMBER(SEARCH("دیسپل",G224))),"خرابی - برد الکترونیک (تعویض)",IF(OR(ISNUMBER(SEARCH("يخساز",G224)),ISNUMBER(SEARCH("یخساز",G224)),ISNUMBER(SEARCH("دمپر",G224))),IF(OR(ISNUMBER(SEARCH("خرابی",G224)),ISNUMBER(SEARCH("خراب",G224)),ISNUMBER(SEARCH("عدم کارکرد",G224)),ISNUMBER(SEARCH("عدم عملکرد",G224))),"یخساز - خرابی موتور/سنسور/برد (تعویض)","یخساز - تنظیم/عایق (تعمیر)"),IF(OR(ISNUMBER(SEARCH("لاستيک",G224)),ISNUMBER(SEARCH("لاستیک",G224))),"لاستیک درزگیر - دفرمگی/پارگی (تعویض)",IF(OR(ISNUMBER(SEARCH("گسکت",G224)),ISNUMBER(SEARCH("گسگت",G224))),"لاستیک درزگیر - دفرمگی/پارگی (تعویض)",IF(ISNUMBER(SEARCH("مخزن نمک",G224)),"نشتی - درب مخزن نمک (تعمیر/آب‌بندی)",IF(ISNUMBER(SEARCH("براکت",G224)),"نشتی - براکت ریل (تعمیر/آب‌بندی)",IF(ISNUMBER(SEARCH("جاپودر",G224)),"نشتی - جاپودری (تعمیر/آب‌بندی)",IF(ISNUMBER(SEARCH("مقسم",G224)),"نشتی - مقسم آب (تعمیر/آب‌بندی)",IF(OR(ISNUMBER(SEARCH("سنسور دما",G224)),ISNUMBER(SEARCH("ترموستات",G224))),"خرابی - ترموستات (تعویض)",IF(OR(ISNUMBER(SEARCH("هيدروستات",G224)),ISNUMBER(SEARCH("هیدروستات",G224))),"خرابی - هیدروستات (تعویض)",IF(OR(ISNUMBER(SEARCH("بلبرينگ",G224)),ISNUMBER(SEARCH("بلبرینگ",G224))),"خرابی - بلبرینگ (تعویض)",IF(OR(ISNUMBER(SEARCH("شيربرق",G224)),ISNUMBER(SEARCH("شیربرق",G224))),"خرابی - شیربرقی (تعویض)",IF(OR(ISNUMBER(SEARCH("واتر جت",G224)),ISNUMBER(SEARCH("واترجت",G224))),"خرابی - واترجت (تعویض)",IF(OR(ISNUMBER(SEARCH("سيم",G224)),ISNUMBER(SEARCH("سیم",G224)),ISNUMBER(SEARCH("اتصال",G224))),"سیم‌کشی/اتصالات (تعویض/بازبینی)",IF(OR(ISNUMBER(SEARCH("تصوير",G224)),ISNUMBER(SEARCH("تصویر",G224))),"برد نمایش تلویزیون (تعویض)",IF(OR(ISNUMBER(SEARCH("ريموت",G224)),ISNUMBER(SEARCH("ریموت",G224))),"ریموت کنترل (تعویض/تعمیر)",IF(OR(ISNUMBER(SEARCH("ال اي دي",G224)),ISNUMBER(SEARCH("ال ای دی",G224)),ISNUMBER(SEARCH("LED",G224))),"خرابی - لامپ/LED داخلی (تعویض)",IF(ISNUMBER(SEARCH("زنگ زدگ",G224)),"زنگ‌زدگی بدنه/قطعه (تعویض)",IF(OR(ISNUMBER(SEARCH("قطعات تزئين",G224)),ISNUMBER(SEARCH("قطعات تزئین",G224))),"قطعات تزئینی - شکستگی/کسری (تعویض)",IF(ISNUMBER(SEARCH("سبد",G224)),"سبد ظرفشویی - شکستگی (تعویض)",IF(ISNUMBER(SEARCH("تاب درام",G224)),"خرابی - تاب برداشتن درام (تعویض)",IF(ISNUMBER(SEARCH("درام",G224)),"خرابی - سایر ایراد درام (تعویض)",IF(ISNUMBER(SEARCH("موتور",G224)),"خرابی - موتور (تعویض)",IF(ISNUMBER(SEARCH("تسمه",G224)),"خرابی - تسمه (تعویض)",IF(OR(ISNUMBER(SEARCH("پيچ ولوم",G224)),ISNUMBER(SEARCH("پیچ ولوم",G224))),"تنظیم - پیچ ولوم/دکمه (تعمیر)",IF(OR(ISNUMBER(SEARCH("کسري قطعات",G224)),ISNUMBER(SEARCH("کسری قطعات",G224))),"کسری قطعات تزئینی (تعویض)",IF(ISNUMBER(SEARCH("پرچ",G224)),"پرچ/بدنه کابین(تعمیر)",IF(OR(ISNUMBER(SEARCH("نشت",G224)),ISNUMBER(SEARCH("آبريزش",G224)),ISNUMBER(SEARCH("آبریزش",G224))),"نشتی آب - محل نامشخص (نیازمند بازدید)",IF(ISNUMBER(SEARCH("درب",G224)),"سایر اجزای درب (بازبینی)",IF(ISNUMBER(SEARCH("ضربه",G224)),"بدنه/کابین - ضربه (بازبینی/تعویض پنل)",IF(ISNUMBER(SEARCH("تراز",G224)),"تراز/لرزش - نصب (رگلاژ پایه)",IF(OR(ISNUMBER(SEARCH("تعویض",G224)),ISNUMBER(SEARCH("تعويض",G224))),"تعویض کامل دستگاه (Replacement)","سایر (نیازمند بررسی دستی)")))))))))))))))))))))))))))))))))))))))))))</f>
        <v/>
      </c>
      <c r="P224" s="124" t="inlineStr">
        <is>
          <t>*</t>
        </is>
      </c>
      <c r="Q224" s="124">
        <f>IF(ISNUMBER(SEARCH("عهده شرکت",F224)),"شرکت",IF(ISNUMBER(SEARCH("عهده مشتري",F224)),"مشتری",IF(ISNUMBER(SEARCH("عهده مشتری",F224)),"مشتری","نامشخص")))</f>
        <v/>
      </c>
      <c r="R224" s="178">
        <f>IF(O224="تعویض کامل دستگاه (Replacement)",IF(SUMIF('قیمت‌ها و مفروضات'!$A$9:$A$13,C224,'قیمت‌ها و مفروضات'!$C$9:$C$13)&lt;&gt;0,SUMIF('قیمت‌ها و مفروضات'!$A$9:$A$13,C224,'قیمت‌ها و مفروضات'!$C$9:$C$13),SUMIF('قیمت‌ها و مفروضات'!$A$9:$A$13,C224,'قیمت‌ها و مفروضات'!$B$9:$B$13)),IF(SUMIF('قیمت‌ها و مفروضات'!$A$18:$A$63,O224,'قیمت‌ها و مفروضات'!$C$18:$C$63)&lt;&gt;0,SUMIF('قیمت‌ها و مفروضات'!$A$18:$A$63,O224,'قیمت‌ها و مفروضات'!$C$18:$C$63),SUMIF('قیمت‌ها و مفروضات'!$A$18:$A$63,O224,'قیمت‌ها و مفروضات'!$B$18:$B$63)))</f>
        <v/>
      </c>
      <c r="S224" s="178">
        <f>'قیمت‌ها و مفروضات'!$B$3+'قیمت‌ها و مفروضات'!$B$4</f>
        <v/>
      </c>
      <c r="T224" s="178">
        <f>R224+S224</f>
        <v/>
      </c>
      <c r="U224" s="178">
        <f>IF(COUNTIF($E$2:E355,E224)&gt;1,"بله (تکراری)","خیر")</f>
        <v/>
      </c>
      <c r="V224" s="178">
        <f>IF(U224="بله (تکراری)",S224,0)</f>
        <v/>
      </c>
      <c r="W224" s="208" t="inlineStr"/>
      <c r="X224" s="208" t="inlineStr"/>
    </row>
    <row r="225" ht="58.5" customHeight="1" s="151">
      <c r="A225" s="176" t="n">
        <v>769267</v>
      </c>
      <c r="B225" s="124">
        <f>CHOOSE(_xlfn.NUMBERVALUE(MID(H225,6,2)),"فروردین","اردیبهشت","خرداد","تیر","مرداد","شهریور","مهر","آبان","آذر","دی","بهمن","اسفند")</f>
        <v/>
      </c>
      <c r="C225" s="176" t="inlineStr">
        <is>
          <t>ماشين لباسشويي</t>
        </is>
      </c>
      <c r="D225" s="176" t="inlineStr">
        <is>
          <t>CWM-BMW8T1</t>
        </is>
      </c>
      <c r="E225" s="176" t="inlineStr">
        <is>
          <t>210100006N00248</t>
        </is>
      </c>
      <c r="F225" s="173" t="inlineStr">
        <is>
          <t>لرزش و حرکت محصول**اياب و ذهاب به عهده مشتري</t>
        </is>
      </c>
      <c r="G225" s="124" t="inlineStr">
        <is>
          <t>تراز پايه تنظيم</t>
        </is>
      </c>
      <c r="H225" s="176" t="inlineStr">
        <is>
          <t>1405/02/05</t>
        </is>
      </c>
      <c r="I225" s="124" t="inlineStr">
        <is>
          <t>1402/09/23</t>
        </is>
      </c>
      <c r="J225" s="124" t="inlineStr">
        <is>
          <t>1403/05/20</t>
        </is>
      </c>
      <c r="K225" s="177">
        <f>IFERROR(VLOOKUP(LEFT(H225,7),'تبدیل تاریخ'!$A$2:$B$73,2,FALSE())+VALUE(RIGHT(H225,2))-1,"")</f>
        <v/>
      </c>
      <c r="L225" s="177">
        <f>IFERROR(VLOOKUP(LEFT(I225,7),'تبدیل تاریخ'!$A$2:$B$73,2,FALSE())+VALUE(RIGHT(I225,2))-1,"")</f>
        <v/>
      </c>
      <c r="M225" s="177">
        <f>IF(J225="","",IFERROR(VLOOKUP(LEFT(J225,7),'تبدیل تاریخ'!$A$2:$B$73,2,FALSE())+VALUE(RIGHT(J225,2))-1,""))</f>
        <v/>
      </c>
      <c r="N225" s="124">
        <f>IF(OR(K225="",M225=""),"",CEILING((K225-M225)/30,1))</f>
        <v/>
      </c>
      <c r="O225" s="124">
        <f>IF(OR(ISNUMBER(SEARCH("بدون مورد",G225)),ISNUMBER(SEARCH("غير گارانتي",G225)),ISNUMBER(SEARCH("غیر گارانتی",G225)),ISNUMBER(SEARCH("بدون اجرت",G225)),ISNUMBER(SEARCH("فيلتر",G225)),ISNUMBER(SEARCH("فیلتر",G225))),"غیرگارانتی/بدون قطعه",IF(OR(ISNUMBER(SEARCH("ريست",G225)),ISNUMBER(SEARCH("ریست",G225))),"ریست نرم‌افزاری (بدون قطعه)",IF(OR(ISNUMBER(SEARCH("تعویض محصول",G225)),ISNUMBER(SEARCH("تعویض دستگاه",G225))),"تعویض کامل دستگاه (Replacement)",IF(ISNUMBER(SEARCH("پمپ",G225)),IF(ISNUMBER(SEARCH("نشت",G225)),"نشتی - پمپ تخلیه (تعمیر/آب‌بندی)","خرابی - پمپ تخلیه (تعویض)"),IF(ISNUMBER(SEARCH("کمپرسور",G225)),"خرابی - کمپرسور (تعویض)",IF(ISNUMBER(SEARCH("کمک فنر",G225)),"خرابی - کمک فنر (تعویض)",IF(ISNUMBER(SEARCH("لولا",G225)),"مکانیزم درب - لولا (تعویض)",IF(OR(ISNUMBER(SEARCH("قلاب",G225)),ISNUMBER(SEARCH("ميکروسوئيچ",G225)),ISNUMBER(SEARCH("میکروسوئیچ",G225))),"مکانیزم درب - میکروسوئیچ/قلاب (تعویض/تنظیم)",IF(ISNUMBER(SEARCH("زبانه",G225)),"مکانیزم درب - زبانه (تعویض)",IF(OR(ISNUMBER(SEARCH("شيلنگ",G225)),ISNUMBER(SEARCH("شیلنگ",G225))),IF(OR(ISNUMBER(SEARCH("نشتی",G225)),ISNUMBER(SEARCH("نشتي",G225))),"نشتی - شیلنگ (تعمیر/آب‌بندی)",IF(OR(ISNUMBER(SEARCH("يخ",G225)),ISNUMBER(SEARCH("یخ",G225))),"شیلنگ یخساز - یخ‌زدگی (بازبینی)","شیلنگ - برخورد/لهیدگی (بازبینی)")),IF(OR(ISNUMBER(SEARCH("تنظيم ديسپل",G225)),ISNUMBER(SEARCH("تنظیم دیسپل",G225)),ISNUMBER(SEARCH("تنظيم صفحه نمايش",G225)),ISNUMBER(SEARCH("تنظیم صفحه نمایش",G225))),"تنظیم - تنظیمات دستگاه/دیسپلی (تعمیر)",IF(OR(ISNUMBER(SEARCH("برد",G225)),ISNUMBER(SEARCH("سوکت",G225)),ISNUMBER(SEARCH("ديسپل",G225)),ISNUMBER(SEARCH("دیسپل",G225))),"خرابی - برد الکترونیک (تعویض)",IF(OR(ISNUMBER(SEARCH("يخساز",G225)),ISNUMBER(SEARCH("یخساز",G225)),ISNUMBER(SEARCH("دمپر",G225))),IF(OR(ISNUMBER(SEARCH("خرابی",G225)),ISNUMBER(SEARCH("خراب",G225)),ISNUMBER(SEARCH("عدم کارکرد",G225)),ISNUMBER(SEARCH("عدم عملکرد",G225))),"یخساز - خرابی موتور/سنسور/برد (تعویض)","یخساز - تنظیم/عایق (تعمیر)"),IF(OR(ISNUMBER(SEARCH("لاستيک",G225)),ISNUMBER(SEARCH("لاستیک",G225))),"لاستیک درزگیر - دفرمگی/پارگی (تعویض)",IF(OR(ISNUMBER(SEARCH("گسکت",G225)),ISNUMBER(SEARCH("گسگت",G225))),"لاستیک درزگیر - دفرمگی/پارگی (تعویض)",IF(ISNUMBER(SEARCH("مخزن نمک",G225)),"نشتی - درب مخزن نمک (تعمیر/آب‌بندی)",IF(ISNUMBER(SEARCH("براکت",G225)),"نشتی - براکت ریل (تعمیر/آب‌بندی)",IF(ISNUMBER(SEARCH("جاپودر",G225)),"نشتی - جاپودری (تعمیر/آب‌بندی)",IF(ISNUMBER(SEARCH("مقسم",G225)),"نشتی - مقسم آب (تعمیر/آب‌بندی)",IF(OR(ISNUMBER(SEARCH("سنسور دما",G225)),ISNUMBER(SEARCH("ترموستات",G225))),"خرابی - ترموستات (تعویض)",IF(OR(ISNUMBER(SEARCH("هيدروستات",G225)),ISNUMBER(SEARCH("هیدروستات",G225))),"خرابی - هیدروستات (تعویض)",IF(OR(ISNUMBER(SEARCH("بلبرينگ",G225)),ISNUMBER(SEARCH("بلبرینگ",G225))),"خرابی - بلبرینگ (تعویض)",IF(OR(ISNUMBER(SEARCH("شيربرق",G225)),ISNUMBER(SEARCH("شیربرق",G225))),"خرابی - شیربرقی (تعویض)",IF(OR(ISNUMBER(SEARCH("واتر جت",G225)),ISNUMBER(SEARCH("واترجت",G225))),"خرابی - واترجت (تعویض)",IF(OR(ISNUMBER(SEARCH("سيم",G225)),ISNUMBER(SEARCH("سیم",G225)),ISNUMBER(SEARCH("اتصال",G225))),"سیم‌کشی/اتصالات (تعویض/بازبینی)",IF(OR(ISNUMBER(SEARCH("تصوير",G225)),ISNUMBER(SEARCH("تصویر",G225))),"برد نمایش تلویزیون (تعویض)",IF(OR(ISNUMBER(SEARCH("ريموت",G225)),ISNUMBER(SEARCH("ریموت",G225))),"ریموت کنترل (تعویض/تعمیر)",IF(OR(ISNUMBER(SEARCH("ال اي دي",G225)),ISNUMBER(SEARCH("ال ای دی",G225)),ISNUMBER(SEARCH("LED",G225))),"خرابی - لامپ/LED داخلی (تعویض)",IF(ISNUMBER(SEARCH("زنگ زدگ",G225)),"زنگ‌زدگی بدنه/قطعه (تعویض)",IF(OR(ISNUMBER(SEARCH("قطعات تزئين",G225)),ISNUMBER(SEARCH("قطعات تزئین",G225))),"قطعات تزئینی - شکستگی/کسری (تعویض)",IF(ISNUMBER(SEARCH("سبد",G225)),"سبد ظرفشویی - شکستگی (تعویض)",IF(ISNUMBER(SEARCH("تاب درام",G225)),"خرابی - تاب برداشتن درام (تعویض)",IF(ISNUMBER(SEARCH("درام",G225)),"خرابی - سایر ایراد درام (تعویض)",IF(ISNUMBER(SEARCH("موتور",G225)),"خرابی - موتور (تعویض)",IF(ISNUMBER(SEARCH("تسمه",G225)),"خرابی - تسمه (تعویض)",IF(OR(ISNUMBER(SEARCH("پيچ ولوم",G225)),ISNUMBER(SEARCH("پیچ ولوم",G225))),"تنظیم - پیچ ولوم/دکمه (تعمیر)",IF(OR(ISNUMBER(SEARCH("کسري قطعات",G225)),ISNUMBER(SEARCH("کسری قطعات",G225))),"کسری قطعات تزئینی (تعویض)",IF(ISNUMBER(SEARCH("پرچ",G225)),"پرچ/بدنه کابین(تعمیر)",IF(OR(ISNUMBER(SEARCH("نشت",G225)),ISNUMBER(SEARCH("آبريزش",G225)),ISNUMBER(SEARCH("آبریزش",G225))),"نشتی آب - محل نامشخص (نیازمند بازدید)",IF(ISNUMBER(SEARCH("درب",G225)),"سایر اجزای درب (بازبینی)",IF(ISNUMBER(SEARCH("ضربه",G225)),"بدنه/کابین - ضربه (بازبینی/تعویض پنل)",IF(ISNUMBER(SEARCH("تراز",G225)),"تراز/لرزش - نصب (رگلاژ پایه)",IF(OR(ISNUMBER(SEARCH("تعویض",G225)),ISNUMBER(SEARCH("تعويض",G225))),"تعویض کامل دستگاه (Replacement)","سایر (نیازمند بررسی دستی)")))))))))))))))))))))))))))))))))))))))))))</f>
        <v/>
      </c>
      <c r="P225" s="124" t="inlineStr">
        <is>
          <t>رگلاژ پایه تنظیم لباسشویی</t>
        </is>
      </c>
      <c r="Q225" s="124">
        <f>IF(ISNUMBER(SEARCH("عهده شرکت",F225)),"شرکت",IF(ISNUMBER(SEARCH("عهده مشتري",F225)),"مشتری",IF(ISNUMBER(SEARCH("عهده مشتری",F225)),"مشتری","نامشخص")))</f>
        <v/>
      </c>
      <c r="R225" s="178">
        <f>IF(O225="تعویض کامل دستگاه (Replacement)",IF(SUMIF('قیمت‌ها و مفروضات'!$A$9:$A$13,C225,'قیمت‌ها و مفروضات'!$C$9:$C$13)&lt;&gt;0,SUMIF('قیمت‌ها و مفروضات'!$A$9:$A$13,C225,'قیمت‌ها و مفروضات'!$C$9:$C$13),SUMIF('قیمت‌ها و مفروضات'!$A$9:$A$13,C225,'قیمت‌ها و مفروضات'!$B$9:$B$13)),IF(SUMIF('قیمت‌ها و مفروضات'!$A$18:$A$63,O225,'قیمت‌ها و مفروضات'!$C$18:$C$63)&lt;&gt;0,SUMIF('قیمت‌ها و مفروضات'!$A$18:$A$63,O225,'قیمت‌ها و مفروضات'!$C$18:$C$63),SUMIF('قیمت‌ها و مفروضات'!$A$18:$A$63,O225,'قیمت‌ها و مفروضات'!$B$18:$B$63)))</f>
        <v/>
      </c>
      <c r="S225" s="178">
        <f>'قیمت‌ها و مفروضات'!$B$3+'قیمت‌ها و مفروضات'!$B$4</f>
        <v/>
      </c>
      <c r="T225" s="178">
        <f>R225+S225</f>
        <v/>
      </c>
      <c r="U225" s="178">
        <f>IF(COUNTIF($E$2:E356,E225)&gt;1,"بله (تکراری)","خیر")</f>
        <v/>
      </c>
      <c r="V225" s="178">
        <f>IF(U225="بله (تکراری)",S225,0)</f>
        <v/>
      </c>
      <c r="W225" s="208" t="inlineStr"/>
      <c r="X225" s="208" t="inlineStr"/>
    </row>
    <row r="226" ht="58.5" customHeight="1" s="151">
      <c r="A226" s="176" t="n">
        <v>510016639</v>
      </c>
      <c r="B226" s="124">
        <f>CHOOSE(_xlfn.NUMBERVALUE(MID(H226,6,2)),"فروردین","اردیبهشت","خرداد","تیر","مرداد","شهریور","مهر","آبان","آذر","دی","بهمن","اسفند")</f>
        <v/>
      </c>
      <c r="C226" s="176" t="inlineStr">
        <is>
          <t>ماشين لباسشويي</t>
        </is>
      </c>
      <c r="D226" s="176" t="inlineStr">
        <is>
          <t>CWM-BMW8T1</t>
        </is>
      </c>
      <c r="E226" s="176" t="inlineStr">
        <is>
          <t>52210005N01875</t>
        </is>
      </c>
      <c r="F226" s="173" t="inlineStr">
        <is>
          <t>بسته نشدن درب**اياب و ذهاب به عهده شرکت</t>
        </is>
      </c>
      <c r="G226" s="124" t="inlineStr">
        <is>
          <t>خرابي زبانه</t>
        </is>
      </c>
      <c r="H226" s="176" t="inlineStr">
        <is>
          <t>1405/02/06</t>
        </is>
      </c>
      <c r="I226" s="124" t="inlineStr">
        <is>
          <t>1404/05/07</t>
        </is>
      </c>
      <c r="J226" s="124" t="inlineStr">
        <is>
          <t>1405/05/02</t>
        </is>
      </c>
      <c r="K226" s="177">
        <f>IFERROR(VLOOKUP(LEFT(H226,7),'تبدیل تاریخ'!$A$2:$B$73,2,FALSE())+VALUE(RIGHT(H226,2))-1,"")</f>
        <v/>
      </c>
      <c r="L226" s="177">
        <f>IFERROR(VLOOKUP(LEFT(I226,7),'تبدیل تاریخ'!$A$2:$B$73,2,FALSE())+VALUE(RIGHT(I226,2))-1,"")</f>
        <v/>
      </c>
      <c r="M226" s="177">
        <f>IF(J226="","",IFERROR(VLOOKUP(LEFT(J226,7),'تبدیل تاریخ'!$A$2:$B$73,2,FALSE())+VALUE(RIGHT(J226,2))-1,""))</f>
        <v/>
      </c>
      <c r="N226" s="182">
        <f>IF(OR(K226="",M226=""),"",CEILING((K226-M226)/30,1))</f>
        <v/>
      </c>
      <c r="O226" s="124">
        <f>IF(OR(ISNUMBER(SEARCH("بدون مورد",G226)),ISNUMBER(SEARCH("غير گارانتي",G226)),ISNUMBER(SEARCH("غیر گارانتی",G226)),ISNUMBER(SEARCH("بدون اجرت",G226)),ISNUMBER(SEARCH("فيلتر",G226)),ISNUMBER(SEARCH("فیلتر",G226))),"غیرگارانتی/بدون قطعه",IF(OR(ISNUMBER(SEARCH("ريست",G226)),ISNUMBER(SEARCH("ریست",G226))),"ریست نرم‌افزاری (بدون قطعه)",IF(OR(ISNUMBER(SEARCH("تعویض محصول",G226)),ISNUMBER(SEARCH("تعویض دستگاه",G226))),"تعویض کامل دستگاه (Replacement)",IF(ISNUMBER(SEARCH("پمپ",G226)),IF(ISNUMBER(SEARCH("نشت",G226)),"نشتی - پمپ تخلیه (تعمیر/آب‌بندی)","خرابی - پمپ تخلیه (تعویض)"),IF(ISNUMBER(SEARCH("کمپرسور",G226)),"خرابی - کمپرسور (تعویض)",IF(ISNUMBER(SEARCH("کمک فنر",G226)),"خرابی - کمک فنر (تعویض)",IF(ISNUMBER(SEARCH("لولا",G226)),"مکانیزم درب - لولا (تعویض)",IF(OR(ISNUMBER(SEARCH("قلاب",G226)),ISNUMBER(SEARCH("ميکروسوئيچ",G226)),ISNUMBER(SEARCH("میکروسوئیچ",G226))),"مکانیزم درب - میکروسوئیچ/قلاب (تعویض/تنظیم)",IF(ISNUMBER(SEARCH("زبانه",G226)),"مکانیزم درب - زبانه (تعویض)",IF(OR(ISNUMBER(SEARCH("شيلنگ",G226)),ISNUMBER(SEARCH("شیلنگ",G226))),IF(OR(ISNUMBER(SEARCH("نشتی",G226)),ISNUMBER(SEARCH("نشتي",G226))),"نشتی - شیلنگ (تعمیر/آب‌بندی)",IF(OR(ISNUMBER(SEARCH("يخ",G226)),ISNUMBER(SEARCH("یخ",G226))),"شیلنگ یخساز - یخ‌زدگی (بازبینی)","شیلنگ - برخورد/لهیدگی (بازبینی)")),IF(OR(ISNUMBER(SEARCH("تنظيم ديسپل",G226)),ISNUMBER(SEARCH("تنظیم دیسپل",G226)),ISNUMBER(SEARCH("تنظيم صفحه نمايش",G226)),ISNUMBER(SEARCH("تنظیم صفحه نمایش",G226))),"تنظیم - تنظیمات دستگاه/دیسپلی (تعمیر)",IF(OR(ISNUMBER(SEARCH("برد",G226)),ISNUMBER(SEARCH("سوکت",G226)),ISNUMBER(SEARCH("ديسپل",G226)),ISNUMBER(SEARCH("دیسپل",G226))),"خرابی - برد الکترونیک (تعویض)",IF(OR(ISNUMBER(SEARCH("يخساز",G226)),ISNUMBER(SEARCH("یخساز",G226)),ISNUMBER(SEARCH("دمپر",G226))),IF(OR(ISNUMBER(SEARCH("خرابی",G226)),ISNUMBER(SEARCH("خراب",G226)),ISNUMBER(SEARCH("عدم کارکرد",G226)),ISNUMBER(SEARCH("عدم عملکرد",G226))),"یخساز - خرابی موتور/سنسور/برد (تعویض)","یخساز - تنظیم/عایق (تعمیر)"),IF(OR(ISNUMBER(SEARCH("لاستيک",G226)),ISNUMBER(SEARCH("لاستیک",G226))),"لاستیک درزگیر - دفرمگی/پارگی (تعویض)",IF(OR(ISNUMBER(SEARCH("گسکت",G226)),ISNUMBER(SEARCH("گسگت",G226))),"لاستیک درزگیر - دفرمگی/پارگی (تعویض)",IF(ISNUMBER(SEARCH("مخزن نمک",G226)),"نشتی - درب مخزن نمک (تعمیر/آب‌بندی)",IF(ISNUMBER(SEARCH("براکت",G226)),"نشتی - براکت ریل (تعمیر/آب‌بندی)",IF(ISNUMBER(SEARCH("جاپودر",G226)),"نشتی - جاپودری (تعمیر/آب‌بندی)",IF(ISNUMBER(SEARCH("مقسم",G226)),"نشتی - مقسم آب (تعمیر/آب‌بندی)",IF(OR(ISNUMBER(SEARCH("سنسور دما",G226)),ISNUMBER(SEARCH("ترموستات",G226))),"خرابی - ترموستات (تعویض)",IF(OR(ISNUMBER(SEARCH("هيدروستات",G226)),ISNUMBER(SEARCH("هیدروستات",G226))),"خرابی - هیدروستات (تعویض)",IF(OR(ISNUMBER(SEARCH("بلبرينگ",G226)),ISNUMBER(SEARCH("بلبرینگ",G226))),"خرابی - بلبرینگ (تعویض)",IF(OR(ISNUMBER(SEARCH("شيربرق",G226)),ISNUMBER(SEARCH("شیربرق",G226))),"خرابی - شیربرقی (تعویض)",IF(OR(ISNUMBER(SEARCH("واتر جت",G226)),ISNUMBER(SEARCH("واترجت",G226))),"خرابی - واترجت (تعویض)",IF(OR(ISNUMBER(SEARCH("سيم",G226)),ISNUMBER(SEARCH("سیم",G226)),ISNUMBER(SEARCH("اتصال",G226))),"سیم‌کشی/اتصالات (تعویض/بازبینی)",IF(OR(ISNUMBER(SEARCH("تصوير",G226)),ISNUMBER(SEARCH("تصویر",G226))),"برد نمایش تلویزیون (تعویض)",IF(OR(ISNUMBER(SEARCH("ريموت",G226)),ISNUMBER(SEARCH("ریموت",G226))),"ریموت کنترل (تعویض/تعمیر)",IF(OR(ISNUMBER(SEARCH("ال اي دي",G226)),ISNUMBER(SEARCH("ال ای دی",G226)),ISNUMBER(SEARCH("LED",G226))),"خرابی - لامپ/LED داخلی (تعویض)",IF(ISNUMBER(SEARCH("زنگ زدگ",G226)),"زنگ‌زدگی بدنه/قطعه (تعویض)",IF(OR(ISNUMBER(SEARCH("قطعات تزئين",G226)),ISNUMBER(SEARCH("قطعات تزئین",G226))),"قطعات تزئینی - شکستگی/کسری (تعویض)",IF(ISNUMBER(SEARCH("سبد",G226)),"سبد ظرفشویی - شکستگی (تعویض)",IF(ISNUMBER(SEARCH("تاب درام",G226)),"خرابی - تاب برداشتن درام (تعویض)",IF(ISNUMBER(SEARCH("درام",G226)),"خرابی - سایر ایراد درام (تعویض)",IF(ISNUMBER(SEARCH("موتور",G226)),"خرابی - موتور (تعویض)",IF(ISNUMBER(SEARCH("تسمه",G226)),"خرابی - تسمه (تعویض)",IF(OR(ISNUMBER(SEARCH("پيچ ولوم",G226)),ISNUMBER(SEARCH("پیچ ولوم",G226))),"تنظیم - پیچ ولوم/دکمه (تعمیر)",IF(OR(ISNUMBER(SEARCH("کسري قطعات",G226)),ISNUMBER(SEARCH("کسری قطعات",G226))),"کسری قطعات تزئینی (تعویض)",IF(ISNUMBER(SEARCH("پرچ",G226)),"پرچ/بدنه کابین(تعمیر)",IF(OR(ISNUMBER(SEARCH("نشت",G226)),ISNUMBER(SEARCH("آبريزش",G226)),ISNUMBER(SEARCH("آبریزش",G226))),"نشتی آب - محل نامشخص (نیازمند بازدید)",IF(ISNUMBER(SEARCH("درب",G226)),"سایر اجزای درب (بازبینی)",IF(ISNUMBER(SEARCH("ضربه",G226)),"بدنه/کابین - ضربه (بازبینی/تعویض پنل)",IF(ISNUMBER(SEARCH("تراز",G226)),"تراز/لرزش - نصب (رگلاژ پایه)",IF(OR(ISNUMBER(SEARCH("تعویض",G226)),ISNUMBER(SEARCH("تعويض",G226))),"تعویض کامل دستگاه (Replacement)","سایر (نیازمند بررسی دستی)")))))))))))))))))))))))))))))))))))))))))))</f>
        <v/>
      </c>
      <c r="P226" s="124" t="inlineStr">
        <is>
          <t>زبانه درب لباسشویی</t>
        </is>
      </c>
      <c r="Q226" s="124">
        <f>IF(ISNUMBER(SEARCH("عهده شرکت",F226)),"شرکت",IF(ISNUMBER(SEARCH("عهده مشتري",F226)),"مشتری",IF(ISNUMBER(SEARCH("عهده مشتری",F226)),"مشتری","نامشخص")))</f>
        <v/>
      </c>
      <c r="R226" s="178">
        <f>IF(O226="تعویض کامل دستگاه (Replacement)",IF(SUMIF('قیمت‌ها و مفروضات'!$A$9:$A$13,C226,'قیمت‌ها و مفروضات'!$C$9:$C$13)&lt;&gt;0,SUMIF('قیمت‌ها و مفروضات'!$A$9:$A$13,C226,'قیمت‌ها و مفروضات'!$C$9:$C$13),SUMIF('قیمت‌ها و مفروضات'!$A$9:$A$13,C226,'قیمت‌ها و مفروضات'!$B$9:$B$13)),IF(SUMIF('قیمت‌ها و مفروضات'!$A$18:$A$63,O226,'قیمت‌ها و مفروضات'!$C$18:$C$63)&lt;&gt;0,SUMIF('قیمت‌ها و مفروضات'!$A$18:$A$63,O226,'قیمت‌ها و مفروضات'!$C$18:$C$63),SUMIF('قیمت‌ها و مفروضات'!$A$18:$A$63,O226,'قیمت‌ها و مفروضات'!$B$18:$B$63)))</f>
        <v/>
      </c>
      <c r="S226" s="178">
        <f>'قیمت‌ها و مفروضات'!$B$3+'قیمت‌ها و مفروضات'!$B$4</f>
        <v/>
      </c>
      <c r="T226" s="178">
        <f>R226+S226</f>
        <v/>
      </c>
      <c r="U226" s="178">
        <f>IF(COUNTIF($E$2:E357,E226)&gt;1,"بله (تکراری)","خیر")</f>
        <v/>
      </c>
      <c r="V226" s="178">
        <f>IF(U226="بله (تکراری)",S226,0)</f>
        <v/>
      </c>
      <c r="W226" s="208" t="inlineStr"/>
      <c r="X226" s="208" t="inlineStr"/>
    </row>
    <row r="227" ht="58.5" customHeight="1" s="151">
      <c r="A227" s="176" t="n">
        <v>769694</v>
      </c>
      <c r="B227" s="124">
        <f>CHOOSE(_xlfn.NUMBERVALUE(MID(H227,6,2)),"فروردین","اردیبهشت","خرداد","تیر","مرداد","شهریور","مهر","آبان","آذر","دی","بهمن","اسفند")</f>
        <v/>
      </c>
      <c r="C227" s="176" t="inlineStr">
        <is>
          <t>ماشين ظرفشويي</t>
        </is>
      </c>
      <c r="D227" s="176" t="inlineStr">
        <is>
          <t>CDW-H16T</t>
        </is>
      </c>
      <c r="E227" s="176" t="inlineStr">
        <is>
          <t>52220005N00758</t>
        </is>
      </c>
      <c r="F227" s="173" t="inlineStr">
        <is>
          <t>خطاي F11**اياب و ذهاب به عهده مشتري</t>
        </is>
      </c>
      <c r="G227" s="124" t="inlineStr">
        <is>
          <t>نشتي پمپ تخليه</t>
        </is>
      </c>
      <c r="H227" s="176" t="inlineStr">
        <is>
          <t>1405/02/06</t>
        </is>
      </c>
      <c r="I227" s="124" t="inlineStr">
        <is>
          <t>1403/08/15</t>
        </is>
      </c>
      <c r="J227" s="124" t="inlineStr">
        <is>
          <t>1403/12/19</t>
        </is>
      </c>
      <c r="K227" s="177">
        <f>IFERROR(VLOOKUP(LEFT(H227,7),'تبدیل تاریخ'!$A$2:$B$73,2,FALSE())+VALUE(RIGHT(H227,2))-1,"")</f>
        <v/>
      </c>
      <c r="L227" s="177">
        <f>IFERROR(VLOOKUP(LEFT(I227,7),'تبدیل تاریخ'!$A$2:$B$73,2,FALSE())+VALUE(RIGHT(I227,2))-1,"")</f>
        <v/>
      </c>
      <c r="M227" s="177">
        <f>IF(J227="","",IFERROR(VLOOKUP(LEFT(J227,7),'تبدیل تاریخ'!$A$2:$B$73,2,FALSE())+VALUE(RIGHT(J227,2))-1,""))</f>
        <v/>
      </c>
      <c r="N227" s="124">
        <f>IF(OR(K227="",M227=""),"",CEILING((K227-M227)/30,1))</f>
        <v/>
      </c>
      <c r="O227" s="124">
        <f>IF(OR(ISNUMBER(SEARCH("بدون مورد",G227)),ISNUMBER(SEARCH("غير گارانتي",G227)),ISNUMBER(SEARCH("غیر گارانتی",G227)),ISNUMBER(SEARCH("بدون اجرت",G227)),ISNUMBER(SEARCH("فيلتر",G227)),ISNUMBER(SEARCH("فیلتر",G227))),"غیرگارانتی/بدون قطعه",IF(OR(ISNUMBER(SEARCH("ريست",G227)),ISNUMBER(SEARCH("ریست",G227))),"ریست نرم‌افزاری (بدون قطعه)",IF(OR(ISNUMBER(SEARCH("تعویض محصول",G227)),ISNUMBER(SEARCH("تعویض دستگاه",G227))),"تعویض کامل دستگاه (Replacement)",IF(ISNUMBER(SEARCH("پمپ",G227)),IF(ISNUMBER(SEARCH("نشت",G227)),"نشتی - پمپ تخلیه (تعمیر/آب‌بندی)","خرابی - پمپ تخلیه (تعویض)"),IF(ISNUMBER(SEARCH("کمپرسور",G227)),"خرابی - کمپرسور (تعویض)",IF(ISNUMBER(SEARCH("کمک فنر",G227)),"خرابی - کمک فنر (تعویض)",IF(ISNUMBER(SEARCH("لولا",G227)),"مکانیزم درب - لولا (تعویض)",IF(OR(ISNUMBER(SEARCH("قلاب",G227)),ISNUMBER(SEARCH("ميکروسوئيچ",G227)),ISNUMBER(SEARCH("میکروسوئیچ",G227))),"مکانیزم درب - میکروسوئیچ/قلاب (تعویض/تنظیم)",IF(ISNUMBER(SEARCH("زبانه",G227)),"مکانیزم درب - زبانه (تعویض)",IF(OR(ISNUMBER(SEARCH("شيلنگ",G227)),ISNUMBER(SEARCH("شیلنگ",G227))),IF(OR(ISNUMBER(SEARCH("نشتی",G227)),ISNUMBER(SEARCH("نشتي",G227))),"نشتی - شیلنگ (تعمیر/آب‌بندی)",IF(OR(ISNUMBER(SEARCH("يخ",G227)),ISNUMBER(SEARCH("یخ",G227))),"شیلنگ یخساز - یخ‌زدگی (بازبینی)","شیلنگ - برخورد/لهیدگی (بازبینی)")),IF(OR(ISNUMBER(SEARCH("تنظيم ديسپل",G227)),ISNUMBER(SEARCH("تنظیم دیسپل",G227)),ISNUMBER(SEARCH("تنظيم صفحه نمايش",G227)),ISNUMBER(SEARCH("تنظیم صفحه نمایش",G227))),"تنظیم - تنظیمات دستگاه/دیسپلی (تعمیر)",IF(OR(ISNUMBER(SEARCH("برد",G227)),ISNUMBER(SEARCH("سوکت",G227)),ISNUMBER(SEARCH("ديسپل",G227)),ISNUMBER(SEARCH("دیسپل",G227))),"خرابی - برد الکترونیک (تعویض)",IF(OR(ISNUMBER(SEARCH("يخساز",G227)),ISNUMBER(SEARCH("یخساز",G227)),ISNUMBER(SEARCH("دمپر",G227))),IF(OR(ISNUMBER(SEARCH("خرابی",G227)),ISNUMBER(SEARCH("خراب",G227)),ISNUMBER(SEARCH("عدم کارکرد",G227)),ISNUMBER(SEARCH("عدم عملکرد",G227))),"یخساز - خرابی موتور/سنسور/برد (تعویض)","یخساز - تنظیم/عایق (تعمیر)"),IF(OR(ISNUMBER(SEARCH("لاستيک",G227)),ISNUMBER(SEARCH("لاستیک",G227))),"لاستیک درزگیر - دفرمگی/پارگی (تعویض)",IF(OR(ISNUMBER(SEARCH("گسکت",G227)),ISNUMBER(SEARCH("گسگت",G227))),"لاستیک درزگیر - دفرمگی/پارگی (تعویض)",IF(ISNUMBER(SEARCH("مخزن نمک",G227)),"نشتی - درب مخزن نمک (تعمیر/آب‌بندی)",IF(ISNUMBER(SEARCH("براکت",G227)),"نشتی - براکت ریل (تعمیر/آب‌بندی)",IF(ISNUMBER(SEARCH("جاپودر",G227)),"نشتی - جاپودری (تعمیر/آب‌بندی)",IF(ISNUMBER(SEARCH("مقسم",G227)),"نشتی - مقسم آب (تعمیر/آب‌بندی)",IF(OR(ISNUMBER(SEARCH("سنسور دما",G227)),ISNUMBER(SEARCH("ترموستات",G227))),"خرابی - ترموستات (تعویض)",IF(OR(ISNUMBER(SEARCH("هيدروستات",G227)),ISNUMBER(SEARCH("هیدروستات",G227))),"خرابی - هیدروستات (تعویض)",IF(OR(ISNUMBER(SEARCH("بلبرينگ",G227)),ISNUMBER(SEARCH("بلبرینگ",G227))),"خرابی - بلبرینگ (تعویض)",IF(OR(ISNUMBER(SEARCH("شيربرق",G227)),ISNUMBER(SEARCH("شیربرق",G227))),"خرابی - شیربرقی (تعویض)",IF(OR(ISNUMBER(SEARCH("واتر جت",G227)),ISNUMBER(SEARCH("واترجت",G227))),"خرابی - واترجت (تعویض)",IF(OR(ISNUMBER(SEARCH("سيم",G227)),ISNUMBER(SEARCH("سیم",G227)),ISNUMBER(SEARCH("اتصال",G227))),"سیم‌کشی/اتصالات (تعویض/بازبینی)",IF(OR(ISNUMBER(SEARCH("تصوير",G227)),ISNUMBER(SEARCH("تصویر",G227))),"برد نمایش تلویزیون (تعویض)",IF(OR(ISNUMBER(SEARCH("ريموت",G227)),ISNUMBER(SEARCH("ریموت",G227))),"ریموت کنترل (تعویض/تعمیر)",IF(OR(ISNUMBER(SEARCH("ال اي دي",G227)),ISNUMBER(SEARCH("ال ای دی",G227)),ISNUMBER(SEARCH("LED",G227))),"خرابی - لامپ/LED داخلی (تعویض)",IF(ISNUMBER(SEARCH("زنگ زدگ",G227)),"زنگ‌زدگی بدنه/قطعه (تعویض)",IF(OR(ISNUMBER(SEARCH("قطعات تزئين",G227)),ISNUMBER(SEARCH("قطعات تزئین",G227))),"قطعات تزئینی - شکستگی/کسری (تعویض)",IF(ISNUMBER(SEARCH("سبد",G227)),"سبد ظرفشویی - شکستگی (تعویض)",IF(ISNUMBER(SEARCH("تاب درام",G227)),"خرابی - تاب برداشتن درام (تعویض)",IF(ISNUMBER(SEARCH("درام",G227)),"خرابی - سایر ایراد درام (تعویض)",IF(ISNUMBER(SEARCH("موتور",G227)),"خرابی - موتور (تعویض)",IF(ISNUMBER(SEARCH("تسمه",G227)),"خرابی - تسمه (تعویض)",IF(OR(ISNUMBER(SEARCH("پيچ ولوم",G227)),ISNUMBER(SEARCH("پیچ ولوم",G227))),"تنظیم - پیچ ولوم/دکمه (تعمیر)",IF(OR(ISNUMBER(SEARCH("کسري قطعات",G227)),ISNUMBER(SEARCH("کسری قطعات",G227))),"کسری قطعات تزئینی (تعویض)",IF(ISNUMBER(SEARCH("پرچ",G227)),"پرچ/بدنه کابین(تعمیر)",IF(OR(ISNUMBER(SEARCH("نشت",G227)),ISNUMBER(SEARCH("آبريزش",G227)),ISNUMBER(SEARCH("آبریزش",G227))),"نشتی آب - محل نامشخص (نیازمند بازدید)",IF(ISNUMBER(SEARCH("درب",G227)),"سایر اجزای درب (بازبینی)",IF(ISNUMBER(SEARCH("ضربه",G227)),"بدنه/کابین - ضربه (بازبینی/تعویض پنل)",IF(ISNUMBER(SEARCH("تراز",G227)),"تراز/لرزش - نصب (رگلاژ پایه)",IF(OR(ISNUMBER(SEARCH("تعویض",G227)),ISNUMBER(SEARCH("تعويض",G227))),"تعویض کامل دستگاه (Replacement)","سایر (نیازمند بررسی دستی)")))))))))))))))))))))))))))))))))))))))))))</f>
        <v/>
      </c>
      <c r="P227" s="124" t="inlineStr">
        <is>
          <t>نشتی پمپ ظرفشویی</t>
        </is>
      </c>
      <c r="Q227" s="124">
        <f>IF(ISNUMBER(SEARCH("عهده شرکت",F227)),"شرکت",IF(ISNUMBER(SEARCH("عهده مشتري",F227)),"مشتری",IF(ISNUMBER(SEARCH("عهده مشتری",F227)),"مشتری","نامشخص")))</f>
        <v/>
      </c>
      <c r="R227" s="178">
        <f>IF(O227="تعویض کامل دستگاه (Replacement)",IF(SUMIF('قیمت‌ها و مفروضات'!$A$9:$A$13,C227,'قیمت‌ها و مفروضات'!$C$9:$C$13)&lt;&gt;0,SUMIF('قیمت‌ها و مفروضات'!$A$9:$A$13,C227,'قیمت‌ها و مفروضات'!$C$9:$C$13),SUMIF('قیمت‌ها و مفروضات'!$A$9:$A$13,C227,'قیمت‌ها و مفروضات'!$B$9:$B$13)),IF(SUMIF('قیمت‌ها و مفروضات'!$A$18:$A$63,O227,'قیمت‌ها و مفروضات'!$C$18:$C$63)&lt;&gt;0,SUMIF('قیمت‌ها و مفروضات'!$A$18:$A$63,O227,'قیمت‌ها و مفروضات'!$C$18:$C$63),SUMIF('قیمت‌ها و مفروضات'!$A$18:$A$63,O227,'قیمت‌ها و مفروضات'!$B$18:$B$63)))</f>
        <v/>
      </c>
      <c r="S227" s="178">
        <f>'قیمت‌ها و مفروضات'!$B$3+'قیمت‌ها و مفروضات'!$B$4</f>
        <v/>
      </c>
      <c r="T227" s="178">
        <f>R227+S227</f>
        <v/>
      </c>
      <c r="U227" s="178">
        <f>IF(COUNTIF($E$2:E358,E227)&gt;1,"بله (تکراری)","خیر")</f>
        <v/>
      </c>
      <c r="V227" s="178">
        <f>IF(U227="بله (تکراری)",S227,0)</f>
        <v/>
      </c>
      <c r="W227" s="208" t="inlineStr"/>
      <c r="X227" s="208" t="inlineStr"/>
    </row>
    <row r="228" ht="58.5" customHeight="1" s="151">
      <c r="A228" s="176" t="n">
        <v>770165</v>
      </c>
      <c r="B228" s="124">
        <f>CHOOSE(_xlfn.NUMBERVALUE(MID(H228,6,2)),"فروردین","اردیبهشت","خرداد","تیر","مرداد","شهریور","مهر","آبان","آذر","دی","بهمن","اسفند")</f>
        <v/>
      </c>
      <c r="C228" s="176" t="inlineStr">
        <is>
          <t>ماشين لباسشويي</t>
        </is>
      </c>
      <c r="D228" s="176" t="inlineStr">
        <is>
          <t>CWM-BMW8T1</t>
        </is>
      </c>
      <c r="E228" s="176" t="inlineStr">
        <is>
          <t>52210006N01568</t>
        </is>
      </c>
      <c r="F228" s="173" t="inlineStr">
        <is>
          <t>از کار افتادن محصول**اياب و ذهاب به عهده شرکت</t>
        </is>
      </c>
      <c r="G228" s="124" t="inlineStr">
        <is>
          <t>قطعي درخت سيم</t>
        </is>
      </c>
      <c r="H228" s="176" t="inlineStr">
        <is>
          <t>1405/02/07</t>
        </is>
      </c>
      <c r="I228" s="124" t="inlineStr">
        <is>
          <t>1404/05/15</t>
        </is>
      </c>
      <c r="J228" s="124" t="inlineStr">
        <is>
          <t>1404/06/16</t>
        </is>
      </c>
      <c r="K228" s="177">
        <f>IFERROR(VLOOKUP(LEFT(H228,7),'تبدیل تاریخ'!$A$2:$B$73,2,FALSE())+VALUE(RIGHT(H228,2))-1,"")</f>
        <v/>
      </c>
      <c r="L228" s="177">
        <f>IFERROR(VLOOKUP(LEFT(I228,7),'تبدیل تاریخ'!$A$2:$B$73,2,FALSE())+VALUE(RIGHT(I228,2))-1,"")</f>
        <v/>
      </c>
      <c r="M228" s="177">
        <f>IF(J228="","",IFERROR(VLOOKUP(LEFT(J228,7),'تبدیل تاریخ'!$A$2:$B$73,2,FALSE())+VALUE(RIGHT(J228,2))-1,""))</f>
        <v/>
      </c>
      <c r="N228" s="124">
        <f>IF(OR(K228="",M228=""),"",CEILING((K228-M228)/30,1))</f>
        <v/>
      </c>
      <c r="O228" s="124">
        <f>IF(OR(ISNUMBER(SEARCH("بدون مورد",G228)),ISNUMBER(SEARCH("غير گارانتي",G228)),ISNUMBER(SEARCH("غیر گارانتی",G228)),ISNUMBER(SEARCH("بدون اجرت",G228)),ISNUMBER(SEARCH("فيلتر",G228)),ISNUMBER(SEARCH("فیلتر",G228))),"غیرگارانتی/بدون قطعه",IF(OR(ISNUMBER(SEARCH("ريست",G228)),ISNUMBER(SEARCH("ریست",G228))),"ریست نرم‌افزاری (بدون قطعه)",IF(OR(ISNUMBER(SEARCH("تعویض محصول",G228)),ISNUMBER(SEARCH("تعویض دستگاه",G228))),"تعویض کامل دستگاه (Replacement)",IF(ISNUMBER(SEARCH("پمپ",G228)),IF(ISNUMBER(SEARCH("نشت",G228)),"نشتی - پمپ تخلیه (تعمیر/آب‌بندی)","خرابی - پمپ تخلیه (تعویض)"),IF(ISNUMBER(SEARCH("کمپرسور",G228)),"خرابی - کمپرسور (تعویض)",IF(ISNUMBER(SEARCH("کمک فنر",G228)),"خرابی - کمک فنر (تعویض)",IF(ISNUMBER(SEARCH("لولا",G228)),"مکانیزم درب - لولا (تعویض)",IF(OR(ISNUMBER(SEARCH("قلاب",G228)),ISNUMBER(SEARCH("ميکروسوئيچ",G228)),ISNUMBER(SEARCH("میکروسوئیچ",G228))),"مکانیزم درب - میکروسوئیچ/قلاب (تعویض/تنظیم)",IF(ISNUMBER(SEARCH("زبانه",G228)),"مکانیزم درب - زبانه (تعویض)",IF(OR(ISNUMBER(SEARCH("شيلنگ",G228)),ISNUMBER(SEARCH("شیلنگ",G228))),IF(OR(ISNUMBER(SEARCH("نشتی",G228)),ISNUMBER(SEARCH("نشتي",G228))),"نشتی - شیلنگ (تعمیر/آب‌بندی)",IF(OR(ISNUMBER(SEARCH("يخ",G228)),ISNUMBER(SEARCH("یخ",G228))),"شیلنگ یخساز - یخ‌زدگی (بازبینی)","شیلنگ - برخورد/لهیدگی (بازبینی)")),IF(OR(ISNUMBER(SEARCH("تنظيم ديسپل",G228)),ISNUMBER(SEARCH("تنظیم دیسپل",G228)),ISNUMBER(SEARCH("تنظيم صفحه نمايش",G228)),ISNUMBER(SEARCH("تنظیم صفحه نمایش",G228))),"تنظیم - تنظیمات دستگاه/دیسپلی (تعمیر)",IF(OR(ISNUMBER(SEARCH("برد",G228)),ISNUMBER(SEARCH("سوکت",G228)),ISNUMBER(SEARCH("ديسپل",G228)),ISNUMBER(SEARCH("دیسپل",G228))),"خرابی - برد الکترونیک (تعویض)",IF(OR(ISNUMBER(SEARCH("يخساز",G228)),ISNUMBER(SEARCH("یخساز",G228)),ISNUMBER(SEARCH("دمپر",G228))),IF(OR(ISNUMBER(SEARCH("خرابی",G228)),ISNUMBER(SEARCH("خراب",G228)),ISNUMBER(SEARCH("عدم کارکرد",G228)),ISNUMBER(SEARCH("عدم عملکرد",G228))),"یخساز - خرابی موتور/سنسور/برد (تعویض)","یخساز - تنظیم/عایق (تعمیر)"),IF(OR(ISNUMBER(SEARCH("لاستيک",G228)),ISNUMBER(SEARCH("لاستیک",G228))),"لاستیک درزگیر - دفرمگی/پارگی (تعویض)",IF(OR(ISNUMBER(SEARCH("گسکت",G228)),ISNUMBER(SEARCH("گسگت",G228))),"لاستیک درزگیر - دفرمگی/پارگی (تعویض)",IF(ISNUMBER(SEARCH("مخزن نمک",G228)),"نشتی - درب مخزن نمک (تعمیر/آب‌بندی)",IF(ISNUMBER(SEARCH("براکت",G228)),"نشتی - براکت ریل (تعمیر/آب‌بندی)",IF(ISNUMBER(SEARCH("جاپودر",G228)),"نشتی - جاپودری (تعمیر/آب‌بندی)",IF(ISNUMBER(SEARCH("مقسم",G228)),"نشتی - مقسم آب (تعمیر/آب‌بندی)",IF(OR(ISNUMBER(SEARCH("سنسور دما",G228)),ISNUMBER(SEARCH("ترموستات",G228))),"خرابی - ترموستات (تعویض)",IF(OR(ISNUMBER(SEARCH("هيدروستات",G228)),ISNUMBER(SEARCH("هیدروستات",G228))),"خرابی - هیدروستات (تعویض)",IF(OR(ISNUMBER(SEARCH("بلبرينگ",G228)),ISNUMBER(SEARCH("بلبرینگ",G228))),"خرابی - بلبرینگ (تعویض)",IF(OR(ISNUMBER(SEARCH("شيربرق",G228)),ISNUMBER(SEARCH("شیربرق",G228))),"خرابی - شیربرقی (تعویض)",IF(OR(ISNUMBER(SEARCH("واتر جت",G228)),ISNUMBER(SEARCH("واترجت",G228))),"خرابی - واترجت (تعویض)",IF(OR(ISNUMBER(SEARCH("سيم",G228)),ISNUMBER(SEARCH("سیم",G228)),ISNUMBER(SEARCH("اتصال",G228))),"سیم‌کشی/اتصالات (تعویض/بازبینی)",IF(OR(ISNUMBER(SEARCH("تصوير",G228)),ISNUMBER(SEARCH("تصویر",G228))),"برد نمایش تلویزیون (تعویض)",IF(OR(ISNUMBER(SEARCH("ريموت",G228)),ISNUMBER(SEARCH("ریموت",G228))),"ریموت کنترل (تعویض/تعمیر)",IF(OR(ISNUMBER(SEARCH("ال اي دي",G228)),ISNUMBER(SEARCH("ال ای دی",G228)),ISNUMBER(SEARCH("LED",G228))),"خرابی - لامپ/LED داخلی (تعویض)",IF(ISNUMBER(SEARCH("زنگ زدگ",G228)),"زنگ‌زدگی بدنه/قطعه (تعویض)",IF(OR(ISNUMBER(SEARCH("قطعات تزئين",G228)),ISNUMBER(SEARCH("قطعات تزئین",G228))),"قطعات تزئینی - شکستگی/کسری (تعویض)",IF(ISNUMBER(SEARCH("سبد",G228)),"سبد ظرفشویی - شکستگی (تعویض)",IF(ISNUMBER(SEARCH("تاب درام",G228)),"خرابی - تاب برداشتن درام (تعویض)",IF(ISNUMBER(SEARCH("درام",G228)),"خرابی - سایر ایراد درام (تعویض)",IF(ISNUMBER(SEARCH("موتور",G228)),"خرابی - موتور (تعویض)",IF(ISNUMBER(SEARCH("تسمه",G228)),"خرابی - تسمه (تعویض)",IF(OR(ISNUMBER(SEARCH("پيچ ولوم",G228)),ISNUMBER(SEARCH("پیچ ولوم",G228))),"تنظیم - پیچ ولوم/دکمه (تعمیر)",IF(OR(ISNUMBER(SEARCH("کسري قطعات",G228)),ISNUMBER(SEARCH("کسری قطعات",G228))),"کسری قطعات تزئینی (تعویض)",IF(ISNUMBER(SEARCH("پرچ",G228)),"پرچ/بدنه کابین(تعمیر)",IF(OR(ISNUMBER(SEARCH("نشت",G228)),ISNUMBER(SEARCH("آبريزش",G228)),ISNUMBER(SEARCH("آبریزش",G228))),"نشتی آب - محل نامشخص (نیازمند بازدید)",IF(ISNUMBER(SEARCH("درب",G228)),"سایر اجزای درب (بازبینی)",IF(ISNUMBER(SEARCH("ضربه",G228)),"بدنه/کابین - ضربه (بازبینی/تعویض پنل)",IF(ISNUMBER(SEARCH("تراز",G228)),"تراز/لرزش - نصب (رگلاژ پایه)",IF(OR(ISNUMBER(SEARCH("تعویض",G228)),ISNUMBER(SEARCH("تعويض",G228))),"تعویض کامل دستگاه (Replacement)","سایر (نیازمند بررسی دستی)")))))))))))))))))))))))))))))))))))))))))))</f>
        <v/>
      </c>
      <c r="P228" s="124" t="inlineStr">
        <is>
          <t>*</t>
        </is>
      </c>
      <c r="Q228" s="124">
        <f>IF(ISNUMBER(SEARCH("عهده شرکت",F228)),"شرکت",IF(ISNUMBER(SEARCH("عهده مشتري",F228)),"مشتری",IF(ISNUMBER(SEARCH("عهده مشتری",F228)),"مشتری","نامشخص")))</f>
        <v/>
      </c>
      <c r="R228" s="178">
        <f>IF(O228="تعویض کامل دستگاه (Replacement)",IF(SUMIF('قیمت‌ها و مفروضات'!$A$9:$A$13,C228,'قیمت‌ها و مفروضات'!$C$9:$C$13)&lt;&gt;0,SUMIF('قیمت‌ها و مفروضات'!$A$9:$A$13,C228,'قیمت‌ها و مفروضات'!$C$9:$C$13),SUMIF('قیمت‌ها و مفروضات'!$A$9:$A$13,C228,'قیمت‌ها و مفروضات'!$B$9:$B$13)),IF(SUMIF('قیمت‌ها و مفروضات'!$A$18:$A$63,O228,'قیمت‌ها و مفروضات'!$C$18:$C$63)&lt;&gt;0,SUMIF('قیمت‌ها و مفروضات'!$A$18:$A$63,O228,'قیمت‌ها و مفروضات'!$C$18:$C$63),SUMIF('قیمت‌ها و مفروضات'!$A$18:$A$63,O228,'قیمت‌ها و مفروضات'!$B$18:$B$63)))</f>
        <v/>
      </c>
      <c r="S228" s="178">
        <f>'قیمت‌ها و مفروضات'!$B$3+'قیمت‌ها و مفروضات'!$B$4</f>
        <v/>
      </c>
      <c r="T228" s="178">
        <f>R228+S228</f>
        <v/>
      </c>
      <c r="U228" s="178">
        <f>IF(COUNTIF($E$2:E359,E228)&gt;1,"بله (تکراری)","خیر")</f>
        <v/>
      </c>
      <c r="V228" s="178">
        <f>IF(U228="بله (تکراری)",S228,0)</f>
        <v/>
      </c>
      <c r="W228" s="208" t="inlineStr"/>
      <c r="X228" s="208" t="inlineStr"/>
    </row>
    <row r="229" ht="58.5" customHeight="1" s="151">
      <c r="A229" s="176" t="n">
        <v>770693</v>
      </c>
      <c r="B229" s="124">
        <f>CHOOSE(_xlfn.NUMBERVALUE(MID(H229,6,2)),"فروردین","اردیبهشت","خرداد","تیر","مرداد","شهریور","مهر","آبان","آذر","دی","بهمن","اسفند")</f>
        <v/>
      </c>
      <c r="C229" s="176" t="inlineStr">
        <is>
          <t>ماشين ظرفشويي</t>
        </is>
      </c>
      <c r="D229" s="176" t="inlineStr">
        <is>
          <t>CDW-H16T</t>
        </is>
      </c>
      <c r="E229" s="176" t="inlineStr">
        <is>
          <t>52220005N03839</t>
        </is>
      </c>
      <c r="F229" s="173" t="inlineStr">
        <is>
          <t>جمع شدن آب داخل محصول**اياب و ذهاب به عهده شرکت</t>
        </is>
      </c>
      <c r="G229" s="124" t="inlineStr">
        <is>
          <t>نشتي پمپ تخليه</t>
        </is>
      </c>
      <c r="H229" s="176" t="inlineStr">
        <is>
          <t>1405/02/09</t>
        </is>
      </c>
      <c r="I229" s="124" t="inlineStr">
        <is>
          <t>1404/07/14</t>
        </is>
      </c>
      <c r="J229" s="124" t="inlineStr">
        <is>
          <t>1404/09/16</t>
        </is>
      </c>
      <c r="K229" s="177">
        <f>IFERROR(VLOOKUP(LEFT(H229,7),'تبدیل تاریخ'!$A$2:$B$73,2,FALSE())+VALUE(RIGHT(H229,2))-1,"")</f>
        <v/>
      </c>
      <c r="L229" s="177">
        <f>IFERROR(VLOOKUP(LEFT(I229,7),'تبدیل تاریخ'!$A$2:$B$73,2,FALSE())+VALUE(RIGHT(I229,2))-1,"")</f>
        <v/>
      </c>
      <c r="M229" s="177">
        <f>IF(J229="","",IFERROR(VLOOKUP(LEFT(J229,7),'تبدیل تاریخ'!$A$2:$B$73,2,FALSE())+VALUE(RIGHT(J229,2))-1,""))</f>
        <v/>
      </c>
      <c r="N229" s="124">
        <f>IF(OR(K229="",M229=""),"",CEILING((K229-M229)/30,1))</f>
        <v/>
      </c>
      <c r="O229" s="124">
        <f>IF(OR(ISNUMBER(SEARCH("بدون مورد",G229)),ISNUMBER(SEARCH("غير گارانتي",G229)),ISNUMBER(SEARCH("غیر گارانتی",G229)),ISNUMBER(SEARCH("بدون اجرت",G229)),ISNUMBER(SEARCH("فيلتر",G229)),ISNUMBER(SEARCH("فیلتر",G229))),"غیرگارانتی/بدون قطعه",IF(OR(ISNUMBER(SEARCH("ريست",G229)),ISNUMBER(SEARCH("ریست",G229))),"ریست نرم‌افزاری (بدون قطعه)",IF(OR(ISNUMBER(SEARCH("تعویض محصول",G229)),ISNUMBER(SEARCH("تعویض دستگاه",G229))),"تعویض کامل دستگاه (Replacement)",IF(ISNUMBER(SEARCH("پمپ",G229)),IF(ISNUMBER(SEARCH("نشت",G229)),"نشتی - پمپ تخلیه (تعمیر/آب‌بندی)","خرابی - پمپ تخلیه (تعویض)"),IF(ISNUMBER(SEARCH("کمپرسور",G229)),"خرابی - کمپرسور (تعویض)",IF(ISNUMBER(SEARCH("کمک فنر",G229)),"خرابی - کمک فنر (تعویض)",IF(ISNUMBER(SEARCH("لولا",G229)),"مکانیزم درب - لولا (تعویض)",IF(OR(ISNUMBER(SEARCH("قلاب",G229)),ISNUMBER(SEARCH("ميکروسوئيچ",G229)),ISNUMBER(SEARCH("میکروسوئیچ",G229))),"مکانیزم درب - میکروسوئیچ/قلاب (تعویض/تنظیم)",IF(ISNUMBER(SEARCH("زبانه",G229)),"مکانیزم درب - زبانه (تعویض)",IF(OR(ISNUMBER(SEARCH("شيلنگ",G229)),ISNUMBER(SEARCH("شیلنگ",G229))),IF(OR(ISNUMBER(SEARCH("نشتی",G229)),ISNUMBER(SEARCH("نشتي",G229))),"نشتی - شیلنگ (تعمیر/آب‌بندی)",IF(OR(ISNUMBER(SEARCH("يخ",G229)),ISNUMBER(SEARCH("یخ",G229))),"شیلنگ یخساز - یخ‌زدگی (بازبینی)","شیلنگ - برخورد/لهیدگی (بازبینی)")),IF(OR(ISNUMBER(SEARCH("تنظيم ديسپل",G229)),ISNUMBER(SEARCH("تنظیم دیسپل",G229)),ISNUMBER(SEARCH("تنظيم صفحه نمايش",G229)),ISNUMBER(SEARCH("تنظیم صفحه نمایش",G229))),"تنظیم - تنظیمات دستگاه/دیسپلی (تعمیر)",IF(OR(ISNUMBER(SEARCH("برد",G229)),ISNUMBER(SEARCH("سوکت",G229)),ISNUMBER(SEARCH("ديسپل",G229)),ISNUMBER(SEARCH("دیسپل",G229))),"خرابی - برد الکترونیک (تعویض)",IF(OR(ISNUMBER(SEARCH("يخساز",G229)),ISNUMBER(SEARCH("یخساز",G229)),ISNUMBER(SEARCH("دمپر",G229))),IF(OR(ISNUMBER(SEARCH("خرابی",G229)),ISNUMBER(SEARCH("خراب",G229)),ISNUMBER(SEARCH("عدم کارکرد",G229)),ISNUMBER(SEARCH("عدم عملکرد",G229))),"یخساز - خرابی موتور/سنسور/برد (تعویض)","یخساز - تنظیم/عایق (تعمیر)"),IF(OR(ISNUMBER(SEARCH("لاستيک",G229)),ISNUMBER(SEARCH("لاستیک",G229))),"لاستیک درزگیر - دفرمگی/پارگی (تعویض)",IF(OR(ISNUMBER(SEARCH("گسکت",G229)),ISNUMBER(SEARCH("گسگت",G229))),"لاستیک درزگیر - دفرمگی/پارگی (تعویض)",IF(ISNUMBER(SEARCH("مخزن نمک",G229)),"نشتی - درب مخزن نمک (تعمیر/آب‌بندی)",IF(ISNUMBER(SEARCH("براکت",G229)),"نشتی - براکت ریل (تعمیر/آب‌بندی)",IF(ISNUMBER(SEARCH("جاپودر",G229)),"نشتی - جاپودری (تعمیر/آب‌بندی)",IF(ISNUMBER(SEARCH("مقسم",G229)),"نشتی - مقسم آب (تعمیر/آب‌بندی)",IF(OR(ISNUMBER(SEARCH("سنسور دما",G229)),ISNUMBER(SEARCH("ترموستات",G229))),"خرابی - ترموستات (تعویض)",IF(OR(ISNUMBER(SEARCH("هيدروستات",G229)),ISNUMBER(SEARCH("هیدروستات",G229))),"خرابی - هیدروستات (تعویض)",IF(OR(ISNUMBER(SEARCH("بلبرينگ",G229)),ISNUMBER(SEARCH("بلبرینگ",G229))),"خرابی - بلبرینگ (تعویض)",IF(OR(ISNUMBER(SEARCH("شيربرق",G229)),ISNUMBER(SEARCH("شیربرق",G229))),"خرابی - شیربرقی (تعویض)",IF(OR(ISNUMBER(SEARCH("واتر جت",G229)),ISNUMBER(SEARCH("واترجت",G229))),"خرابی - واترجت (تعویض)",IF(OR(ISNUMBER(SEARCH("سيم",G229)),ISNUMBER(SEARCH("سیم",G229)),ISNUMBER(SEARCH("اتصال",G229))),"سیم‌کشی/اتصالات (تعویض/بازبینی)",IF(OR(ISNUMBER(SEARCH("تصوير",G229)),ISNUMBER(SEARCH("تصویر",G229))),"برد نمایش تلویزیون (تعویض)",IF(OR(ISNUMBER(SEARCH("ريموت",G229)),ISNUMBER(SEARCH("ریموت",G229))),"ریموت کنترل (تعویض/تعمیر)",IF(OR(ISNUMBER(SEARCH("ال اي دي",G229)),ISNUMBER(SEARCH("ال ای دی",G229)),ISNUMBER(SEARCH("LED",G229))),"خرابی - لامپ/LED داخلی (تعویض)",IF(ISNUMBER(SEARCH("زنگ زدگ",G229)),"زنگ‌زدگی بدنه/قطعه (تعویض)",IF(OR(ISNUMBER(SEARCH("قطعات تزئين",G229)),ISNUMBER(SEARCH("قطعات تزئین",G229))),"قطعات تزئینی - شکستگی/کسری (تعویض)",IF(ISNUMBER(SEARCH("سبد",G229)),"سبد ظرفشویی - شکستگی (تعویض)",IF(ISNUMBER(SEARCH("تاب درام",G229)),"خرابی - تاب برداشتن درام (تعویض)",IF(ISNUMBER(SEARCH("درام",G229)),"خرابی - سایر ایراد درام (تعویض)",IF(ISNUMBER(SEARCH("موتور",G229)),"خرابی - موتور (تعویض)",IF(ISNUMBER(SEARCH("تسمه",G229)),"خرابی - تسمه (تعویض)",IF(OR(ISNUMBER(SEARCH("پيچ ولوم",G229)),ISNUMBER(SEARCH("پیچ ولوم",G229))),"تنظیم - پیچ ولوم/دکمه (تعمیر)",IF(OR(ISNUMBER(SEARCH("کسري قطعات",G229)),ISNUMBER(SEARCH("کسری قطعات",G229))),"کسری قطعات تزئینی (تعویض)",IF(ISNUMBER(SEARCH("پرچ",G229)),"پرچ/بدنه کابین(تعمیر)",IF(OR(ISNUMBER(SEARCH("نشت",G229)),ISNUMBER(SEARCH("آبريزش",G229)),ISNUMBER(SEARCH("آبریزش",G229))),"نشتی آب - محل نامشخص (نیازمند بازدید)",IF(ISNUMBER(SEARCH("درب",G229)),"سایر اجزای درب (بازبینی)",IF(ISNUMBER(SEARCH("ضربه",G229)),"بدنه/کابین - ضربه (بازبینی/تعویض پنل)",IF(ISNUMBER(SEARCH("تراز",G229)),"تراز/لرزش - نصب (رگلاژ پایه)",IF(OR(ISNUMBER(SEARCH("تعویض",G229)),ISNUMBER(SEARCH("تعويض",G229))),"تعویض کامل دستگاه (Replacement)","سایر (نیازمند بررسی دستی)")))))))))))))))))))))))))))))))))))))))))))</f>
        <v/>
      </c>
      <c r="P229" s="124" t="inlineStr">
        <is>
          <t>نشتی پمپ ظرفشویی</t>
        </is>
      </c>
      <c r="Q229" s="124">
        <f>IF(ISNUMBER(SEARCH("عهده شرکت",F229)),"شرکت",IF(ISNUMBER(SEARCH("عهده مشتري",F229)),"مشتری",IF(ISNUMBER(SEARCH("عهده مشتری",F229)),"مشتری","نامشخص")))</f>
        <v/>
      </c>
      <c r="R229" s="178">
        <f>IF(O229="تعویض کامل دستگاه (Replacement)",IF(SUMIF('قیمت‌ها و مفروضات'!$A$9:$A$13,C229,'قیمت‌ها و مفروضات'!$C$9:$C$13)&lt;&gt;0,SUMIF('قیمت‌ها و مفروضات'!$A$9:$A$13,C229,'قیمت‌ها و مفروضات'!$C$9:$C$13),SUMIF('قیمت‌ها و مفروضات'!$A$9:$A$13,C229,'قیمت‌ها و مفروضات'!$B$9:$B$13)),IF(SUMIF('قیمت‌ها و مفروضات'!$A$18:$A$63,O229,'قیمت‌ها و مفروضات'!$C$18:$C$63)&lt;&gt;0,SUMIF('قیمت‌ها و مفروضات'!$A$18:$A$63,O229,'قیمت‌ها و مفروضات'!$C$18:$C$63),SUMIF('قیمت‌ها و مفروضات'!$A$18:$A$63,O229,'قیمت‌ها و مفروضات'!$B$18:$B$63)))</f>
        <v/>
      </c>
      <c r="S229" s="178">
        <f>'قیمت‌ها و مفروضات'!$B$3+'قیمت‌ها و مفروضات'!$B$4</f>
        <v/>
      </c>
      <c r="T229" s="178">
        <f>R229+S229</f>
        <v/>
      </c>
      <c r="U229" s="178">
        <f>IF(COUNTIF($E$2:E360,E229)&gt;1,"بله (تکراری)","خیر")</f>
        <v/>
      </c>
      <c r="V229" s="178">
        <f>IF(U229="بله (تکراری)",S229,0)</f>
        <v/>
      </c>
      <c r="W229" s="208" t="inlineStr"/>
      <c r="X229" s="208" t="inlineStr"/>
    </row>
    <row r="230" ht="58.5" customHeight="1" s="151">
      <c r="A230" s="176" t="n">
        <v>130003664</v>
      </c>
      <c r="B230" s="124">
        <f>CHOOSE(_xlfn.NUMBERVALUE(MID(H230,6,2)),"فروردین","اردیبهشت","خرداد","تیر","مرداد","شهریور","مهر","آبان","آذر","دی","بهمن","اسفند")</f>
        <v/>
      </c>
      <c r="C230" s="176" t="inlineStr">
        <is>
          <t>ماشين لباسشويي</t>
        </is>
      </c>
      <c r="D230" s="176" t="inlineStr">
        <is>
          <t>CWM-BMW8V1</t>
        </is>
      </c>
      <c r="E230" s="176" t="inlineStr">
        <is>
          <t>52210003N01048</t>
        </is>
      </c>
      <c r="F230" s="173" t="inlineStr">
        <is>
          <t>صداي غيرعادي هنگام خشک کن**مجدد**اياب و ذهاب به عهده شرکت</t>
        </is>
      </c>
      <c r="G230" s="124" t="inlineStr">
        <is>
          <t>تراز پايه تنظيم</t>
        </is>
      </c>
      <c r="H230" s="176" t="inlineStr">
        <is>
          <t>1405/02/09</t>
        </is>
      </c>
      <c r="I230" s="124" t="inlineStr">
        <is>
          <t>1403/02/09</t>
        </is>
      </c>
      <c r="J230" s="124" t="inlineStr">
        <is>
          <t>1404/03/13</t>
        </is>
      </c>
      <c r="K230" s="177">
        <f>IFERROR(VLOOKUP(LEFT(H230,7),'تبدیل تاریخ'!$A$2:$B$73,2,FALSE())+VALUE(RIGHT(H230,2))-1,"")</f>
        <v/>
      </c>
      <c r="L230" s="177">
        <f>IFERROR(VLOOKUP(LEFT(I230,7),'تبدیل تاریخ'!$A$2:$B$73,2,FALSE())+VALUE(RIGHT(I230,2))-1,"")</f>
        <v/>
      </c>
      <c r="M230" s="177">
        <f>IF(J230="","",IFERROR(VLOOKUP(LEFT(J230,7),'تبدیل تاریخ'!$A$2:$B$73,2,FALSE())+VALUE(RIGHT(J230,2))-1,""))</f>
        <v/>
      </c>
      <c r="N230" s="124">
        <f>IF(OR(K230="",M230=""),"",CEILING((K230-M230)/30,1))</f>
        <v/>
      </c>
      <c r="O230" s="124">
        <f>IF(OR(ISNUMBER(SEARCH("بدون مورد",G230)),ISNUMBER(SEARCH("غير گارانتي",G230)),ISNUMBER(SEARCH("غیر گارانتی",G230)),ISNUMBER(SEARCH("بدون اجرت",G230)),ISNUMBER(SEARCH("فيلتر",G230)),ISNUMBER(SEARCH("فیلتر",G230))),"غیرگارانتی/بدون قطعه",IF(OR(ISNUMBER(SEARCH("ريست",G230)),ISNUMBER(SEARCH("ریست",G230))),"ریست نرم‌افزاری (بدون قطعه)",IF(OR(ISNUMBER(SEARCH("تعویض محصول",G230)),ISNUMBER(SEARCH("تعویض دستگاه",G230))),"تعویض کامل دستگاه (Replacement)",IF(ISNUMBER(SEARCH("پمپ",G230)),IF(ISNUMBER(SEARCH("نشت",G230)),"نشتی - پمپ تخلیه (تعمیر/آب‌بندی)","خرابی - پمپ تخلیه (تعویض)"),IF(ISNUMBER(SEARCH("کمپرسور",G230)),"خرابی - کمپرسور (تعویض)",IF(ISNUMBER(SEARCH("کمک فنر",G230)),"خرابی - کمک فنر (تعویض)",IF(ISNUMBER(SEARCH("لولا",G230)),"مکانیزم درب - لولا (تعویض)",IF(OR(ISNUMBER(SEARCH("قلاب",G230)),ISNUMBER(SEARCH("ميکروسوئيچ",G230)),ISNUMBER(SEARCH("میکروسوئیچ",G230))),"مکانیزم درب - میکروسوئیچ/قلاب (تعویض/تنظیم)",IF(ISNUMBER(SEARCH("زبانه",G230)),"مکانیزم درب - زبانه (تعویض)",IF(OR(ISNUMBER(SEARCH("شيلنگ",G230)),ISNUMBER(SEARCH("شیلنگ",G230))),IF(OR(ISNUMBER(SEARCH("نشتی",G230)),ISNUMBER(SEARCH("نشتي",G230))),"نشتی - شیلنگ (تعمیر/آب‌بندی)",IF(OR(ISNUMBER(SEARCH("يخ",G230)),ISNUMBER(SEARCH("یخ",G230))),"شیلنگ یخساز - یخ‌زدگی (بازبینی)","شیلنگ - برخورد/لهیدگی (بازبینی)")),IF(OR(ISNUMBER(SEARCH("تنظيم ديسپل",G230)),ISNUMBER(SEARCH("تنظیم دیسپل",G230)),ISNUMBER(SEARCH("تنظيم صفحه نمايش",G230)),ISNUMBER(SEARCH("تنظیم صفحه نمایش",G230))),"تنظیم - تنظیمات دستگاه/دیسپلی (تعمیر)",IF(OR(ISNUMBER(SEARCH("برد",G230)),ISNUMBER(SEARCH("سوکت",G230)),ISNUMBER(SEARCH("ديسپل",G230)),ISNUMBER(SEARCH("دیسپل",G230))),"خرابی - برد الکترونیک (تعویض)",IF(OR(ISNUMBER(SEARCH("يخساز",G230)),ISNUMBER(SEARCH("یخساز",G230)),ISNUMBER(SEARCH("دمپر",G230))),IF(OR(ISNUMBER(SEARCH("خرابی",G230)),ISNUMBER(SEARCH("خراب",G230)),ISNUMBER(SEARCH("عدم کارکرد",G230)),ISNUMBER(SEARCH("عدم عملکرد",G230))),"یخساز - خرابی موتور/سنسور/برد (تعویض)","یخساز - تنظیم/عایق (تعمیر)"),IF(OR(ISNUMBER(SEARCH("لاستيک",G230)),ISNUMBER(SEARCH("لاستیک",G230))),"لاستیک درزگیر - دفرمگی/پارگی (تعویض)",IF(OR(ISNUMBER(SEARCH("گسکت",G230)),ISNUMBER(SEARCH("گسگت",G230))),"لاستیک درزگیر - دفرمگی/پارگی (تعویض)",IF(ISNUMBER(SEARCH("مخزن نمک",G230)),"نشتی - درب مخزن نمک (تعمیر/آب‌بندی)",IF(ISNUMBER(SEARCH("براکت",G230)),"نشتی - براکت ریل (تعمیر/آب‌بندی)",IF(ISNUMBER(SEARCH("جاپودر",G230)),"نشتی - جاپودری (تعمیر/آب‌بندی)",IF(ISNUMBER(SEARCH("مقسم",G230)),"نشتی - مقسم آب (تعمیر/آب‌بندی)",IF(OR(ISNUMBER(SEARCH("سنسور دما",G230)),ISNUMBER(SEARCH("ترموستات",G230))),"خرابی - ترموستات (تعویض)",IF(OR(ISNUMBER(SEARCH("هيدروستات",G230)),ISNUMBER(SEARCH("هیدروستات",G230))),"خرابی - هیدروستات (تعویض)",IF(OR(ISNUMBER(SEARCH("بلبرينگ",G230)),ISNUMBER(SEARCH("بلبرینگ",G230))),"خرابی - بلبرینگ (تعویض)",IF(OR(ISNUMBER(SEARCH("شيربرق",G230)),ISNUMBER(SEARCH("شیربرق",G230))),"خرابی - شیربرقی (تعویض)",IF(OR(ISNUMBER(SEARCH("واتر جت",G230)),ISNUMBER(SEARCH("واترجت",G230))),"خرابی - واترجت (تعویض)",IF(OR(ISNUMBER(SEARCH("سيم",G230)),ISNUMBER(SEARCH("سیم",G230)),ISNUMBER(SEARCH("اتصال",G230))),"سیم‌کشی/اتصالات (تعویض/بازبینی)",IF(OR(ISNUMBER(SEARCH("تصوير",G230)),ISNUMBER(SEARCH("تصویر",G230))),"برد نمایش تلویزیون (تعویض)",IF(OR(ISNUMBER(SEARCH("ريموت",G230)),ISNUMBER(SEARCH("ریموت",G230))),"ریموت کنترل (تعویض/تعمیر)",IF(OR(ISNUMBER(SEARCH("ال اي دي",G230)),ISNUMBER(SEARCH("ال ای دی",G230)),ISNUMBER(SEARCH("LED",G230))),"خرابی - لامپ/LED داخلی (تعویض)",IF(ISNUMBER(SEARCH("زنگ زدگ",G230)),"زنگ‌زدگی بدنه/قطعه (تعویض)",IF(OR(ISNUMBER(SEARCH("قطعات تزئين",G230)),ISNUMBER(SEARCH("قطعات تزئین",G230))),"قطعات تزئینی - شکستگی/کسری (تعویض)",IF(ISNUMBER(SEARCH("سبد",G230)),"سبد ظرفشویی - شکستگی (تعویض)",IF(ISNUMBER(SEARCH("تاب درام",G230)),"خرابی - تاب برداشتن درام (تعویض)",IF(ISNUMBER(SEARCH("درام",G230)),"خرابی - سایر ایراد درام (تعویض)",IF(ISNUMBER(SEARCH("موتور",G230)),"خرابی - موتور (تعویض)",IF(ISNUMBER(SEARCH("تسمه",G230)),"خرابی - تسمه (تعویض)",IF(OR(ISNUMBER(SEARCH("پيچ ولوم",G230)),ISNUMBER(SEARCH("پیچ ولوم",G230))),"تنظیم - پیچ ولوم/دکمه (تعمیر)",IF(OR(ISNUMBER(SEARCH("کسري قطعات",G230)),ISNUMBER(SEARCH("کسری قطعات",G230))),"کسری قطعات تزئینی (تعویض)",IF(ISNUMBER(SEARCH("پرچ",G230)),"پرچ/بدنه کابین(تعمیر)",IF(OR(ISNUMBER(SEARCH("نشت",G230)),ISNUMBER(SEARCH("آبريزش",G230)),ISNUMBER(SEARCH("آبریزش",G230))),"نشتی آب - محل نامشخص (نیازمند بازدید)",IF(ISNUMBER(SEARCH("درب",G230)),"سایر اجزای درب (بازبینی)",IF(ISNUMBER(SEARCH("ضربه",G230)),"بدنه/کابین - ضربه (بازبینی/تعویض پنل)",IF(ISNUMBER(SEARCH("تراز",G230)),"تراز/لرزش - نصب (رگلاژ پایه)",IF(OR(ISNUMBER(SEARCH("تعویض",G230)),ISNUMBER(SEARCH("تعويض",G230))),"تعویض کامل دستگاه (Replacement)","سایر (نیازمند بررسی دستی)")))))))))))))))))))))))))))))))))))))))))))</f>
        <v/>
      </c>
      <c r="P230" s="124" t="inlineStr">
        <is>
          <t>رگلاژ پایه تنظیم لباسشویی</t>
        </is>
      </c>
      <c r="Q230" s="124">
        <f>IF(ISNUMBER(SEARCH("عهده شرکت",F230)),"شرکت",IF(ISNUMBER(SEARCH("عهده مشتري",F230)),"مشتری",IF(ISNUMBER(SEARCH("عهده مشتری",F230)),"مشتری","نامشخص")))</f>
        <v/>
      </c>
      <c r="R230" s="178">
        <f>IF(O230="تعویض کامل دستگاه (Replacement)",IF(SUMIF('قیمت‌ها و مفروضات'!$A$9:$A$13,C230,'قیمت‌ها و مفروضات'!$C$9:$C$13)&lt;&gt;0,SUMIF('قیمت‌ها و مفروضات'!$A$9:$A$13,C230,'قیمت‌ها و مفروضات'!$C$9:$C$13),SUMIF('قیمت‌ها و مفروضات'!$A$9:$A$13,C230,'قیمت‌ها و مفروضات'!$B$9:$B$13)),IF(SUMIF('قیمت‌ها و مفروضات'!$A$18:$A$63,O230,'قیمت‌ها و مفروضات'!$C$18:$C$63)&lt;&gt;0,SUMIF('قیمت‌ها و مفروضات'!$A$18:$A$63,O230,'قیمت‌ها و مفروضات'!$C$18:$C$63),SUMIF('قیمت‌ها و مفروضات'!$A$18:$A$63,O230,'قیمت‌ها و مفروضات'!$B$18:$B$63)))</f>
        <v/>
      </c>
      <c r="S230" s="178">
        <f>'قیمت‌ها و مفروضات'!$B$3+'قیمت‌ها و مفروضات'!$B$4</f>
        <v/>
      </c>
      <c r="T230" s="178">
        <f>R230+S230</f>
        <v/>
      </c>
      <c r="U230" s="178">
        <f>IF(COUNTIF($E$2:E361,E230)&gt;1,"بله (تکراری)","خیر")</f>
        <v/>
      </c>
      <c r="V230" s="178">
        <f>IF(U230="بله (تکراری)",S230,0)</f>
        <v/>
      </c>
      <c r="W230" s="208" t="inlineStr"/>
      <c r="X230" s="208" t="inlineStr"/>
    </row>
    <row r="231" ht="58.5" customHeight="1" s="151">
      <c r="A231" s="176" t="n">
        <v>771019</v>
      </c>
      <c r="B231" s="124">
        <f>CHOOSE(_xlfn.NUMBERVALUE(MID(H231,6,2)),"فروردین","اردیبهشت","خرداد","تیر","مرداد","شهریور","مهر","آبان","آذر","دی","بهمن","اسفند")</f>
        <v/>
      </c>
      <c r="C231" s="176" t="inlineStr">
        <is>
          <t>ماشين ظرفشويي</t>
        </is>
      </c>
      <c r="D231" s="176" t="inlineStr">
        <is>
          <t>CDW-H16T</t>
        </is>
      </c>
      <c r="E231" s="176" t="inlineStr">
        <is>
          <t>52220004N04041</t>
        </is>
      </c>
      <c r="F231" s="173" t="inlineStr">
        <is>
          <t>خطاي F54**اياب و ذهاب به عهده شرکت</t>
        </is>
      </c>
      <c r="G231" s="124" t="inlineStr">
        <is>
          <t>نشتي از شيلنگ تخليه</t>
        </is>
      </c>
      <c r="H231" s="176" t="inlineStr">
        <is>
          <t>1405/02/10</t>
        </is>
      </c>
      <c r="I231" s="124" t="inlineStr">
        <is>
          <t>1404/07/28</t>
        </is>
      </c>
      <c r="J231" s="124" t="inlineStr">
        <is>
          <t>1404/09/13</t>
        </is>
      </c>
      <c r="K231" s="177">
        <f>IFERROR(VLOOKUP(LEFT(H231,7),'تبدیل تاریخ'!$A$2:$B$73,2,FALSE())+VALUE(RIGHT(H231,2))-1,"")</f>
        <v/>
      </c>
      <c r="L231" s="177">
        <f>IFERROR(VLOOKUP(LEFT(I231,7),'تبدیل تاریخ'!$A$2:$B$73,2,FALSE())+VALUE(RIGHT(I231,2))-1,"")</f>
        <v/>
      </c>
      <c r="M231" s="177">
        <f>IF(J231="","",IFERROR(VLOOKUP(LEFT(J231,7),'تبدیل تاریخ'!$A$2:$B$73,2,FALSE())+VALUE(RIGHT(J231,2))-1,""))</f>
        <v/>
      </c>
      <c r="N231" s="124">
        <f>IF(OR(K231="",M231=""),"",CEILING((K231-M231)/30,1))</f>
        <v/>
      </c>
      <c r="O231" s="124">
        <f>IF(OR(ISNUMBER(SEARCH("بدون مورد",G231)),ISNUMBER(SEARCH("غير گارانتي",G231)),ISNUMBER(SEARCH("غیر گارانتی",G231)),ISNUMBER(SEARCH("بدون اجرت",G231)),ISNUMBER(SEARCH("فيلتر",G231)),ISNUMBER(SEARCH("فیلتر",G231))),"غیرگارانتی/بدون قطعه",IF(OR(ISNUMBER(SEARCH("ريست",G231)),ISNUMBER(SEARCH("ریست",G231))),"ریست نرم‌افزاری (بدون قطعه)",IF(OR(ISNUMBER(SEARCH("تعویض محصول",G231)),ISNUMBER(SEARCH("تعویض دستگاه",G231))),"تعویض کامل دستگاه (Replacement)",IF(ISNUMBER(SEARCH("پمپ",G231)),IF(ISNUMBER(SEARCH("نشت",G231)),"نشتی - پمپ تخلیه (تعمیر/آب‌بندی)","خرابی - پمپ تخلیه (تعویض)"),IF(ISNUMBER(SEARCH("کمپرسور",G231)),"خرابی - کمپرسور (تعویض)",IF(ISNUMBER(SEARCH("کمک فنر",G231)),"خرابی - کمک فنر (تعویض)",IF(ISNUMBER(SEARCH("لولا",G231)),"مکانیزم درب - لولا (تعویض)",IF(OR(ISNUMBER(SEARCH("قلاب",G231)),ISNUMBER(SEARCH("ميکروسوئيچ",G231)),ISNUMBER(SEARCH("میکروسوئیچ",G231))),"مکانیزم درب - میکروسوئیچ/قلاب (تعویض/تنظیم)",IF(ISNUMBER(SEARCH("زبانه",G231)),"مکانیزم درب - زبانه (تعویض)",IF(OR(ISNUMBER(SEARCH("شيلنگ",G231)),ISNUMBER(SEARCH("شیلنگ",G231))),IF(OR(ISNUMBER(SEARCH("نشتی",G231)),ISNUMBER(SEARCH("نشتي",G231))),"نشتی - شیلنگ (تعمیر/آب‌بندی)",IF(OR(ISNUMBER(SEARCH("يخ",G231)),ISNUMBER(SEARCH("یخ",G231))),"شیلنگ یخساز - یخ‌زدگی (بازبینی)","شیلنگ - برخورد/لهیدگی (بازبینی)")),IF(OR(ISNUMBER(SEARCH("تنظيم ديسپل",G231)),ISNUMBER(SEARCH("تنظیم دیسپل",G231)),ISNUMBER(SEARCH("تنظيم صفحه نمايش",G231)),ISNUMBER(SEARCH("تنظیم صفحه نمایش",G231))),"تنظیم - تنظیمات دستگاه/دیسپلی (تعمیر)",IF(OR(ISNUMBER(SEARCH("برد",G231)),ISNUMBER(SEARCH("سوکت",G231)),ISNUMBER(SEARCH("ديسپل",G231)),ISNUMBER(SEARCH("دیسپل",G231))),"خرابی - برد الکترونیک (تعویض)",IF(OR(ISNUMBER(SEARCH("يخساز",G231)),ISNUMBER(SEARCH("یخساز",G231)),ISNUMBER(SEARCH("دمپر",G231))),IF(OR(ISNUMBER(SEARCH("خرابی",G231)),ISNUMBER(SEARCH("خراب",G231)),ISNUMBER(SEARCH("عدم کارکرد",G231)),ISNUMBER(SEARCH("عدم عملکرد",G231))),"یخساز - خرابی موتور/سنسور/برد (تعویض)","یخساز - تنظیم/عایق (تعمیر)"),IF(OR(ISNUMBER(SEARCH("لاستيک",G231)),ISNUMBER(SEARCH("لاستیک",G231))),"لاستیک درزگیر - دفرمگی/پارگی (تعویض)",IF(OR(ISNUMBER(SEARCH("گسکت",G231)),ISNUMBER(SEARCH("گسگت",G231))),"لاستیک درزگیر - دفرمگی/پارگی (تعویض)",IF(ISNUMBER(SEARCH("مخزن نمک",G231)),"نشتی - درب مخزن نمک (تعمیر/آب‌بندی)",IF(ISNUMBER(SEARCH("براکت",G231)),"نشتی - براکت ریل (تعمیر/آب‌بندی)",IF(ISNUMBER(SEARCH("جاپودر",G231)),"نشتی - جاپودری (تعمیر/آب‌بندی)",IF(ISNUMBER(SEARCH("مقسم",G231)),"نشتی - مقسم آب (تعمیر/آب‌بندی)",IF(OR(ISNUMBER(SEARCH("سنسور دما",G231)),ISNUMBER(SEARCH("ترموستات",G231))),"خرابی - ترموستات (تعویض)",IF(OR(ISNUMBER(SEARCH("هيدروستات",G231)),ISNUMBER(SEARCH("هیدروستات",G231))),"خرابی - هیدروستات (تعویض)",IF(OR(ISNUMBER(SEARCH("بلبرينگ",G231)),ISNUMBER(SEARCH("بلبرینگ",G231))),"خرابی - بلبرینگ (تعویض)",IF(OR(ISNUMBER(SEARCH("شيربرق",G231)),ISNUMBER(SEARCH("شیربرق",G231))),"خرابی - شیربرقی (تعویض)",IF(OR(ISNUMBER(SEARCH("واتر جت",G231)),ISNUMBER(SEARCH("واترجت",G231))),"خرابی - واترجت (تعویض)",IF(OR(ISNUMBER(SEARCH("سيم",G231)),ISNUMBER(SEARCH("سیم",G231)),ISNUMBER(SEARCH("اتصال",G231))),"سیم‌کشی/اتصالات (تعویض/بازبینی)",IF(OR(ISNUMBER(SEARCH("تصوير",G231)),ISNUMBER(SEARCH("تصویر",G231))),"برد نمایش تلویزیون (تعویض)",IF(OR(ISNUMBER(SEARCH("ريموت",G231)),ISNUMBER(SEARCH("ریموت",G231))),"ریموت کنترل (تعویض/تعمیر)",IF(OR(ISNUMBER(SEARCH("ال اي دي",G231)),ISNUMBER(SEARCH("ال ای دی",G231)),ISNUMBER(SEARCH("LED",G231))),"خرابی - لامپ/LED داخلی (تعویض)",IF(ISNUMBER(SEARCH("زنگ زدگ",G231)),"زنگ‌زدگی بدنه/قطعه (تعویض)",IF(OR(ISNUMBER(SEARCH("قطعات تزئين",G231)),ISNUMBER(SEARCH("قطعات تزئین",G231))),"قطعات تزئینی - شکستگی/کسری (تعویض)",IF(ISNUMBER(SEARCH("سبد",G231)),"سبد ظرفشویی - شکستگی (تعویض)",IF(ISNUMBER(SEARCH("تاب درام",G231)),"خرابی - تاب برداشتن درام (تعویض)",IF(ISNUMBER(SEARCH("درام",G231)),"خرابی - سایر ایراد درام (تعویض)",IF(ISNUMBER(SEARCH("موتور",G231)),"خرابی - موتور (تعویض)",IF(ISNUMBER(SEARCH("تسمه",G231)),"خرابی - تسمه (تعویض)",IF(OR(ISNUMBER(SEARCH("پيچ ولوم",G231)),ISNUMBER(SEARCH("پیچ ولوم",G231))),"تنظیم - پیچ ولوم/دکمه (تعمیر)",IF(OR(ISNUMBER(SEARCH("کسري قطعات",G231)),ISNUMBER(SEARCH("کسری قطعات",G231))),"کسری قطعات تزئینی (تعویض)",IF(ISNUMBER(SEARCH("پرچ",G231)),"پرچ/بدنه کابین(تعمیر)",IF(OR(ISNUMBER(SEARCH("نشت",G231)),ISNUMBER(SEARCH("آبريزش",G231)),ISNUMBER(SEARCH("آبریزش",G231))),"نشتی آب - محل نامشخص (نیازمند بازدید)",IF(ISNUMBER(SEARCH("درب",G231)),"سایر اجزای درب (بازبینی)",IF(ISNUMBER(SEARCH("ضربه",G231)),"بدنه/کابین - ضربه (بازبینی/تعویض پنل)",IF(ISNUMBER(SEARCH("تراز",G231)),"تراز/لرزش - نصب (رگلاژ پایه)",IF(OR(ISNUMBER(SEARCH("تعویض",G231)),ISNUMBER(SEARCH("تعويض",G231))),"تعویض کامل دستگاه (Replacement)","سایر (نیازمند بررسی دستی)")))))))))))))))))))))))))))))))))))))))))))</f>
        <v/>
      </c>
      <c r="P231" s="124" t="inlineStr">
        <is>
          <t>*</t>
        </is>
      </c>
      <c r="Q231" s="124">
        <f>IF(ISNUMBER(SEARCH("عهده شرکت",F231)),"شرکت",IF(ISNUMBER(SEARCH("عهده مشتري",F231)),"مشتری",IF(ISNUMBER(SEARCH("عهده مشتری",F231)),"مشتری","نامشخص")))</f>
        <v/>
      </c>
      <c r="R231" s="178">
        <f>IF(O231="تعویض کامل دستگاه (Replacement)",IF(SUMIF('قیمت‌ها و مفروضات'!$A$9:$A$13,C231,'قیمت‌ها و مفروضات'!$C$9:$C$13)&lt;&gt;0,SUMIF('قیمت‌ها و مفروضات'!$A$9:$A$13,C231,'قیمت‌ها و مفروضات'!$C$9:$C$13),SUMIF('قیمت‌ها و مفروضات'!$A$9:$A$13,C231,'قیمت‌ها و مفروضات'!$B$9:$B$13)),IF(SUMIF('قیمت‌ها و مفروضات'!$A$18:$A$63,O231,'قیمت‌ها و مفروضات'!$C$18:$C$63)&lt;&gt;0,SUMIF('قیمت‌ها و مفروضات'!$A$18:$A$63,O231,'قیمت‌ها و مفروضات'!$C$18:$C$63),SUMIF('قیمت‌ها و مفروضات'!$A$18:$A$63,O231,'قیمت‌ها و مفروضات'!$B$18:$B$63)))</f>
        <v/>
      </c>
      <c r="S231" s="178">
        <f>'قیمت‌ها و مفروضات'!$B$3+'قیمت‌ها و مفروضات'!$B$4</f>
        <v/>
      </c>
      <c r="T231" s="178">
        <f>R231+S231</f>
        <v/>
      </c>
      <c r="U231" s="178">
        <f>IF(COUNTIF($E$2:E362,E231)&gt;1,"بله (تکراری)","خیر")</f>
        <v/>
      </c>
      <c r="V231" s="178">
        <f>IF(U231="بله (تکراری)",S231,0)</f>
        <v/>
      </c>
      <c r="W231" s="208" t="inlineStr"/>
      <c r="X231" s="208" t="inlineStr"/>
    </row>
    <row r="232" ht="58.5" customHeight="1" s="151">
      <c r="A232" s="176" t="n">
        <v>771202</v>
      </c>
      <c r="B232" s="124">
        <f>CHOOSE(_xlfn.NUMBERVALUE(MID(H232,6,2)),"فروردین","اردیبهشت","خرداد","تیر","مرداد","شهریور","مهر","آبان","آذر","دی","بهمن","اسفند")</f>
        <v/>
      </c>
      <c r="C232" s="176" t="inlineStr">
        <is>
          <t>ماشين لباسشويي</t>
        </is>
      </c>
      <c r="D232" s="176" t="inlineStr">
        <is>
          <t>CWM-BMW8V1</t>
        </is>
      </c>
      <c r="E232" s="176" t="inlineStr">
        <is>
          <t>52210003N01135</t>
        </is>
      </c>
      <c r="F232" s="173" t="inlineStr">
        <is>
          <t>خطاي E1**اياب و ذهاب به عهده مشتري</t>
        </is>
      </c>
      <c r="G232" s="124" t="inlineStr">
        <is>
          <t xml:space="preserve">نشتی از شیلنگ تخلیه </t>
        </is>
      </c>
      <c r="H232" s="176" t="inlineStr">
        <is>
          <t>1405/02/12</t>
        </is>
      </c>
      <c r="I232" s="124" t="inlineStr">
        <is>
          <t>1403/02/10</t>
        </is>
      </c>
      <c r="J232" s="124" t="inlineStr">
        <is>
          <t>1403/11/27</t>
        </is>
      </c>
      <c r="K232" s="177">
        <f>IFERROR(VLOOKUP(LEFT(H232,7),'تبدیل تاریخ'!$A$2:$B$73,2,FALSE())+VALUE(RIGHT(H232,2))-1,"")</f>
        <v/>
      </c>
      <c r="L232" s="177">
        <f>IFERROR(VLOOKUP(LEFT(I232,7),'تبدیل تاریخ'!$A$2:$B$73,2,FALSE())+VALUE(RIGHT(I232,2))-1,"")</f>
        <v/>
      </c>
      <c r="M232" s="177">
        <f>IF(J232="","",IFERROR(VLOOKUP(LEFT(J232,7),'تبدیل تاریخ'!$A$2:$B$73,2,FALSE())+VALUE(RIGHT(J232,2))-1,""))</f>
        <v/>
      </c>
      <c r="N232" s="124">
        <f>IF(OR(K232="",M232=""),"",CEILING((K232-M232)/30,1))</f>
        <v/>
      </c>
      <c r="O232" s="124">
        <f>IF(OR(ISNUMBER(SEARCH("بدون مورد",G232)),ISNUMBER(SEARCH("غير گارانتي",G232)),ISNUMBER(SEARCH("غیر گارانتی",G232)),ISNUMBER(SEARCH("بدون اجرت",G232)),ISNUMBER(SEARCH("فيلتر",G232)),ISNUMBER(SEARCH("فیلتر",G232))),"غیرگارانتی/بدون قطعه",IF(OR(ISNUMBER(SEARCH("ريست",G232)),ISNUMBER(SEARCH("ریست",G232))),"ریست نرم‌افزاری (بدون قطعه)",IF(OR(ISNUMBER(SEARCH("تعویض محصول",G232)),ISNUMBER(SEARCH("تعویض دستگاه",G232))),"تعویض کامل دستگاه (Replacement)",IF(ISNUMBER(SEARCH("پمپ",G232)),IF(ISNUMBER(SEARCH("نشت",G232)),"نشتی - پمپ تخلیه (تعمیر/آب‌بندی)","خرابی - پمپ تخلیه (تعویض)"),IF(ISNUMBER(SEARCH("کمپرسور",G232)),"خرابی - کمپرسور (تعویض)",IF(ISNUMBER(SEARCH("کمک فنر",G232)),"خرابی - کمک فنر (تعویض)",IF(ISNUMBER(SEARCH("لولا",G232)),"مکانیزم درب - لولا (تعویض)",IF(OR(ISNUMBER(SEARCH("قلاب",G232)),ISNUMBER(SEARCH("ميکروسوئيچ",G232)),ISNUMBER(SEARCH("میکروسوئیچ",G232))),"مکانیزم درب - میکروسوئیچ/قلاب (تعویض/تنظیم)",IF(ISNUMBER(SEARCH("زبانه",G232)),"مکانیزم درب - زبانه (تعویض)",IF(OR(ISNUMBER(SEARCH("شيلنگ",G232)),ISNUMBER(SEARCH("شیلنگ",G232))),IF(OR(ISNUMBER(SEARCH("نشتی",G232)),ISNUMBER(SEARCH("نشتي",G232))),"نشتی - شیلنگ (تعمیر/آب‌بندی)",IF(OR(ISNUMBER(SEARCH("يخ",G232)),ISNUMBER(SEARCH("یخ",G232))),"شیلنگ یخساز - یخ‌زدگی (بازبینی)","شیلنگ - برخورد/لهیدگی (بازبینی)")),IF(OR(ISNUMBER(SEARCH("تنظيم ديسپل",G232)),ISNUMBER(SEARCH("تنظیم دیسپل",G232)),ISNUMBER(SEARCH("تنظيم صفحه نمايش",G232)),ISNUMBER(SEARCH("تنظیم صفحه نمایش",G232))),"تنظیم - تنظیمات دستگاه/دیسپلی (تعمیر)",IF(OR(ISNUMBER(SEARCH("برد",G232)),ISNUMBER(SEARCH("سوکت",G232)),ISNUMBER(SEARCH("ديسپل",G232)),ISNUMBER(SEARCH("دیسپل",G232))),"خرابی - برد الکترونیک (تعویض)",IF(OR(ISNUMBER(SEARCH("يخساز",G232)),ISNUMBER(SEARCH("یخساز",G232)),ISNUMBER(SEARCH("دمپر",G232))),IF(OR(ISNUMBER(SEARCH("خرابی",G232)),ISNUMBER(SEARCH("خراب",G232)),ISNUMBER(SEARCH("عدم کارکرد",G232)),ISNUMBER(SEARCH("عدم عملکرد",G232))),"یخساز - خرابی موتور/سنسور/برد (تعویض)","یخساز - تنظیم/عایق (تعمیر)"),IF(OR(ISNUMBER(SEARCH("لاستيک",G232)),ISNUMBER(SEARCH("لاستیک",G232))),"لاستیک درزگیر - دفرمگی/پارگی (تعویض)",IF(OR(ISNUMBER(SEARCH("گسکت",G232)),ISNUMBER(SEARCH("گسگت",G232))),"لاستیک درزگیر - دفرمگی/پارگی (تعویض)",IF(ISNUMBER(SEARCH("مخزن نمک",G232)),"نشتی - درب مخزن نمک (تعمیر/آب‌بندی)",IF(ISNUMBER(SEARCH("براکت",G232)),"نشتی - براکت ریل (تعمیر/آب‌بندی)",IF(ISNUMBER(SEARCH("جاپودر",G232)),"نشتی - جاپودری (تعمیر/آب‌بندی)",IF(ISNUMBER(SEARCH("مقسم",G232)),"نشتی - مقسم آب (تعمیر/آب‌بندی)",IF(OR(ISNUMBER(SEARCH("سنسور دما",G232)),ISNUMBER(SEARCH("ترموستات",G232))),"خرابی - ترموستات (تعویض)",IF(OR(ISNUMBER(SEARCH("هيدروستات",G232)),ISNUMBER(SEARCH("هیدروستات",G232))),"خرابی - هیدروستات (تعویض)",IF(OR(ISNUMBER(SEARCH("بلبرينگ",G232)),ISNUMBER(SEARCH("بلبرینگ",G232))),"خرابی - بلبرینگ (تعویض)",IF(OR(ISNUMBER(SEARCH("شيربرق",G232)),ISNUMBER(SEARCH("شیربرق",G232))),"خرابی - شیربرقی (تعویض)",IF(OR(ISNUMBER(SEARCH("واتر جت",G232)),ISNUMBER(SEARCH("واترجت",G232))),"خرابی - واترجت (تعویض)",IF(OR(ISNUMBER(SEARCH("سيم",G232)),ISNUMBER(SEARCH("سیم",G232)),ISNUMBER(SEARCH("اتصال",G232))),"سیم‌کشی/اتصالات (تعویض/بازبینی)",IF(OR(ISNUMBER(SEARCH("تصوير",G232)),ISNUMBER(SEARCH("تصویر",G232))),"برد نمایش تلویزیون (تعویض)",IF(OR(ISNUMBER(SEARCH("ريموت",G232)),ISNUMBER(SEARCH("ریموت",G232))),"ریموت کنترل (تعویض/تعمیر)",IF(OR(ISNUMBER(SEARCH("ال اي دي",G232)),ISNUMBER(SEARCH("ال ای دی",G232)),ISNUMBER(SEARCH("LED",G232))),"خرابی - لامپ/LED داخلی (تعویض)",IF(ISNUMBER(SEARCH("زنگ زدگ",G232)),"زنگ‌زدگی بدنه/قطعه (تعویض)",IF(OR(ISNUMBER(SEARCH("قطعات تزئين",G232)),ISNUMBER(SEARCH("قطعات تزئین",G232))),"قطعات تزئینی - شکستگی/کسری (تعویض)",IF(ISNUMBER(SEARCH("سبد",G232)),"سبد ظرفشویی - شکستگی (تعویض)",IF(ISNUMBER(SEARCH("تاب درام",G232)),"خرابی - تاب برداشتن درام (تعویض)",IF(ISNUMBER(SEARCH("درام",G232)),"خرابی - سایر ایراد درام (تعویض)",IF(ISNUMBER(SEARCH("موتور",G232)),"خرابی - موتور (تعویض)",IF(ISNUMBER(SEARCH("تسمه",G232)),"خرابی - تسمه (تعویض)",IF(OR(ISNUMBER(SEARCH("پيچ ولوم",G232)),ISNUMBER(SEARCH("پیچ ولوم",G232))),"تنظیم - پیچ ولوم/دکمه (تعمیر)",IF(OR(ISNUMBER(SEARCH("کسري قطعات",G232)),ISNUMBER(SEARCH("کسری قطعات",G232))),"کسری قطعات تزئینی (تعویض)",IF(ISNUMBER(SEARCH("پرچ",G232)),"پرچ/بدنه کابین(تعمیر)",IF(OR(ISNUMBER(SEARCH("نشت",G232)),ISNUMBER(SEARCH("آبريزش",G232)),ISNUMBER(SEARCH("آبریزش",G232))),"نشتی آب - محل نامشخص (نیازمند بازدید)",IF(ISNUMBER(SEARCH("درب",G232)),"سایر اجزای درب (بازبینی)",IF(ISNUMBER(SEARCH("ضربه",G232)),"بدنه/کابین - ضربه (بازبینی/تعویض پنل)",IF(ISNUMBER(SEARCH("تراز",G232)),"تراز/لرزش - نصب (رگلاژ پایه)",IF(OR(ISNUMBER(SEARCH("تعویض",G232)),ISNUMBER(SEARCH("تعويض",G232))),"تعویض کامل دستگاه (Replacement)","سایر (نیازمند بررسی دستی)")))))))))))))))))))))))))))))))))))))))))))</f>
        <v/>
      </c>
      <c r="P232" s="124" t="inlineStr">
        <is>
          <t>*</t>
        </is>
      </c>
      <c r="Q232" s="124">
        <f>IF(ISNUMBER(SEARCH("عهده شرکت",F232)),"شرکت",IF(ISNUMBER(SEARCH("عهده مشتري",F232)),"مشتری",IF(ISNUMBER(SEARCH("عهده مشتری",F232)),"مشتری","نامشخص")))</f>
        <v/>
      </c>
      <c r="R232" s="178">
        <f>IF(O232="تعویض کامل دستگاه (Replacement)",IF(SUMIF('قیمت‌ها و مفروضات'!$A$9:$A$13,C232,'قیمت‌ها و مفروضات'!$C$9:$C$13)&lt;&gt;0,SUMIF('قیمت‌ها و مفروضات'!$A$9:$A$13,C232,'قیمت‌ها و مفروضات'!$C$9:$C$13),SUMIF('قیمت‌ها و مفروضات'!$A$9:$A$13,C232,'قیمت‌ها و مفروضات'!$B$9:$B$13)),IF(SUMIF('قیمت‌ها و مفروضات'!$A$18:$A$63,O232,'قیمت‌ها و مفروضات'!$C$18:$C$63)&lt;&gt;0,SUMIF('قیمت‌ها و مفروضات'!$A$18:$A$63,O232,'قیمت‌ها و مفروضات'!$C$18:$C$63),SUMIF('قیمت‌ها و مفروضات'!$A$18:$A$63,O232,'قیمت‌ها و مفروضات'!$B$18:$B$63)))</f>
        <v/>
      </c>
      <c r="S232" s="178">
        <f>'قیمت‌ها و مفروضات'!$B$3+'قیمت‌ها و مفروضات'!$B$4</f>
        <v/>
      </c>
      <c r="T232" s="178">
        <f>R232+S232</f>
        <v/>
      </c>
      <c r="U232" s="178">
        <f>IF(COUNTIF($E$2:E363,E232)&gt;1,"بله (تکراری)","خیر")</f>
        <v/>
      </c>
      <c r="V232" s="178">
        <f>IF(U232="بله (تکراری)",S232,0)</f>
        <v/>
      </c>
      <c r="W232" s="208" t="inlineStr"/>
      <c r="X232" s="208" t="inlineStr"/>
    </row>
    <row r="233" ht="58.5" customHeight="1" s="151">
      <c r="A233" s="176" t="n">
        <v>771209</v>
      </c>
      <c r="B233" s="124">
        <f>CHOOSE(_xlfn.NUMBERVALUE(MID(H233,6,2)),"فروردین","اردیبهشت","خرداد","تیر","مرداد","شهریور","مهر","آبان","آذر","دی","بهمن","اسفند")</f>
        <v/>
      </c>
      <c r="C233" s="176" t="inlineStr">
        <is>
          <t>یخچال ساید‌بای‌ساید</t>
        </is>
      </c>
      <c r="D233" s="176" t="inlineStr">
        <is>
          <t>C2S-29HS1</t>
        </is>
      </c>
      <c r="E233" s="176" t="inlineStr">
        <is>
          <t>52240001N01938</t>
        </is>
      </c>
      <c r="F233" s="173" t="inlineStr">
        <is>
          <t>عدم کارکرد يخساز**اياب و ذهاب به عهده شرکت</t>
        </is>
      </c>
      <c r="G233" s="124" t="inlineStr">
        <is>
          <t>عايق کاري ورودي يخساز - سايد باي سايد</t>
        </is>
      </c>
      <c r="H233" s="176" t="inlineStr">
        <is>
          <t>1405/02/12</t>
        </is>
      </c>
      <c r="I233" s="124" t="inlineStr">
        <is>
          <t>1403/09/07</t>
        </is>
      </c>
      <c r="J233" s="124" t="inlineStr">
        <is>
          <t>1405/01/24</t>
        </is>
      </c>
      <c r="K233" s="177">
        <f>IFERROR(VLOOKUP(LEFT(H233,7),'تبدیل تاریخ'!$A$2:$B$73,2,FALSE())+VALUE(RIGHT(H233,2))-1,"")</f>
        <v/>
      </c>
      <c r="L233" s="177">
        <f>IFERROR(VLOOKUP(LEFT(I233,7),'تبدیل تاریخ'!$A$2:$B$73,2,FALSE())+VALUE(RIGHT(I233,2))-1,"")</f>
        <v/>
      </c>
      <c r="M233" s="177">
        <f>IF(J233="","",IFERROR(VLOOKUP(LEFT(J233,7),'تبدیل تاریخ'!$A$2:$B$73,2,FALSE())+VALUE(RIGHT(J233,2))-1,""))</f>
        <v/>
      </c>
      <c r="N233" s="124">
        <f>IF(OR(K233="",M233=""),"",CEILING((K233-M233)/30,1))</f>
        <v/>
      </c>
      <c r="O233" s="124">
        <f>IF(OR(ISNUMBER(SEARCH("بدون مورد",G233)),ISNUMBER(SEARCH("غير گارانتي",G233)),ISNUMBER(SEARCH("غیر گارانتی",G233)),ISNUMBER(SEARCH("بدون اجرت",G233)),ISNUMBER(SEARCH("فيلتر",G233)),ISNUMBER(SEARCH("فیلتر",G233))),"غیرگارانتی/بدون قطعه",IF(OR(ISNUMBER(SEARCH("ريست",G233)),ISNUMBER(SEARCH("ریست",G233))),"ریست نرم‌افزاری (بدون قطعه)",IF(OR(ISNUMBER(SEARCH("تعویض محصول",G233)),ISNUMBER(SEARCH("تعویض دستگاه",G233))),"تعویض کامل دستگاه (Replacement)",IF(ISNUMBER(SEARCH("پمپ",G233)),IF(ISNUMBER(SEARCH("نشت",G233)),"نشتی - پمپ تخلیه (تعمیر/آب‌بندی)","خرابی - پمپ تخلیه (تعویض)"),IF(ISNUMBER(SEARCH("کمپرسور",G233)),"خرابی - کمپرسور (تعویض)",IF(ISNUMBER(SEARCH("کمک فنر",G233)),"خرابی - کمک فنر (تعویض)",IF(ISNUMBER(SEARCH("لولا",G233)),"مکانیزم درب - لولا (تعویض)",IF(OR(ISNUMBER(SEARCH("قلاب",G233)),ISNUMBER(SEARCH("ميکروسوئيچ",G233)),ISNUMBER(SEARCH("میکروسوئیچ",G233))),"مکانیزم درب - میکروسوئیچ/قلاب (تعویض/تنظیم)",IF(ISNUMBER(SEARCH("زبانه",G233)),"مکانیزم درب - زبانه (تعویض)",IF(OR(ISNUMBER(SEARCH("شيلنگ",G233)),ISNUMBER(SEARCH("شیلنگ",G233))),IF(OR(ISNUMBER(SEARCH("نشتی",G233)),ISNUMBER(SEARCH("نشتي",G233))),"نشتی - شیلنگ (تعمیر/آب‌بندی)",IF(OR(ISNUMBER(SEARCH("يخ",G233)),ISNUMBER(SEARCH("یخ",G233))),"شیلنگ یخساز - یخ‌زدگی (بازبینی)","شیلنگ - برخورد/لهیدگی (بازبینی)")),IF(OR(ISNUMBER(SEARCH("تنظيم ديسپل",G233)),ISNUMBER(SEARCH("تنظیم دیسپل",G233)),ISNUMBER(SEARCH("تنظيم صفحه نمايش",G233)),ISNUMBER(SEARCH("تنظیم صفحه نمایش",G233))),"تنظیم - تنظیمات دستگاه/دیسپلی (تعمیر)",IF(OR(ISNUMBER(SEARCH("برد",G233)),ISNUMBER(SEARCH("سوکت",G233)),ISNUMBER(SEARCH("ديسپل",G233)),ISNUMBER(SEARCH("دیسپل",G233))),"خرابی - برد الکترونیک (تعویض)",IF(OR(ISNUMBER(SEARCH("يخساز",G233)),ISNUMBER(SEARCH("یخساز",G233)),ISNUMBER(SEARCH("دمپر",G233))),IF(OR(ISNUMBER(SEARCH("خرابی",G233)),ISNUMBER(SEARCH("خراب",G233)),ISNUMBER(SEARCH("عدم کارکرد",G233)),ISNUMBER(SEARCH("عدم عملکرد",G233))),"یخساز - خرابی موتور/سنسور/برد (تعویض)","یخساز - تنظیم/عایق (تعمیر)"),IF(OR(ISNUMBER(SEARCH("لاستيک",G233)),ISNUMBER(SEARCH("لاستیک",G233))),"لاستیک درزگیر - دفرمگی/پارگی (تعویض)",IF(OR(ISNUMBER(SEARCH("گسکت",G233)),ISNUMBER(SEARCH("گسگت",G233))),"لاستیک درزگیر - دفرمگی/پارگی (تعویض)",IF(ISNUMBER(SEARCH("مخزن نمک",G233)),"نشتی - درب مخزن نمک (تعمیر/آب‌بندی)",IF(ISNUMBER(SEARCH("براکت",G233)),"نشتی - براکت ریل (تعمیر/آب‌بندی)",IF(ISNUMBER(SEARCH("جاپودر",G233)),"نشتی - جاپودری (تعمیر/آب‌بندی)",IF(ISNUMBER(SEARCH("مقسم",G233)),"نشتی - مقسم آب (تعمیر/آب‌بندی)",IF(OR(ISNUMBER(SEARCH("سنسور دما",G233)),ISNUMBER(SEARCH("ترموستات",G233))),"خرابی - ترموستات (تعویض)",IF(OR(ISNUMBER(SEARCH("هيدروستات",G233)),ISNUMBER(SEARCH("هیدروستات",G233))),"خرابی - هیدروستات (تعویض)",IF(OR(ISNUMBER(SEARCH("بلبرينگ",G233)),ISNUMBER(SEARCH("بلبرینگ",G233))),"خرابی - بلبرینگ (تعویض)",IF(OR(ISNUMBER(SEARCH("شيربرق",G233)),ISNUMBER(SEARCH("شیربرق",G233))),"خرابی - شیربرقی (تعویض)",IF(OR(ISNUMBER(SEARCH("واتر جت",G233)),ISNUMBER(SEARCH("واترجت",G233))),"خرابی - واترجت (تعویض)",IF(OR(ISNUMBER(SEARCH("سيم",G233)),ISNUMBER(SEARCH("سیم",G233)),ISNUMBER(SEARCH("اتصال",G233))),"سیم‌کشی/اتصالات (تعویض/بازبینی)",IF(OR(ISNUMBER(SEARCH("تصوير",G233)),ISNUMBER(SEARCH("تصویر",G233))),"برد نمایش تلویزیون (تعویض)",IF(OR(ISNUMBER(SEARCH("ريموت",G233)),ISNUMBER(SEARCH("ریموت",G233))),"ریموت کنترل (تعویض/تعمیر)",IF(OR(ISNUMBER(SEARCH("ال اي دي",G233)),ISNUMBER(SEARCH("ال ای دی",G233)),ISNUMBER(SEARCH("LED",G233))),"خرابی - لامپ/LED داخلی (تعویض)",IF(ISNUMBER(SEARCH("زنگ زدگ",G233)),"زنگ‌زدگی بدنه/قطعه (تعویض)",IF(OR(ISNUMBER(SEARCH("قطعات تزئين",G233)),ISNUMBER(SEARCH("قطعات تزئین",G233))),"قطعات تزئینی - شکستگی/کسری (تعویض)",IF(ISNUMBER(SEARCH("سبد",G233)),"سبد ظرفشویی - شکستگی (تعویض)",IF(ISNUMBER(SEARCH("تاب درام",G233)),"خرابی - تاب برداشتن درام (تعویض)",IF(ISNUMBER(SEARCH("درام",G233)),"خرابی - سایر ایراد درام (تعویض)",IF(ISNUMBER(SEARCH("موتور",G233)),"خرابی - موتور (تعویض)",IF(ISNUMBER(SEARCH("تسمه",G233)),"خرابی - تسمه (تعویض)",IF(OR(ISNUMBER(SEARCH("پيچ ولوم",G233)),ISNUMBER(SEARCH("پیچ ولوم",G233))),"تنظیم - پیچ ولوم/دکمه (تعمیر)",IF(OR(ISNUMBER(SEARCH("کسري قطعات",G233)),ISNUMBER(SEARCH("کسری قطعات",G233))),"کسری قطعات تزئینی (تعویض)",IF(ISNUMBER(SEARCH("پرچ",G233)),"پرچ/بدنه کابین(تعمیر)",IF(OR(ISNUMBER(SEARCH("نشت",G233)),ISNUMBER(SEARCH("آبريزش",G233)),ISNUMBER(SEARCH("آبریزش",G233))),"نشتی آب - محل نامشخص (نیازمند بازدید)",IF(ISNUMBER(SEARCH("درب",G233)),"سایر اجزای درب (بازبینی)",IF(ISNUMBER(SEARCH("ضربه",G233)),"بدنه/کابین - ضربه (بازبینی/تعویض پنل)",IF(ISNUMBER(SEARCH("تراز",G233)),"تراز/لرزش - نصب (رگلاژ پایه)",IF(OR(ISNUMBER(SEARCH("تعویض",G233)),ISNUMBER(SEARCH("تعويض",G233))),"تعویض کامل دستگاه (Replacement)","سایر (نیازمند بررسی دستی)")))))))))))))))))))))))))))))))))))))))))))</f>
        <v/>
      </c>
      <c r="P233" s="124" t="inlineStr">
        <is>
          <t>*</t>
        </is>
      </c>
      <c r="Q233" s="124">
        <f>IF(ISNUMBER(SEARCH("عهده شرکت",F233)),"شرکت",IF(ISNUMBER(SEARCH("عهده مشتري",F233)),"مشتری",IF(ISNUMBER(SEARCH("عهده مشتری",F233)),"مشتری","نامشخص")))</f>
        <v/>
      </c>
      <c r="R233" s="178">
        <f>IF(O233="تعویض کامل دستگاه (Replacement)",IF(SUMIF('قیمت‌ها و مفروضات'!$A$9:$A$13,C233,'قیمت‌ها و مفروضات'!$C$9:$C$13)&lt;&gt;0,SUMIF('قیمت‌ها و مفروضات'!$A$9:$A$13,C233,'قیمت‌ها و مفروضات'!$C$9:$C$13),SUMIF('قیمت‌ها و مفروضات'!$A$9:$A$13,C233,'قیمت‌ها و مفروضات'!$B$9:$B$13)),IF(SUMIF('قیمت‌ها و مفروضات'!$A$18:$A$63,O233,'قیمت‌ها و مفروضات'!$C$18:$C$63)&lt;&gt;0,SUMIF('قیمت‌ها و مفروضات'!$A$18:$A$63,O233,'قیمت‌ها و مفروضات'!$C$18:$C$63),SUMIF('قیمت‌ها و مفروضات'!$A$18:$A$63,O233,'قیمت‌ها و مفروضات'!$B$18:$B$63)))</f>
        <v/>
      </c>
      <c r="S233" s="178">
        <f>'قیمت‌ها و مفروضات'!$B$3+'قیمت‌ها و مفروضات'!$B$4</f>
        <v/>
      </c>
      <c r="T233" s="178">
        <f>R233+S233</f>
        <v/>
      </c>
      <c r="U233" s="178">
        <f>IF(COUNTIF($E$2:E364,E233)&gt;1,"بله (تکراری)","خیر")</f>
        <v/>
      </c>
      <c r="V233" s="178">
        <f>IF(U233="بله (تکراری)",S233,0)</f>
        <v/>
      </c>
      <c r="W233" s="208" t="inlineStr"/>
      <c r="X233" s="208" t="inlineStr"/>
    </row>
    <row r="234" ht="58.5" customHeight="1" s="151">
      <c r="A234" s="176" t="n">
        <v>771374</v>
      </c>
      <c r="B234" s="124">
        <f>CHOOSE(_xlfn.NUMBERVALUE(MID(H234,6,2)),"فروردین","اردیبهشت","خرداد","تیر","مرداد","شهریور","مهر","آبان","آذر","دی","بهمن","اسفند")</f>
        <v/>
      </c>
      <c r="C234" s="176" t="inlineStr">
        <is>
          <t>ماشين ظرفشويي</t>
        </is>
      </c>
      <c r="D234" s="176" t="inlineStr">
        <is>
          <t>CDW-H15V</t>
        </is>
      </c>
      <c r="E234" s="176" t="inlineStr">
        <is>
          <t>52220002N01848</t>
        </is>
      </c>
      <c r="F234" s="173" t="inlineStr">
        <is>
          <t>جمع شدن آب زير محصول**اياب و ذهاب به عهده مشتري</t>
        </is>
      </c>
      <c r="G234" s="124" t="inlineStr">
        <is>
          <t>نشتي از شيلنگ ورودي</t>
        </is>
      </c>
      <c r="H234" s="176" t="inlineStr">
        <is>
          <t>1405/02/12</t>
        </is>
      </c>
      <c r="I234" s="124" t="inlineStr">
        <is>
          <t>1403/11/16</t>
        </is>
      </c>
      <c r="J234" s="124" t="inlineStr">
        <is>
          <t>1404/02/09</t>
        </is>
      </c>
      <c r="K234" s="177">
        <f>IFERROR(VLOOKUP(LEFT(H234,7),'تبدیل تاریخ'!$A$2:$B$73,2,FALSE())+VALUE(RIGHT(H234,2))-1,"")</f>
        <v/>
      </c>
      <c r="L234" s="177">
        <f>IFERROR(VLOOKUP(LEFT(I234,7),'تبدیل تاریخ'!$A$2:$B$73,2,FALSE())+VALUE(RIGHT(I234,2))-1,"")</f>
        <v/>
      </c>
      <c r="M234" s="177">
        <f>IF(J234="","",IFERROR(VLOOKUP(LEFT(J234,7),'تبدیل تاریخ'!$A$2:$B$73,2,FALSE())+VALUE(RIGHT(J234,2))-1,""))</f>
        <v/>
      </c>
      <c r="N234" s="124">
        <f>IF(OR(K234="",M234=""),"",CEILING((K234-M234)/30,1))</f>
        <v/>
      </c>
      <c r="O234" s="124">
        <f>IF(OR(ISNUMBER(SEARCH("بدون مورد",G234)),ISNUMBER(SEARCH("غير گارانتي",G234)),ISNUMBER(SEARCH("غیر گارانتی",G234)),ISNUMBER(SEARCH("بدون اجرت",G234)),ISNUMBER(SEARCH("فيلتر",G234)),ISNUMBER(SEARCH("فیلتر",G234))),"غیرگارانتی/بدون قطعه",IF(OR(ISNUMBER(SEARCH("ريست",G234)),ISNUMBER(SEARCH("ریست",G234))),"ریست نرم‌افزاری (بدون قطعه)",IF(OR(ISNUMBER(SEARCH("تعویض محصول",G234)),ISNUMBER(SEARCH("تعویض دستگاه",G234))),"تعویض کامل دستگاه (Replacement)",IF(ISNUMBER(SEARCH("پمپ",G234)),IF(ISNUMBER(SEARCH("نشت",G234)),"نشتی - پمپ تخلیه (تعمیر/آب‌بندی)","خرابی - پمپ تخلیه (تعویض)"),IF(ISNUMBER(SEARCH("کمپرسور",G234)),"خرابی - کمپرسور (تعویض)",IF(ISNUMBER(SEARCH("کمک فنر",G234)),"خرابی - کمک فنر (تعویض)",IF(ISNUMBER(SEARCH("لولا",G234)),"مکانیزم درب - لولا (تعویض)",IF(OR(ISNUMBER(SEARCH("قلاب",G234)),ISNUMBER(SEARCH("ميکروسوئيچ",G234)),ISNUMBER(SEARCH("میکروسوئیچ",G234))),"مکانیزم درب - میکروسوئیچ/قلاب (تعویض/تنظیم)",IF(ISNUMBER(SEARCH("زبانه",G234)),"مکانیزم درب - زبانه (تعویض)",IF(OR(ISNUMBER(SEARCH("شيلنگ",G234)),ISNUMBER(SEARCH("شیلنگ",G234))),IF(OR(ISNUMBER(SEARCH("نشتی",G234)),ISNUMBER(SEARCH("نشتي",G234))),"نشتی - شیلنگ (تعمیر/آب‌بندی)",IF(OR(ISNUMBER(SEARCH("يخ",G234)),ISNUMBER(SEARCH("یخ",G234))),"شیلنگ یخساز - یخ‌زدگی (بازبینی)","شیلنگ - برخورد/لهیدگی (بازبینی)")),IF(OR(ISNUMBER(SEARCH("تنظيم ديسپل",G234)),ISNUMBER(SEARCH("تنظیم دیسپل",G234)),ISNUMBER(SEARCH("تنظيم صفحه نمايش",G234)),ISNUMBER(SEARCH("تنظیم صفحه نمایش",G234))),"تنظیم - تنظیمات دستگاه/دیسپلی (تعمیر)",IF(OR(ISNUMBER(SEARCH("برد",G234)),ISNUMBER(SEARCH("سوکت",G234)),ISNUMBER(SEARCH("ديسپل",G234)),ISNUMBER(SEARCH("دیسپل",G234))),"خرابی - برد الکترونیک (تعویض)",IF(OR(ISNUMBER(SEARCH("يخساز",G234)),ISNUMBER(SEARCH("یخساز",G234)),ISNUMBER(SEARCH("دمپر",G234))),IF(OR(ISNUMBER(SEARCH("خرابی",G234)),ISNUMBER(SEARCH("خراب",G234)),ISNUMBER(SEARCH("عدم کارکرد",G234)),ISNUMBER(SEARCH("عدم عملکرد",G234))),"یخساز - خرابی موتور/سنسور/برد (تعویض)","یخساز - تنظیم/عایق (تعمیر)"),IF(OR(ISNUMBER(SEARCH("لاستيک",G234)),ISNUMBER(SEARCH("لاستیک",G234))),"لاستیک درزگیر - دفرمگی/پارگی (تعویض)",IF(OR(ISNUMBER(SEARCH("گسکت",G234)),ISNUMBER(SEARCH("گسگت",G234))),"لاستیک درزگیر - دفرمگی/پارگی (تعویض)",IF(ISNUMBER(SEARCH("مخزن نمک",G234)),"نشتی - درب مخزن نمک (تعمیر/آب‌بندی)",IF(ISNUMBER(SEARCH("براکت",G234)),"نشتی - براکت ریل (تعمیر/آب‌بندی)",IF(ISNUMBER(SEARCH("جاپودر",G234)),"نشتی - جاپودری (تعمیر/آب‌بندی)",IF(ISNUMBER(SEARCH("مقسم",G234)),"نشتی - مقسم آب (تعمیر/آب‌بندی)",IF(OR(ISNUMBER(SEARCH("سنسور دما",G234)),ISNUMBER(SEARCH("ترموستات",G234))),"خرابی - ترموستات (تعویض)",IF(OR(ISNUMBER(SEARCH("هيدروستات",G234)),ISNUMBER(SEARCH("هیدروستات",G234))),"خرابی - هیدروستات (تعویض)",IF(OR(ISNUMBER(SEARCH("بلبرينگ",G234)),ISNUMBER(SEARCH("بلبرینگ",G234))),"خرابی - بلبرینگ (تعویض)",IF(OR(ISNUMBER(SEARCH("شيربرق",G234)),ISNUMBER(SEARCH("شیربرق",G234))),"خرابی - شیربرقی (تعویض)",IF(OR(ISNUMBER(SEARCH("واتر جت",G234)),ISNUMBER(SEARCH("واترجت",G234))),"خرابی - واترجت (تعویض)",IF(OR(ISNUMBER(SEARCH("سيم",G234)),ISNUMBER(SEARCH("سیم",G234)),ISNUMBER(SEARCH("اتصال",G234))),"سیم‌کشی/اتصالات (تعویض/بازبینی)",IF(OR(ISNUMBER(SEARCH("تصوير",G234)),ISNUMBER(SEARCH("تصویر",G234))),"برد نمایش تلویزیون (تعویض)",IF(OR(ISNUMBER(SEARCH("ريموت",G234)),ISNUMBER(SEARCH("ریموت",G234))),"ریموت کنترل (تعویض/تعمیر)",IF(OR(ISNUMBER(SEARCH("ال اي دي",G234)),ISNUMBER(SEARCH("ال ای دی",G234)),ISNUMBER(SEARCH("LED",G234))),"خرابی - لامپ/LED داخلی (تعویض)",IF(ISNUMBER(SEARCH("زنگ زدگ",G234)),"زنگ‌زدگی بدنه/قطعه (تعویض)",IF(OR(ISNUMBER(SEARCH("قطعات تزئين",G234)),ISNUMBER(SEARCH("قطعات تزئین",G234))),"قطعات تزئینی - شکستگی/کسری (تعویض)",IF(ISNUMBER(SEARCH("سبد",G234)),"سبد ظرفشویی - شکستگی (تعویض)",IF(ISNUMBER(SEARCH("تاب درام",G234)),"خرابی - تاب برداشتن درام (تعویض)",IF(ISNUMBER(SEARCH("درام",G234)),"خرابی - سایر ایراد درام (تعویض)",IF(ISNUMBER(SEARCH("موتور",G234)),"خرابی - موتور (تعویض)",IF(ISNUMBER(SEARCH("تسمه",G234)),"خرابی - تسمه (تعویض)",IF(OR(ISNUMBER(SEARCH("پيچ ولوم",G234)),ISNUMBER(SEARCH("پیچ ولوم",G234))),"تنظیم - پیچ ولوم/دکمه (تعمیر)",IF(OR(ISNUMBER(SEARCH("کسري قطعات",G234)),ISNUMBER(SEARCH("کسری قطعات",G234))),"کسری قطعات تزئینی (تعویض)",IF(ISNUMBER(SEARCH("پرچ",G234)),"پرچ/بدنه کابین(تعمیر)",IF(OR(ISNUMBER(SEARCH("نشت",G234)),ISNUMBER(SEARCH("آبريزش",G234)),ISNUMBER(SEARCH("آبریزش",G234))),"نشتی آب - محل نامشخص (نیازمند بازدید)",IF(ISNUMBER(SEARCH("درب",G234)),"سایر اجزای درب (بازبینی)",IF(ISNUMBER(SEARCH("ضربه",G234)),"بدنه/کابین - ضربه (بازبینی/تعویض پنل)",IF(ISNUMBER(SEARCH("تراز",G234)),"تراز/لرزش - نصب (رگلاژ پایه)",IF(OR(ISNUMBER(SEARCH("تعویض",G234)),ISNUMBER(SEARCH("تعويض",G234))),"تعویض کامل دستگاه (Replacement)","سایر (نیازمند بررسی دستی)")))))))))))))))))))))))))))))))))))))))))))</f>
        <v/>
      </c>
      <c r="P234" s="124" t="inlineStr">
        <is>
          <t>نشتی پمپ ظرفشویی</t>
        </is>
      </c>
      <c r="Q234" s="124">
        <f>IF(ISNUMBER(SEARCH("عهده شرکت",F234)),"شرکت",IF(ISNUMBER(SEARCH("عهده مشتري",F234)),"مشتری",IF(ISNUMBER(SEARCH("عهده مشتری",F234)),"مشتری","نامشخص")))</f>
        <v/>
      </c>
      <c r="R234" s="178">
        <f>IF(O234="تعویض کامل دستگاه (Replacement)",IF(SUMIF('قیمت‌ها و مفروضات'!$A$9:$A$13,C234,'قیمت‌ها و مفروضات'!$C$9:$C$13)&lt;&gt;0,SUMIF('قیمت‌ها و مفروضات'!$A$9:$A$13,C234,'قیمت‌ها و مفروضات'!$C$9:$C$13),SUMIF('قیمت‌ها و مفروضات'!$A$9:$A$13,C234,'قیمت‌ها و مفروضات'!$B$9:$B$13)),IF(SUMIF('قیمت‌ها و مفروضات'!$A$18:$A$63,O234,'قیمت‌ها و مفروضات'!$C$18:$C$63)&lt;&gt;0,SUMIF('قیمت‌ها و مفروضات'!$A$18:$A$63,O234,'قیمت‌ها و مفروضات'!$C$18:$C$63),SUMIF('قیمت‌ها و مفروضات'!$A$18:$A$63,O234,'قیمت‌ها و مفروضات'!$B$18:$B$63)))</f>
        <v/>
      </c>
      <c r="S234" s="178">
        <f>'قیمت‌ها و مفروضات'!$B$3+'قیمت‌ها و مفروضات'!$B$4</f>
        <v/>
      </c>
      <c r="T234" s="178">
        <f>R234+S234</f>
        <v/>
      </c>
      <c r="U234" s="178">
        <f>IF(COUNTIF($E$2:E365,E234)&gt;1,"بله (تکراری)","خیر")</f>
        <v/>
      </c>
      <c r="V234" s="178">
        <f>IF(U234="بله (تکراری)",S234,0)</f>
        <v/>
      </c>
      <c r="W234" s="208" t="inlineStr"/>
      <c r="X234" s="208" t="inlineStr"/>
    </row>
    <row r="235" ht="58.5" customHeight="1" s="151">
      <c r="A235" s="176" t="n">
        <v>510016831</v>
      </c>
      <c r="B235" s="124">
        <f>CHOOSE(_xlfn.NUMBERVALUE(MID(H235,6,2)),"فروردین","اردیبهشت","خرداد","تیر","مرداد","شهریور","مهر","آبان","آذر","دی","بهمن","اسفند")</f>
        <v/>
      </c>
      <c r="C235" s="176" t="inlineStr">
        <is>
          <t>ماشين لباسشويي</t>
        </is>
      </c>
      <c r="D235" s="176" t="inlineStr">
        <is>
          <t>CWM-BMW8T2</t>
        </is>
      </c>
      <c r="E235" s="176" t="inlineStr">
        <is>
          <t>52210010N00834</t>
        </is>
      </c>
      <c r="F235" s="173" t="inlineStr">
        <is>
          <t>لرزش و حرکت محصول**اياب و ذهاب به عهده شرکت</t>
        </is>
      </c>
      <c r="G235" s="124" t="inlineStr">
        <is>
          <t>تراز پايه تنظيم</t>
        </is>
      </c>
      <c r="H235" s="176" t="inlineStr">
        <is>
          <t>1405/02/13</t>
        </is>
      </c>
      <c r="I235" s="124" t="inlineStr">
        <is>
          <t>1404/02/17</t>
        </is>
      </c>
      <c r="J235" s="124" t="inlineStr">
        <is>
          <t>1404/02/22</t>
        </is>
      </c>
      <c r="K235" s="177">
        <f>IFERROR(VLOOKUP(LEFT(H235,7),'تبدیل تاریخ'!$A$2:$B$73,2,FALSE())+VALUE(RIGHT(H235,2))-1,"")</f>
        <v/>
      </c>
      <c r="L235" s="177">
        <f>IFERROR(VLOOKUP(LEFT(I235,7),'تبدیل تاریخ'!$A$2:$B$73,2,FALSE())+VALUE(RIGHT(I235,2))-1,"")</f>
        <v/>
      </c>
      <c r="M235" s="177">
        <f>IF(J235="","",IFERROR(VLOOKUP(LEFT(J235,7),'تبدیل تاریخ'!$A$2:$B$73,2,FALSE())+VALUE(RIGHT(J235,2))-1,""))</f>
        <v/>
      </c>
      <c r="N235" s="124">
        <f>IF(OR(K235="",M235=""),"",CEILING((K235-M235)/30,1))</f>
        <v/>
      </c>
      <c r="O235" s="124">
        <f>IF(OR(ISNUMBER(SEARCH("بدون مورد",G235)),ISNUMBER(SEARCH("غير گارانتي",G235)),ISNUMBER(SEARCH("غیر گارانتی",G235)),ISNUMBER(SEARCH("بدون اجرت",G235)),ISNUMBER(SEARCH("فيلتر",G235)),ISNUMBER(SEARCH("فیلتر",G235))),"غیرگارانتی/بدون قطعه",IF(OR(ISNUMBER(SEARCH("ريست",G235)),ISNUMBER(SEARCH("ریست",G235))),"ریست نرم‌افزاری (بدون قطعه)",IF(OR(ISNUMBER(SEARCH("تعویض محصول",G235)),ISNUMBER(SEARCH("تعویض دستگاه",G235))),"تعویض کامل دستگاه (Replacement)",IF(ISNUMBER(SEARCH("پمپ",G235)),IF(ISNUMBER(SEARCH("نشت",G235)),"نشتی - پمپ تخلیه (تعمیر/آب‌بندی)","خرابی - پمپ تخلیه (تعویض)"),IF(ISNUMBER(SEARCH("کمپرسور",G235)),"خرابی - کمپرسور (تعویض)",IF(ISNUMBER(SEARCH("کمک فنر",G235)),"خرابی - کمک فنر (تعویض)",IF(ISNUMBER(SEARCH("لولا",G235)),"مکانیزم درب - لولا (تعویض)",IF(OR(ISNUMBER(SEARCH("قلاب",G235)),ISNUMBER(SEARCH("ميکروسوئيچ",G235)),ISNUMBER(SEARCH("میکروسوئیچ",G235))),"مکانیزم درب - میکروسوئیچ/قلاب (تعویض/تنظیم)",IF(ISNUMBER(SEARCH("زبانه",G235)),"مکانیزم درب - زبانه (تعویض)",IF(OR(ISNUMBER(SEARCH("شيلنگ",G235)),ISNUMBER(SEARCH("شیلنگ",G235))),IF(OR(ISNUMBER(SEARCH("نشتی",G235)),ISNUMBER(SEARCH("نشتي",G235))),"نشتی - شیلنگ (تعمیر/آب‌بندی)",IF(OR(ISNUMBER(SEARCH("يخ",G235)),ISNUMBER(SEARCH("یخ",G235))),"شیلنگ یخساز - یخ‌زدگی (بازبینی)","شیلنگ - برخورد/لهیدگی (بازبینی)")),IF(OR(ISNUMBER(SEARCH("تنظيم ديسپل",G235)),ISNUMBER(SEARCH("تنظیم دیسپل",G235)),ISNUMBER(SEARCH("تنظيم صفحه نمايش",G235)),ISNUMBER(SEARCH("تنظیم صفحه نمایش",G235))),"تنظیم - تنظیمات دستگاه/دیسپلی (تعمیر)",IF(OR(ISNUMBER(SEARCH("برد",G235)),ISNUMBER(SEARCH("سوکت",G235)),ISNUMBER(SEARCH("ديسپل",G235)),ISNUMBER(SEARCH("دیسپل",G235))),"خرابی - برد الکترونیک (تعویض)",IF(OR(ISNUMBER(SEARCH("يخساز",G235)),ISNUMBER(SEARCH("یخساز",G235)),ISNUMBER(SEARCH("دمپر",G235))),IF(OR(ISNUMBER(SEARCH("خرابی",G235)),ISNUMBER(SEARCH("خراب",G235)),ISNUMBER(SEARCH("عدم کارکرد",G235)),ISNUMBER(SEARCH("عدم عملکرد",G235))),"یخساز - خرابی موتور/سنسور/برد (تعویض)","یخساز - تنظیم/عایق (تعمیر)"),IF(OR(ISNUMBER(SEARCH("لاستيک",G235)),ISNUMBER(SEARCH("لاستیک",G235))),"لاستیک درزگیر - دفرمگی/پارگی (تعویض)",IF(OR(ISNUMBER(SEARCH("گسکت",G235)),ISNUMBER(SEARCH("گسگت",G235))),"لاستیک درزگیر - دفرمگی/پارگی (تعویض)",IF(ISNUMBER(SEARCH("مخزن نمک",G235)),"نشتی - درب مخزن نمک (تعمیر/آب‌بندی)",IF(ISNUMBER(SEARCH("براکت",G235)),"نشتی - براکت ریل (تعمیر/آب‌بندی)",IF(ISNUMBER(SEARCH("جاپودر",G235)),"نشتی - جاپودری (تعمیر/آب‌بندی)",IF(ISNUMBER(SEARCH("مقسم",G235)),"نشتی - مقسم آب (تعمیر/آب‌بندی)",IF(OR(ISNUMBER(SEARCH("سنسور دما",G235)),ISNUMBER(SEARCH("ترموستات",G235))),"خرابی - ترموستات (تعویض)",IF(OR(ISNUMBER(SEARCH("هيدروستات",G235)),ISNUMBER(SEARCH("هیدروستات",G235))),"خرابی - هیدروستات (تعویض)",IF(OR(ISNUMBER(SEARCH("بلبرينگ",G235)),ISNUMBER(SEARCH("بلبرینگ",G235))),"خرابی - بلبرینگ (تعویض)",IF(OR(ISNUMBER(SEARCH("شيربرق",G235)),ISNUMBER(SEARCH("شیربرق",G235))),"خرابی - شیربرقی (تعویض)",IF(OR(ISNUMBER(SEARCH("واتر جت",G235)),ISNUMBER(SEARCH("واترجت",G235))),"خرابی - واترجت (تعویض)",IF(OR(ISNUMBER(SEARCH("سيم",G235)),ISNUMBER(SEARCH("سیم",G235)),ISNUMBER(SEARCH("اتصال",G235))),"سیم‌کشی/اتصالات (تعویض/بازبینی)",IF(OR(ISNUMBER(SEARCH("تصوير",G235)),ISNUMBER(SEARCH("تصویر",G235))),"برد نمایش تلویزیون (تعویض)",IF(OR(ISNUMBER(SEARCH("ريموت",G235)),ISNUMBER(SEARCH("ریموت",G235))),"ریموت کنترل (تعویض/تعمیر)",IF(OR(ISNUMBER(SEARCH("ال اي دي",G235)),ISNUMBER(SEARCH("ال ای دی",G235)),ISNUMBER(SEARCH("LED",G235))),"خرابی - لامپ/LED داخلی (تعویض)",IF(ISNUMBER(SEARCH("زنگ زدگ",G235)),"زنگ‌زدگی بدنه/قطعه (تعویض)",IF(OR(ISNUMBER(SEARCH("قطعات تزئين",G235)),ISNUMBER(SEARCH("قطعات تزئین",G235))),"قطعات تزئینی - شکستگی/کسری (تعویض)",IF(ISNUMBER(SEARCH("سبد",G235)),"سبد ظرفشویی - شکستگی (تعویض)",IF(ISNUMBER(SEARCH("تاب درام",G235)),"خرابی - تاب برداشتن درام (تعویض)",IF(ISNUMBER(SEARCH("درام",G235)),"خرابی - سایر ایراد درام (تعویض)",IF(ISNUMBER(SEARCH("موتور",G235)),"خرابی - موتور (تعویض)",IF(ISNUMBER(SEARCH("تسمه",G235)),"خرابی - تسمه (تعویض)",IF(OR(ISNUMBER(SEARCH("پيچ ولوم",G235)),ISNUMBER(SEARCH("پیچ ولوم",G235))),"تنظیم - پیچ ولوم/دکمه (تعمیر)",IF(OR(ISNUMBER(SEARCH("کسري قطعات",G235)),ISNUMBER(SEARCH("کسری قطعات",G235))),"کسری قطعات تزئینی (تعویض)",IF(ISNUMBER(SEARCH("پرچ",G235)),"پرچ/بدنه کابین(تعمیر)",IF(OR(ISNUMBER(SEARCH("نشت",G235)),ISNUMBER(SEARCH("آبريزش",G235)),ISNUMBER(SEARCH("آبریزش",G235))),"نشتی آب - محل نامشخص (نیازمند بازدید)",IF(ISNUMBER(SEARCH("درب",G235)),"سایر اجزای درب (بازبینی)",IF(ISNUMBER(SEARCH("ضربه",G235)),"بدنه/کابین - ضربه (بازبینی/تعویض پنل)",IF(ISNUMBER(SEARCH("تراز",G235)),"تراز/لرزش - نصب (رگلاژ پایه)",IF(OR(ISNUMBER(SEARCH("تعویض",G235)),ISNUMBER(SEARCH("تعويض",G235))),"تعویض کامل دستگاه (Replacement)","سایر (نیازمند بررسی دستی)")))))))))))))))))))))))))))))))))))))))))))</f>
        <v/>
      </c>
      <c r="P235" s="124" t="inlineStr">
        <is>
          <t>رگلاژ پایه تنظیم لباسشویی</t>
        </is>
      </c>
      <c r="Q235" s="124">
        <f>IF(ISNUMBER(SEARCH("عهده شرکت",F235)),"شرکت",IF(ISNUMBER(SEARCH("عهده مشتري",F235)),"مشتری",IF(ISNUMBER(SEARCH("عهده مشتری",F235)),"مشتری","نامشخص")))</f>
        <v/>
      </c>
      <c r="R235" s="178">
        <f>IF(O235="تعویض کامل دستگاه (Replacement)",IF(SUMIF('قیمت‌ها و مفروضات'!$A$9:$A$13,C235,'قیمت‌ها و مفروضات'!$C$9:$C$13)&lt;&gt;0,SUMIF('قیمت‌ها و مفروضات'!$A$9:$A$13,C235,'قیمت‌ها و مفروضات'!$C$9:$C$13),SUMIF('قیمت‌ها و مفروضات'!$A$9:$A$13,C235,'قیمت‌ها و مفروضات'!$B$9:$B$13)),IF(SUMIF('قیمت‌ها و مفروضات'!$A$18:$A$63,O235,'قیمت‌ها و مفروضات'!$C$18:$C$63)&lt;&gt;0,SUMIF('قیمت‌ها و مفروضات'!$A$18:$A$63,O235,'قیمت‌ها و مفروضات'!$C$18:$C$63),SUMIF('قیمت‌ها و مفروضات'!$A$18:$A$63,O235,'قیمت‌ها و مفروضات'!$B$18:$B$63)))</f>
        <v/>
      </c>
      <c r="S235" s="178">
        <f>'قیمت‌ها و مفروضات'!$B$3+'قیمت‌ها و مفروضات'!$B$4</f>
        <v/>
      </c>
      <c r="T235" s="178">
        <f>R235+S235</f>
        <v/>
      </c>
      <c r="U235" s="178">
        <f>IF(COUNTIF($E$2:E366,E235)&gt;1,"بله (تکراری)","خیر")</f>
        <v/>
      </c>
      <c r="V235" s="178">
        <f>IF(U235="بله (تکراری)",S235,0)</f>
        <v/>
      </c>
      <c r="W235" s="208" t="inlineStr"/>
      <c r="X235" s="208" t="inlineStr"/>
    </row>
    <row r="236" ht="58.5" customHeight="1" s="151">
      <c r="A236" s="176" t="n">
        <v>772120</v>
      </c>
      <c r="B236" s="124">
        <f>CHOOSE(_xlfn.NUMBERVALUE(MID(H236,6,2)),"فروردین","اردیبهشت","خرداد","تیر","مرداد","شهریور","مهر","آبان","آذر","دی","بهمن","اسفند")</f>
        <v/>
      </c>
      <c r="C236" s="176" t="inlineStr">
        <is>
          <t>ماشين لباسشويي</t>
        </is>
      </c>
      <c r="D236" s="176" t="inlineStr">
        <is>
          <t>CWM-BMW9T1</t>
        </is>
      </c>
      <c r="E236" s="176" t="inlineStr">
        <is>
          <t>52210007N01116</t>
        </is>
      </c>
      <c r="F236" s="173" t="inlineStr">
        <is>
          <t>لرزش و حرکت محصول**اياب و ذهاب به عهده شرکت</t>
        </is>
      </c>
      <c r="G236" s="124" t="inlineStr">
        <is>
          <t>تراز پايه تنظيم</t>
        </is>
      </c>
      <c r="H236" s="176" t="inlineStr">
        <is>
          <t>1405/02/13</t>
        </is>
      </c>
      <c r="I236" s="124" t="inlineStr">
        <is>
          <t>1404/04/21</t>
        </is>
      </c>
      <c r="J236" s="124" t="inlineStr">
        <is>
          <t>1404/06/04</t>
        </is>
      </c>
      <c r="K236" s="177">
        <f>IFERROR(VLOOKUP(LEFT(H236,7),'تبدیل تاریخ'!$A$2:$B$73,2,FALSE())+VALUE(RIGHT(H236,2))-1,"")</f>
        <v/>
      </c>
      <c r="L236" s="177">
        <f>IFERROR(VLOOKUP(LEFT(I236,7),'تبدیل تاریخ'!$A$2:$B$73,2,FALSE())+VALUE(RIGHT(I236,2))-1,"")</f>
        <v/>
      </c>
      <c r="M236" s="177">
        <f>IF(J236="","",IFERROR(VLOOKUP(LEFT(J236,7),'تبدیل تاریخ'!$A$2:$B$73,2,FALSE())+VALUE(RIGHT(J236,2))-1,""))</f>
        <v/>
      </c>
      <c r="N236" s="124">
        <f>IF(OR(K236="",M236=""),"",CEILING((K236-M236)/30,1))</f>
        <v/>
      </c>
      <c r="O236" s="124">
        <f>IF(OR(ISNUMBER(SEARCH("بدون مورد",G236)),ISNUMBER(SEARCH("غير گارانتي",G236)),ISNUMBER(SEARCH("غیر گارانتی",G236)),ISNUMBER(SEARCH("بدون اجرت",G236)),ISNUMBER(SEARCH("فيلتر",G236)),ISNUMBER(SEARCH("فیلتر",G236))),"غیرگارانتی/بدون قطعه",IF(OR(ISNUMBER(SEARCH("ريست",G236)),ISNUMBER(SEARCH("ریست",G236))),"ریست نرم‌افزاری (بدون قطعه)",IF(OR(ISNUMBER(SEARCH("تعویض محصول",G236)),ISNUMBER(SEARCH("تعویض دستگاه",G236))),"تعویض کامل دستگاه (Replacement)",IF(ISNUMBER(SEARCH("پمپ",G236)),IF(ISNUMBER(SEARCH("نشت",G236)),"نشتی - پمپ تخلیه (تعمیر/آب‌بندی)","خرابی - پمپ تخلیه (تعویض)"),IF(ISNUMBER(SEARCH("کمپرسور",G236)),"خرابی - کمپرسور (تعویض)",IF(ISNUMBER(SEARCH("کمک فنر",G236)),"خرابی - کمک فنر (تعویض)",IF(ISNUMBER(SEARCH("لولا",G236)),"مکانیزم درب - لولا (تعویض)",IF(OR(ISNUMBER(SEARCH("قلاب",G236)),ISNUMBER(SEARCH("ميکروسوئيچ",G236)),ISNUMBER(SEARCH("میکروسوئیچ",G236))),"مکانیزم درب - میکروسوئیچ/قلاب (تعویض/تنظیم)",IF(ISNUMBER(SEARCH("زبانه",G236)),"مکانیزم درب - زبانه (تعویض)",IF(OR(ISNUMBER(SEARCH("شيلنگ",G236)),ISNUMBER(SEARCH("شیلنگ",G236))),IF(OR(ISNUMBER(SEARCH("نشتی",G236)),ISNUMBER(SEARCH("نشتي",G236))),"نشتی - شیلنگ (تعمیر/آب‌بندی)",IF(OR(ISNUMBER(SEARCH("يخ",G236)),ISNUMBER(SEARCH("یخ",G236))),"شیلنگ یخساز - یخ‌زدگی (بازبینی)","شیلنگ - برخورد/لهیدگی (بازبینی)")),IF(OR(ISNUMBER(SEARCH("تنظيم ديسپل",G236)),ISNUMBER(SEARCH("تنظیم دیسپل",G236)),ISNUMBER(SEARCH("تنظيم صفحه نمايش",G236)),ISNUMBER(SEARCH("تنظیم صفحه نمایش",G236))),"تنظیم - تنظیمات دستگاه/دیسپلی (تعمیر)",IF(OR(ISNUMBER(SEARCH("برد",G236)),ISNUMBER(SEARCH("سوکت",G236)),ISNUMBER(SEARCH("ديسپل",G236)),ISNUMBER(SEARCH("دیسپل",G236))),"خرابی - برد الکترونیک (تعویض)",IF(OR(ISNUMBER(SEARCH("يخساز",G236)),ISNUMBER(SEARCH("یخساز",G236)),ISNUMBER(SEARCH("دمپر",G236))),IF(OR(ISNUMBER(SEARCH("خرابی",G236)),ISNUMBER(SEARCH("خراب",G236)),ISNUMBER(SEARCH("عدم کارکرد",G236)),ISNUMBER(SEARCH("عدم عملکرد",G236))),"یخساز - خرابی موتور/سنسور/برد (تعویض)","یخساز - تنظیم/عایق (تعمیر)"),IF(OR(ISNUMBER(SEARCH("لاستيک",G236)),ISNUMBER(SEARCH("لاستیک",G236))),"لاستیک درزگیر - دفرمگی/پارگی (تعویض)",IF(OR(ISNUMBER(SEARCH("گسکت",G236)),ISNUMBER(SEARCH("گسگت",G236))),"لاستیک درزگیر - دفرمگی/پارگی (تعویض)",IF(ISNUMBER(SEARCH("مخزن نمک",G236)),"نشتی - درب مخزن نمک (تعمیر/آب‌بندی)",IF(ISNUMBER(SEARCH("براکت",G236)),"نشتی - براکت ریل (تعمیر/آب‌بندی)",IF(ISNUMBER(SEARCH("جاپودر",G236)),"نشتی - جاپودری (تعمیر/آب‌بندی)",IF(ISNUMBER(SEARCH("مقسم",G236)),"نشتی - مقسم آب (تعمیر/آب‌بندی)",IF(OR(ISNUMBER(SEARCH("سنسور دما",G236)),ISNUMBER(SEARCH("ترموستات",G236))),"خرابی - ترموستات (تعویض)",IF(OR(ISNUMBER(SEARCH("هيدروستات",G236)),ISNUMBER(SEARCH("هیدروستات",G236))),"خرابی - هیدروستات (تعویض)",IF(OR(ISNUMBER(SEARCH("بلبرينگ",G236)),ISNUMBER(SEARCH("بلبرینگ",G236))),"خرابی - بلبرینگ (تعویض)",IF(OR(ISNUMBER(SEARCH("شيربرق",G236)),ISNUMBER(SEARCH("شیربرق",G236))),"خرابی - شیربرقی (تعویض)",IF(OR(ISNUMBER(SEARCH("واتر جت",G236)),ISNUMBER(SEARCH("واترجت",G236))),"خرابی - واترجت (تعویض)",IF(OR(ISNUMBER(SEARCH("سيم",G236)),ISNUMBER(SEARCH("سیم",G236)),ISNUMBER(SEARCH("اتصال",G236))),"سیم‌کشی/اتصالات (تعویض/بازبینی)",IF(OR(ISNUMBER(SEARCH("تصوير",G236)),ISNUMBER(SEARCH("تصویر",G236))),"برد نمایش تلویزیون (تعویض)",IF(OR(ISNUMBER(SEARCH("ريموت",G236)),ISNUMBER(SEARCH("ریموت",G236))),"ریموت کنترل (تعویض/تعمیر)",IF(OR(ISNUMBER(SEARCH("ال اي دي",G236)),ISNUMBER(SEARCH("ال ای دی",G236)),ISNUMBER(SEARCH("LED",G236))),"خرابی - لامپ/LED داخلی (تعویض)",IF(ISNUMBER(SEARCH("زنگ زدگ",G236)),"زنگ‌زدگی بدنه/قطعه (تعویض)",IF(OR(ISNUMBER(SEARCH("قطعات تزئين",G236)),ISNUMBER(SEARCH("قطعات تزئین",G236))),"قطعات تزئینی - شکستگی/کسری (تعویض)",IF(ISNUMBER(SEARCH("سبد",G236)),"سبد ظرفشویی - شکستگی (تعویض)",IF(ISNUMBER(SEARCH("تاب درام",G236)),"خرابی - تاب برداشتن درام (تعویض)",IF(ISNUMBER(SEARCH("درام",G236)),"خرابی - سایر ایراد درام (تعویض)",IF(ISNUMBER(SEARCH("موتور",G236)),"خرابی - موتور (تعویض)",IF(ISNUMBER(SEARCH("تسمه",G236)),"خرابی - تسمه (تعویض)",IF(OR(ISNUMBER(SEARCH("پيچ ولوم",G236)),ISNUMBER(SEARCH("پیچ ولوم",G236))),"تنظیم - پیچ ولوم/دکمه (تعمیر)",IF(OR(ISNUMBER(SEARCH("کسري قطعات",G236)),ISNUMBER(SEARCH("کسری قطعات",G236))),"کسری قطعات تزئینی (تعویض)",IF(ISNUMBER(SEARCH("پرچ",G236)),"پرچ/بدنه کابین(تعمیر)",IF(OR(ISNUMBER(SEARCH("نشت",G236)),ISNUMBER(SEARCH("آبريزش",G236)),ISNUMBER(SEARCH("آبریزش",G236))),"نشتی آب - محل نامشخص (نیازمند بازدید)",IF(ISNUMBER(SEARCH("درب",G236)),"سایر اجزای درب (بازبینی)",IF(ISNUMBER(SEARCH("ضربه",G236)),"بدنه/کابین - ضربه (بازبینی/تعویض پنل)",IF(ISNUMBER(SEARCH("تراز",G236)),"تراز/لرزش - نصب (رگلاژ پایه)",IF(OR(ISNUMBER(SEARCH("تعویض",G236)),ISNUMBER(SEARCH("تعويض",G236))),"تعویض کامل دستگاه (Replacement)","سایر (نیازمند بررسی دستی)")))))))))))))))))))))))))))))))))))))))))))</f>
        <v/>
      </c>
      <c r="P236" s="124" t="inlineStr">
        <is>
          <t>رگلاژ پایه تنظیم لباسشویی</t>
        </is>
      </c>
      <c r="Q236" s="124">
        <f>IF(ISNUMBER(SEARCH("عهده شرکت",F236)),"شرکت",IF(ISNUMBER(SEARCH("عهده مشتري",F236)),"مشتری",IF(ISNUMBER(SEARCH("عهده مشتری",F236)),"مشتری","نامشخص")))</f>
        <v/>
      </c>
      <c r="R236" s="178">
        <f>IF(O236="تعویض کامل دستگاه (Replacement)",IF(SUMIF('قیمت‌ها و مفروضات'!$A$9:$A$13,C236,'قیمت‌ها و مفروضات'!$C$9:$C$13)&lt;&gt;0,SUMIF('قیمت‌ها و مفروضات'!$A$9:$A$13,C236,'قیمت‌ها و مفروضات'!$C$9:$C$13),SUMIF('قیمت‌ها و مفروضات'!$A$9:$A$13,C236,'قیمت‌ها و مفروضات'!$B$9:$B$13)),IF(SUMIF('قیمت‌ها و مفروضات'!$A$18:$A$63,O236,'قیمت‌ها و مفروضات'!$C$18:$C$63)&lt;&gt;0,SUMIF('قیمت‌ها و مفروضات'!$A$18:$A$63,O236,'قیمت‌ها و مفروضات'!$C$18:$C$63),SUMIF('قیمت‌ها و مفروضات'!$A$18:$A$63,O236,'قیمت‌ها و مفروضات'!$B$18:$B$63)))</f>
        <v/>
      </c>
      <c r="S236" s="178">
        <f>'قیمت‌ها و مفروضات'!$B$3+'قیمت‌ها و مفروضات'!$B$4</f>
        <v/>
      </c>
      <c r="T236" s="178">
        <f>R236+S236</f>
        <v/>
      </c>
      <c r="U236" s="178">
        <f>IF(COUNTIF($E$2:E367,E236)&gt;1,"بله (تکراری)","خیر")</f>
        <v/>
      </c>
      <c r="V236" s="178">
        <f>IF(U236="بله (تکراری)",S236,0)</f>
        <v/>
      </c>
      <c r="W236" s="208" t="inlineStr"/>
      <c r="X236" s="208" t="inlineStr"/>
    </row>
    <row r="237" ht="58.5" customHeight="1" s="151">
      <c r="A237" s="176" t="n">
        <v>130003757</v>
      </c>
      <c r="B237" s="124">
        <f>CHOOSE(_xlfn.NUMBERVALUE(MID(H237,6,2)),"فروردین","اردیبهشت","خرداد","تیر","مرداد","شهریور","مهر","آبان","آذر","دی","بهمن","اسفند")</f>
        <v/>
      </c>
      <c r="C237" s="176" t="inlineStr">
        <is>
          <t>ماشين ظرفشويي</t>
        </is>
      </c>
      <c r="D237" s="176" t="inlineStr">
        <is>
          <t>CDW-H16T</t>
        </is>
      </c>
      <c r="E237" s="176" t="inlineStr">
        <is>
          <t>52220005N00148</t>
        </is>
      </c>
      <c r="F237" s="173" t="inlineStr">
        <is>
          <t>خطاي F11**اياب و ذهاب به عهده شرکت</t>
        </is>
      </c>
      <c r="G237" s="124" t="inlineStr">
        <is>
          <t xml:space="preserve">نشتی از شیلنگ تخلیه </t>
        </is>
      </c>
      <c r="H237" s="176" t="inlineStr">
        <is>
          <t>1405/02/14</t>
        </is>
      </c>
      <c r="I237" s="124" t="inlineStr">
        <is>
          <t>1403/07/12</t>
        </is>
      </c>
      <c r="J237" s="124" t="inlineStr">
        <is>
          <t>1404/09/26</t>
        </is>
      </c>
      <c r="K237" s="177">
        <f>IFERROR(VLOOKUP(LEFT(H237,7),'تبدیل تاریخ'!$A$2:$B$73,2,FALSE())+VALUE(RIGHT(H237,2))-1,"")</f>
        <v/>
      </c>
      <c r="L237" s="177">
        <f>IFERROR(VLOOKUP(LEFT(I237,7),'تبدیل تاریخ'!$A$2:$B$73,2,FALSE())+VALUE(RIGHT(I237,2))-1,"")</f>
        <v/>
      </c>
      <c r="M237" s="177">
        <f>IF(J237="","",IFERROR(VLOOKUP(LEFT(J237,7),'تبدیل تاریخ'!$A$2:$B$73,2,FALSE())+VALUE(RIGHT(J237,2))-1,""))</f>
        <v/>
      </c>
      <c r="N237" s="124">
        <f>IF(OR(K237="",M237=""),"",CEILING((K237-M237)/30,1))</f>
        <v/>
      </c>
      <c r="O237" s="124">
        <f>IF(OR(ISNUMBER(SEARCH("بدون مورد",G237)),ISNUMBER(SEARCH("غير گارانتي",G237)),ISNUMBER(SEARCH("غیر گارانتی",G237)),ISNUMBER(SEARCH("بدون اجرت",G237)),ISNUMBER(SEARCH("فيلتر",G237)),ISNUMBER(SEARCH("فیلتر",G237))),"غیرگارانتی/بدون قطعه",IF(OR(ISNUMBER(SEARCH("ريست",G237)),ISNUMBER(SEARCH("ریست",G237))),"ریست نرم‌افزاری (بدون قطعه)",IF(OR(ISNUMBER(SEARCH("تعویض محصول",G237)),ISNUMBER(SEARCH("تعویض دستگاه",G237))),"تعویض کامل دستگاه (Replacement)",IF(ISNUMBER(SEARCH("پمپ",G237)),IF(ISNUMBER(SEARCH("نشت",G237)),"نشتی - پمپ تخلیه (تعمیر/آب‌بندی)","خرابی - پمپ تخلیه (تعویض)"),IF(ISNUMBER(SEARCH("کمپرسور",G237)),"خرابی - کمپرسور (تعویض)",IF(ISNUMBER(SEARCH("کمک فنر",G237)),"خرابی - کمک فنر (تعویض)",IF(ISNUMBER(SEARCH("لولا",G237)),"مکانیزم درب - لولا (تعویض)",IF(OR(ISNUMBER(SEARCH("قلاب",G237)),ISNUMBER(SEARCH("ميکروسوئيچ",G237)),ISNUMBER(SEARCH("میکروسوئیچ",G237))),"مکانیزم درب - میکروسوئیچ/قلاب (تعویض/تنظیم)",IF(ISNUMBER(SEARCH("زبانه",G237)),"مکانیزم درب - زبانه (تعویض)",IF(OR(ISNUMBER(SEARCH("شيلنگ",G237)),ISNUMBER(SEARCH("شیلنگ",G237))),IF(OR(ISNUMBER(SEARCH("نشتی",G237)),ISNUMBER(SEARCH("نشتي",G237))),"نشتی - شیلنگ (تعمیر/آب‌بندی)",IF(OR(ISNUMBER(SEARCH("يخ",G237)),ISNUMBER(SEARCH("یخ",G237))),"شیلنگ یخساز - یخ‌زدگی (بازبینی)","شیلنگ - برخورد/لهیدگی (بازبینی)")),IF(OR(ISNUMBER(SEARCH("تنظيم ديسپل",G237)),ISNUMBER(SEARCH("تنظیم دیسپل",G237)),ISNUMBER(SEARCH("تنظيم صفحه نمايش",G237)),ISNUMBER(SEARCH("تنظیم صفحه نمایش",G237))),"تنظیم - تنظیمات دستگاه/دیسپلی (تعمیر)",IF(OR(ISNUMBER(SEARCH("برد",G237)),ISNUMBER(SEARCH("سوکت",G237)),ISNUMBER(SEARCH("ديسپل",G237)),ISNUMBER(SEARCH("دیسپل",G237))),"خرابی - برد الکترونیک (تعویض)",IF(OR(ISNUMBER(SEARCH("يخساز",G237)),ISNUMBER(SEARCH("یخساز",G237)),ISNUMBER(SEARCH("دمپر",G237))),IF(OR(ISNUMBER(SEARCH("خرابی",G237)),ISNUMBER(SEARCH("خراب",G237)),ISNUMBER(SEARCH("عدم کارکرد",G237)),ISNUMBER(SEARCH("عدم عملکرد",G237))),"یخساز - خرابی موتور/سنسور/برد (تعویض)","یخساز - تنظیم/عایق (تعمیر)"),IF(OR(ISNUMBER(SEARCH("لاستيک",G237)),ISNUMBER(SEARCH("لاستیک",G237))),"لاستیک درزگیر - دفرمگی/پارگی (تعویض)",IF(OR(ISNUMBER(SEARCH("گسکت",G237)),ISNUMBER(SEARCH("گسگت",G237))),"لاستیک درزگیر - دفرمگی/پارگی (تعویض)",IF(ISNUMBER(SEARCH("مخزن نمک",G237)),"نشتی - درب مخزن نمک (تعمیر/آب‌بندی)",IF(ISNUMBER(SEARCH("براکت",G237)),"نشتی - براکت ریل (تعمیر/آب‌بندی)",IF(ISNUMBER(SEARCH("جاپودر",G237)),"نشتی - جاپودری (تعمیر/آب‌بندی)",IF(ISNUMBER(SEARCH("مقسم",G237)),"نشتی - مقسم آب (تعمیر/آب‌بندی)",IF(OR(ISNUMBER(SEARCH("سنسور دما",G237)),ISNUMBER(SEARCH("ترموستات",G237))),"خرابی - ترموستات (تعویض)",IF(OR(ISNUMBER(SEARCH("هيدروستات",G237)),ISNUMBER(SEARCH("هیدروستات",G237))),"خرابی - هیدروستات (تعویض)",IF(OR(ISNUMBER(SEARCH("بلبرينگ",G237)),ISNUMBER(SEARCH("بلبرینگ",G237))),"خرابی - بلبرینگ (تعویض)",IF(OR(ISNUMBER(SEARCH("شيربرق",G237)),ISNUMBER(SEARCH("شیربرق",G237))),"خرابی - شیربرقی (تعویض)",IF(OR(ISNUMBER(SEARCH("واتر جت",G237)),ISNUMBER(SEARCH("واترجت",G237))),"خرابی - واترجت (تعویض)",IF(OR(ISNUMBER(SEARCH("سيم",G237)),ISNUMBER(SEARCH("سیم",G237)),ISNUMBER(SEARCH("اتصال",G237))),"سیم‌کشی/اتصالات (تعویض/بازبینی)",IF(OR(ISNUMBER(SEARCH("تصوير",G237)),ISNUMBER(SEARCH("تصویر",G237))),"برد نمایش تلویزیون (تعویض)",IF(OR(ISNUMBER(SEARCH("ريموت",G237)),ISNUMBER(SEARCH("ریموت",G237))),"ریموت کنترل (تعویض/تعمیر)",IF(OR(ISNUMBER(SEARCH("ال اي دي",G237)),ISNUMBER(SEARCH("ال ای دی",G237)),ISNUMBER(SEARCH("LED",G237))),"خرابی - لامپ/LED داخلی (تعویض)",IF(ISNUMBER(SEARCH("زنگ زدگ",G237)),"زنگ‌زدگی بدنه/قطعه (تعویض)",IF(OR(ISNUMBER(SEARCH("قطعات تزئين",G237)),ISNUMBER(SEARCH("قطعات تزئین",G237))),"قطعات تزئینی - شکستگی/کسری (تعویض)",IF(ISNUMBER(SEARCH("سبد",G237)),"سبد ظرفشویی - شکستگی (تعویض)",IF(ISNUMBER(SEARCH("تاب درام",G237)),"خرابی - تاب برداشتن درام (تعویض)",IF(ISNUMBER(SEARCH("درام",G237)),"خرابی - سایر ایراد درام (تعویض)",IF(ISNUMBER(SEARCH("موتور",G237)),"خرابی - موتور (تعویض)",IF(ISNUMBER(SEARCH("تسمه",G237)),"خرابی - تسمه (تعویض)",IF(OR(ISNUMBER(SEARCH("پيچ ولوم",G237)),ISNUMBER(SEARCH("پیچ ولوم",G237))),"تنظیم - پیچ ولوم/دکمه (تعمیر)",IF(OR(ISNUMBER(SEARCH("کسري قطعات",G237)),ISNUMBER(SEARCH("کسری قطعات",G237))),"کسری قطعات تزئینی (تعویض)",IF(ISNUMBER(SEARCH("پرچ",G237)),"پرچ/بدنه کابین(تعمیر)",IF(OR(ISNUMBER(SEARCH("نشت",G237)),ISNUMBER(SEARCH("آبريزش",G237)),ISNUMBER(SEARCH("آبریزش",G237))),"نشتی آب - محل نامشخص (نیازمند بازدید)",IF(ISNUMBER(SEARCH("درب",G237)),"سایر اجزای درب (بازبینی)",IF(ISNUMBER(SEARCH("ضربه",G237)),"بدنه/کابین - ضربه (بازبینی/تعویض پنل)",IF(ISNUMBER(SEARCH("تراز",G237)),"تراز/لرزش - نصب (رگلاژ پایه)",IF(OR(ISNUMBER(SEARCH("تعویض",G237)),ISNUMBER(SEARCH("تعويض",G237))),"تعویض کامل دستگاه (Replacement)","سایر (نیازمند بررسی دستی)")))))))))))))))))))))))))))))))))))))))))))</f>
        <v/>
      </c>
      <c r="P237" s="124" t="inlineStr">
        <is>
          <t>*</t>
        </is>
      </c>
      <c r="Q237" s="124">
        <f>IF(ISNUMBER(SEARCH("عهده شرکت",F237)),"شرکت",IF(ISNUMBER(SEARCH("عهده مشتري",F237)),"مشتری",IF(ISNUMBER(SEARCH("عهده مشتری",F237)),"مشتری","نامشخص")))</f>
        <v/>
      </c>
      <c r="R237" s="178">
        <f>IF(O237="تعویض کامل دستگاه (Replacement)",IF(SUMIF('قیمت‌ها و مفروضات'!$A$9:$A$13,C237,'قیمت‌ها و مفروضات'!$C$9:$C$13)&lt;&gt;0,SUMIF('قیمت‌ها و مفروضات'!$A$9:$A$13,C237,'قیمت‌ها و مفروضات'!$C$9:$C$13),SUMIF('قیمت‌ها و مفروضات'!$A$9:$A$13,C237,'قیمت‌ها و مفروضات'!$B$9:$B$13)),IF(SUMIF('قیمت‌ها و مفروضات'!$A$18:$A$63,O237,'قیمت‌ها و مفروضات'!$C$18:$C$63)&lt;&gt;0,SUMIF('قیمت‌ها و مفروضات'!$A$18:$A$63,O237,'قیمت‌ها و مفروضات'!$C$18:$C$63),SUMIF('قیمت‌ها و مفروضات'!$A$18:$A$63,O237,'قیمت‌ها و مفروضات'!$B$18:$B$63)))</f>
        <v/>
      </c>
      <c r="S237" s="178">
        <f>'قیمت‌ها و مفروضات'!$B$3+'قیمت‌ها و مفروضات'!$B$4</f>
        <v/>
      </c>
      <c r="T237" s="178">
        <f>R237+S237</f>
        <v/>
      </c>
      <c r="U237" s="178">
        <f>IF(COUNTIF($E$2:E368,E237)&gt;1,"بله (تکراری)","خیر")</f>
        <v/>
      </c>
      <c r="V237" s="178">
        <f>IF(U237="بله (تکراری)",S237,0)</f>
        <v/>
      </c>
      <c r="W237" s="208" t="inlineStr"/>
      <c r="X237" s="208" t="inlineStr"/>
    </row>
    <row r="238" ht="58.5" customHeight="1" s="151">
      <c r="A238" s="176" t="n">
        <v>773306</v>
      </c>
      <c r="B238" s="124">
        <f>CHOOSE(_xlfn.NUMBERVALUE(MID(H238,6,2)),"فروردین","اردیبهشت","خرداد","تیر","مرداد","شهریور","مهر","آبان","آذر","دی","بهمن","اسفند")</f>
        <v/>
      </c>
      <c r="C238" s="176" t="inlineStr">
        <is>
          <t>ماشين ظرفشويي</t>
        </is>
      </c>
      <c r="D238" s="176" t="inlineStr">
        <is>
          <t>CDW-H16T</t>
        </is>
      </c>
      <c r="E238" s="176" t="inlineStr">
        <is>
          <t>52220005N04325</t>
        </is>
      </c>
      <c r="F238" s="173" t="inlineStr">
        <is>
          <t>خطاي F54 ** مجدد ** اياب و ذهاب به عهده شرکت</t>
        </is>
      </c>
      <c r="G238" s="124" t="inlineStr">
        <is>
          <t xml:space="preserve">نشتی از شیلنگ تخلیه </t>
        </is>
      </c>
      <c r="H238" s="176" t="inlineStr">
        <is>
          <t>1405/02/16</t>
        </is>
      </c>
      <c r="I238" s="124" t="inlineStr">
        <is>
          <t>1404/08/11</t>
        </is>
      </c>
      <c r="J238" s="124" t="inlineStr">
        <is>
          <t>1404/11/09</t>
        </is>
      </c>
      <c r="K238" s="177">
        <f>IFERROR(VLOOKUP(LEFT(H238,7),'تبدیل تاریخ'!$A$2:$B$73,2,FALSE())+VALUE(RIGHT(H238,2))-1,"")</f>
        <v/>
      </c>
      <c r="L238" s="177">
        <f>IFERROR(VLOOKUP(LEFT(I238,7),'تبدیل تاریخ'!$A$2:$B$73,2,FALSE())+VALUE(RIGHT(I238,2))-1,"")</f>
        <v/>
      </c>
      <c r="M238" s="177">
        <f>IF(J238="","",IFERROR(VLOOKUP(LEFT(J238,7),'تبدیل تاریخ'!$A$2:$B$73,2,FALSE())+VALUE(RIGHT(J238,2))-1,""))</f>
        <v/>
      </c>
      <c r="N238" s="124">
        <f>IF(OR(K238="",M238=""),"",CEILING((K238-M238)/30,1))</f>
        <v/>
      </c>
      <c r="O238" s="124">
        <f>IF(OR(ISNUMBER(SEARCH("بدون مورد",G238)),ISNUMBER(SEARCH("غير گارانتي",G238)),ISNUMBER(SEARCH("غیر گارانتی",G238)),ISNUMBER(SEARCH("بدون اجرت",G238)),ISNUMBER(SEARCH("فيلتر",G238)),ISNUMBER(SEARCH("فیلتر",G238))),"غیرگارانتی/بدون قطعه",IF(OR(ISNUMBER(SEARCH("ريست",G238)),ISNUMBER(SEARCH("ریست",G238))),"ریست نرم‌افزاری (بدون قطعه)",IF(OR(ISNUMBER(SEARCH("تعویض محصول",G238)),ISNUMBER(SEARCH("تعویض دستگاه",G238))),"تعویض کامل دستگاه (Replacement)",IF(ISNUMBER(SEARCH("پمپ",G238)),IF(ISNUMBER(SEARCH("نشت",G238)),"نشتی - پمپ تخلیه (تعمیر/آب‌بندی)","خرابی - پمپ تخلیه (تعویض)"),IF(ISNUMBER(SEARCH("کمپرسور",G238)),"خرابی - کمپرسور (تعویض)",IF(ISNUMBER(SEARCH("کمک فنر",G238)),"خرابی - کمک فنر (تعویض)",IF(ISNUMBER(SEARCH("لولا",G238)),"مکانیزم درب - لولا (تعویض)",IF(OR(ISNUMBER(SEARCH("قلاب",G238)),ISNUMBER(SEARCH("ميکروسوئيچ",G238)),ISNUMBER(SEARCH("میکروسوئیچ",G238))),"مکانیزم درب - میکروسوئیچ/قلاب (تعویض/تنظیم)",IF(ISNUMBER(SEARCH("زبانه",G238)),"مکانیزم درب - زبانه (تعویض)",IF(OR(ISNUMBER(SEARCH("شيلنگ",G238)),ISNUMBER(SEARCH("شیلنگ",G238))),IF(OR(ISNUMBER(SEARCH("نشتی",G238)),ISNUMBER(SEARCH("نشتي",G238))),"نشتی - شیلنگ (تعمیر/آب‌بندی)",IF(OR(ISNUMBER(SEARCH("يخ",G238)),ISNUMBER(SEARCH("یخ",G238))),"شیلنگ یخساز - یخ‌زدگی (بازبینی)","شیلنگ - برخورد/لهیدگی (بازبینی)")),IF(OR(ISNUMBER(SEARCH("تنظيم ديسپل",G238)),ISNUMBER(SEARCH("تنظیم دیسپل",G238)),ISNUMBER(SEARCH("تنظيم صفحه نمايش",G238)),ISNUMBER(SEARCH("تنظیم صفحه نمایش",G238))),"تنظیم - تنظیمات دستگاه/دیسپلی (تعمیر)",IF(OR(ISNUMBER(SEARCH("برد",G238)),ISNUMBER(SEARCH("سوکت",G238)),ISNUMBER(SEARCH("ديسپل",G238)),ISNUMBER(SEARCH("دیسپل",G238))),"خرابی - برد الکترونیک (تعویض)",IF(OR(ISNUMBER(SEARCH("يخساز",G238)),ISNUMBER(SEARCH("یخساز",G238)),ISNUMBER(SEARCH("دمپر",G238))),IF(OR(ISNUMBER(SEARCH("خرابی",G238)),ISNUMBER(SEARCH("خراب",G238)),ISNUMBER(SEARCH("عدم کارکرد",G238)),ISNUMBER(SEARCH("عدم عملکرد",G238))),"یخساز - خرابی موتور/سنسور/برد (تعویض)","یخساز - تنظیم/عایق (تعمیر)"),IF(OR(ISNUMBER(SEARCH("لاستيک",G238)),ISNUMBER(SEARCH("لاستیک",G238))),"لاستیک درزگیر - دفرمگی/پارگی (تعویض)",IF(OR(ISNUMBER(SEARCH("گسکت",G238)),ISNUMBER(SEARCH("گسگت",G238))),"لاستیک درزگیر - دفرمگی/پارگی (تعویض)",IF(ISNUMBER(SEARCH("مخزن نمک",G238)),"نشتی - درب مخزن نمک (تعمیر/آب‌بندی)",IF(ISNUMBER(SEARCH("براکت",G238)),"نشتی - براکت ریل (تعمیر/آب‌بندی)",IF(ISNUMBER(SEARCH("جاپودر",G238)),"نشتی - جاپودری (تعمیر/آب‌بندی)",IF(ISNUMBER(SEARCH("مقسم",G238)),"نشتی - مقسم آب (تعمیر/آب‌بندی)",IF(OR(ISNUMBER(SEARCH("سنسور دما",G238)),ISNUMBER(SEARCH("ترموستات",G238))),"خرابی - ترموستات (تعویض)",IF(OR(ISNUMBER(SEARCH("هيدروستات",G238)),ISNUMBER(SEARCH("هیدروستات",G238))),"خرابی - هیدروستات (تعویض)",IF(OR(ISNUMBER(SEARCH("بلبرينگ",G238)),ISNUMBER(SEARCH("بلبرینگ",G238))),"خرابی - بلبرینگ (تعویض)",IF(OR(ISNUMBER(SEARCH("شيربرق",G238)),ISNUMBER(SEARCH("شیربرق",G238))),"خرابی - شیربرقی (تعویض)",IF(OR(ISNUMBER(SEARCH("واتر جت",G238)),ISNUMBER(SEARCH("واترجت",G238))),"خرابی - واترجت (تعویض)",IF(OR(ISNUMBER(SEARCH("سيم",G238)),ISNUMBER(SEARCH("سیم",G238)),ISNUMBER(SEARCH("اتصال",G238))),"سیم‌کشی/اتصالات (تعویض/بازبینی)",IF(OR(ISNUMBER(SEARCH("تصوير",G238)),ISNUMBER(SEARCH("تصویر",G238))),"برد نمایش تلویزیون (تعویض)",IF(OR(ISNUMBER(SEARCH("ريموت",G238)),ISNUMBER(SEARCH("ریموت",G238))),"ریموت کنترل (تعویض/تعمیر)",IF(OR(ISNUMBER(SEARCH("ال اي دي",G238)),ISNUMBER(SEARCH("ال ای دی",G238)),ISNUMBER(SEARCH("LED",G238))),"خرابی - لامپ/LED داخلی (تعویض)",IF(ISNUMBER(SEARCH("زنگ زدگ",G238)),"زنگ‌زدگی بدنه/قطعه (تعویض)",IF(OR(ISNUMBER(SEARCH("قطعات تزئين",G238)),ISNUMBER(SEARCH("قطعات تزئین",G238))),"قطعات تزئینی - شکستگی/کسری (تعویض)",IF(ISNUMBER(SEARCH("سبد",G238)),"سبد ظرفشویی - شکستگی (تعویض)",IF(ISNUMBER(SEARCH("تاب درام",G238)),"خرابی - تاب برداشتن درام (تعویض)",IF(ISNUMBER(SEARCH("درام",G238)),"خرابی - سایر ایراد درام (تعویض)",IF(ISNUMBER(SEARCH("موتور",G238)),"خرابی - موتور (تعویض)",IF(ISNUMBER(SEARCH("تسمه",G238)),"خرابی - تسمه (تعویض)",IF(OR(ISNUMBER(SEARCH("پيچ ولوم",G238)),ISNUMBER(SEARCH("پیچ ولوم",G238))),"تنظیم - پیچ ولوم/دکمه (تعمیر)",IF(OR(ISNUMBER(SEARCH("کسري قطعات",G238)),ISNUMBER(SEARCH("کسری قطعات",G238))),"کسری قطعات تزئینی (تعویض)",IF(ISNUMBER(SEARCH("پرچ",G238)),"پرچ/بدنه کابین(تعمیر)",IF(OR(ISNUMBER(SEARCH("نشت",G238)),ISNUMBER(SEARCH("آبريزش",G238)),ISNUMBER(SEARCH("آبریزش",G238))),"نشتی آب - محل نامشخص (نیازمند بازدید)",IF(ISNUMBER(SEARCH("درب",G238)),"سایر اجزای درب (بازبینی)",IF(ISNUMBER(SEARCH("ضربه",G238)),"بدنه/کابین - ضربه (بازبینی/تعویض پنل)",IF(ISNUMBER(SEARCH("تراز",G238)),"تراز/لرزش - نصب (رگلاژ پایه)",IF(OR(ISNUMBER(SEARCH("تعویض",G238)),ISNUMBER(SEARCH("تعويض",G238))),"تعویض کامل دستگاه (Replacement)","سایر (نیازمند بررسی دستی)")))))))))))))))))))))))))))))))))))))))))))</f>
        <v/>
      </c>
      <c r="P238" s="124" t="inlineStr">
        <is>
          <t>*</t>
        </is>
      </c>
      <c r="Q238" s="124">
        <f>IF(ISNUMBER(SEARCH("عهده شرکت",F238)),"شرکت",IF(ISNUMBER(SEARCH("عهده مشتري",F238)),"مشتری",IF(ISNUMBER(SEARCH("عهده مشتری",F238)),"مشتری","نامشخص")))</f>
        <v/>
      </c>
      <c r="R238" s="178">
        <f>IF(O238="تعویض کامل دستگاه (Replacement)",IF(SUMIF('قیمت‌ها و مفروضات'!$A$9:$A$13,C238,'قیمت‌ها و مفروضات'!$C$9:$C$13)&lt;&gt;0,SUMIF('قیمت‌ها و مفروضات'!$A$9:$A$13,C238,'قیمت‌ها و مفروضات'!$C$9:$C$13),SUMIF('قیمت‌ها و مفروضات'!$A$9:$A$13,C238,'قیمت‌ها و مفروضات'!$B$9:$B$13)),IF(SUMIF('قیمت‌ها و مفروضات'!$A$18:$A$63,O238,'قیمت‌ها و مفروضات'!$C$18:$C$63)&lt;&gt;0,SUMIF('قیمت‌ها و مفروضات'!$A$18:$A$63,O238,'قیمت‌ها و مفروضات'!$C$18:$C$63),SUMIF('قیمت‌ها و مفروضات'!$A$18:$A$63,O238,'قیمت‌ها و مفروضات'!$B$18:$B$63)))</f>
        <v/>
      </c>
      <c r="S238" s="178">
        <f>'قیمت‌ها و مفروضات'!$B$3+'قیمت‌ها و مفروضات'!$B$4</f>
        <v/>
      </c>
      <c r="T238" s="178">
        <f>R238+S238</f>
        <v/>
      </c>
      <c r="U238" s="178">
        <f>IF(COUNTIF($E$2:E369,E238)&gt;1,"بله (تکراری)","خیر")</f>
        <v/>
      </c>
      <c r="V238" s="178">
        <f>IF(U238="بله (تکراری)",S238,0)</f>
        <v/>
      </c>
      <c r="W238" s="208" t="inlineStr"/>
      <c r="X238" s="208" t="inlineStr"/>
    </row>
    <row r="239" ht="58.5" customHeight="1" s="151">
      <c r="A239" s="176" t="n">
        <v>774233</v>
      </c>
      <c r="B239" s="124">
        <f>CHOOSE(_xlfn.NUMBERVALUE(MID(H239,6,2)),"فروردین","اردیبهشت","خرداد","تیر","مرداد","شهریور","مهر","آبان","آذر","دی","بهمن","اسفند")</f>
        <v/>
      </c>
      <c r="C239" s="176" t="inlineStr">
        <is>
          <t>یخچال ساید‌بای‌ساید</t>
        </is>
      </c>
      <c r="D239" s="176" t="inlineStr">
        <is>
          <t>C2S-29HS1</t>
        </is>
      </c>
      <c r="E239" s="176" t="inlineStr">
        <is>
          <t>52240001N01928</t>
        </is>
      </c>
      <c r="F239" s="173" t="inlineStr">
        <is>
          <t>عدم تخليه يخ به صورت قالبي**اياب و ذهاب به عهده شرکت</t>
        </is>
      </c>
      <c r="G239" s="124" t="inlineStr">
        <is>
          <t>تنظيم تايم آبگيري يخساز - سايد باي سايد</t>
        </is>
      </c>
      <c r="H239" s="176" t="inlineStr">
        <is>
          <t>1405/02/19</t>
        </is>
      </c>
      <c r="I239" s="124" t="inlineStr">
        <is>
          <t>1403/09/08</t>
        </is>
      </c>
      <c r="J239" s="124" t="inlineStr">
        <is>
          <t>1404/05/01</t>
        </is>
      </c>
      <c r="K239" s="177">
        <f>IFERROR(VLOOKUP(LEFT(H239,7),'تبدیل تاریخ'!$A$2:$B$73,2,FALSE())+VALUE(RIGHT(H239,2))-1,"")</f>
        <v/>
      </c>
      <c r="L239" s="177">
        <f>IFERROR(VLOOKUP(LEFT(I239,7),'تبدیل تاریخ'!$A$2:$B$73,2,FALSE())+VALUE(RIGHT(I239,2))-1,"")</f>
        <v/>
      </c>
      <c r="M239" s="177">
        <f>IF(J239="","",IFERROR(VLOOKUP(LEFT(J239,7),'تبدیل تاریخ'!$A$2:$B$73,2,FALSE())+VALUE(RIGHT(J239,2))-1,""))</f>
        <v/>
      </c>
      <c r="N239" s="124">
        <f>IF(OR(K239="",M239=""),"",CEILING((K239-M239)/30,1))</f>
        <v/>
      </c>
      <c r="O239" s="124">
        <f>IF(OR(ISNUMBER(SEARCH("بدون مورد",G239)),ISNUMBER(SEARCH("غير گارانتي",G239)),ISNUMBER(SEARCH("غیر گارانتی",G239)),ISNUMBER(SEARCH("بدون اجرت",G239)),ISNUMBER(SEARCH("فيلتر",G239)),ISNUMBER(SEARCH("فیلتر",G239))),"غیرگارانتی/بدون قطعه",IF(OR(ISNUMBER(SEARCH("ريست",G239)),ISNUMBER(SEARCH("ریست",G239))),"ریست نرم‌افزاری (بدون قطعه)",IF(OR(ISNUMBER(SEARCH("تعویض محصول",G239)),ISNUMBER(SEARCH("تعویض دستگاه",G239))),"تعویض کامل دستگاه (Replacement)",IF(ISNUMBER(SEARCH("پمپ",G239)),IF(ISNUMBER(SEARCH("نشت",G239)),"نشتی - پمپ تخلیه (تعمیر/آب‌بندی)","خرابی - پمپ تخلیه (تعویض)"),IF(ISNUMBER(SEARCH("کمپرسور",G239)),"خرابی - کمپرسور (تعویض)",IF(ISNUMBER(SEARCH("کمک فنر",G239)),"خرابی - کمک فنر (تعویض)",IF(ISNUMBER(SEARCH("لولا",G239)),"مکانیزم درب - لولا (تعویض)",IF(OR(ISNUMBER(SEARCH("قلاب",G239)),ISNUMBER(SEARCH("ميکروسوئيچ",G239)),ISNUMBER(SEARCH("میکروسوئیچ",G239))),"مکانیزم درب - میکروسوئیچ/قلاب (تعویض/تنظیم)",IF(ISNUMBER(SEARCH("زبانه",G239)),"مکانیزم درب - زبانه (تعویض)",IF(OR(ISNUMBER(SEARCH("شيلنگ",G239)),ISNUMBER(SEARCH("شیلنگ",G239))),IF(OR(ISNUMBER(SEARCH("نشتی",G239)),ISNUMBER(SEARCH("نشتي",G239))),"نشتی - شیلنگ (تعمیر/آب‌بندی)",IF(OR(ISNUMBER(SEARCH("يخ",G239)),ISNUMBER(SEARCH("یخ",G239))),"شیلنگ یخساز - یخ‌زدگی (بازبینی)","شیلنگ - برخورد/لهیدگی (بازبینی)")),IF(OR(ISNUMBER(SEARCH("تنظيم ديسپل",G239)),ISNUMBER(SEARCH("تنظیم دیسپل",G239)),ISNUMBER(SEARCH("تنظيم صفحه نمايش",G239)),ISNUMBER(SEARCH("تنظیم صفحه نمایش",G239))),"تنظیم - تنظیمات دستگاه/دیسپلی (تعمیر)",IF(OR(ISNUMBER(SEARCH("برد",G239)),ISNUMBER(SEARCH("سوکت",G239)),ISNUMBER(SEARCH("ديسپل",G239)),ISNUMBER(SEARCH("دیسپل",G239))),"خرابی - برد الکترونیک (تعویض)",IF(OR(ISNUMBER(SEARCH("يخساز",G239)),ISNUMBER(SEARCH("یخساز",G239)),ISNUMBER(SEARCH("دمپر",G239))),IF(OR(ISNUMBER(SEARCH("خرابی",G239)),ISNUMBER(SEARCH("خراب",G239)),ISNUMBER(SEARCH("عدم کارکرد",G239)),ISNUMBER(SEARCH("عدم عملکرد",G239))),"یخساز - خرابی موتور/سنسور/برد (تعویض)","یخساز - تنظیم/عایق (تعمیر)"),IF(OR(ISNUMBER(SEARCH("لاستيک",G239)),ISNUMBER(SEARCH("لاستیک",G239))),"لاستیک درزگیر - دفرمگی/پارگی (تعویض)",IF(OR(ISNUMBER(SEARCH("گسکت",G239)),ISNUMBER(SEARCH("گسگت",G239))),"لاستیک درزگیر - دفرمگی/پارگی (تعویض)",IF(ISNUMBER(SEARCH("مخزن نمک",G239)),"نشتی - درب مخزن نمک (تعمیر/آب‌بندی)",IF(ISNUMBER(SEARCH("براکت",G239)),"نشتی - براکت ریل (تعمیر/آب‌بندی)",IF(ISNUMBER(SEARCH("جاپودر",G239)),"نشتی - جاپودری (تعمیر/آب‌بندی)",IF(ISNUMBER(SEARCH("مقسم",G239)),"نشتی - مقسم آب (تعمیر/آب‌بندی)",IF(OR(ISNUMBER(SEARCH("سنسور دما",G239)),ISNUMBER(SEARCH("ترموستات",G239))),"خرابی - ترموستات (تعویض)",IF(OR(ISNUMBER(SEARCH("هيدروستات",G239)),ISNUMBER(SEARCH("هیدروستات",G239))),"خرابی - هیدروستات (تعویض)",IF(OR(ISNUMBER(SEARCH("بلبرينگ",G239)),ISNUMBER(SEARCH("بلبرینگ",G239))),"خرابی - بلبرینگ (تعویض)",IF(OR(ISNUMBER(SEARCH("شيربرق",G239)),ISNUMBER(SEARCH("شیربرق",G239))),"خرابی - شیربرقی (تعویض)",IF(OR(ISNUMBER(SEARCH("واتر جت",G239)),ISNUMBER(SEARCH("واترجت",G239))),"خرابی - واترجت (تعویض)",IF(OR(ISNUMBER(SEARCH("سيم",G239)),ISNUMBER(SEARCH("سیم",G239)),ISNUMBER(SEARCH("اتصال",G239))),"سیم‌کشی/اتصالات (تعویض/بازبینی)",IF(OR(ISNUMBER(SEARCH("تصوير",G239)),ISNUMBER(SEARCH("تصویر",G239))),"برد نمایش تلویزیون (تعویض)",IF(OR(ISNUMBER(SEARCH("ريموت",G239)),ISNUMBER(SEARCH("ریموت",G239))),"ریموت کنترل (تعویض/تعمیر)",IF(OR(ISNUMBER(SEARCH("ال اي دي",G239)),ISNUMBER(SEARCH("ال ای دی",G239)),ISNUMBER(SEARCH("LED",G239))),"خرابی - لامپ/LED داخلی (تعویض)",IF(ISNUMBER(SEARCH("زنگ زدگ",G239)),"زنگ‌زدگی بدنه/قطعه (تعویض)",IF(OR(ISNUMBER(SEARCH("قطعات تزئين",G239)),ISNUMBER(SEARCH("قطعات تزئین",G239))),"قطعات تزئینی - شکستگی/کسری (تعویض)",IF(ISNUMBER(SEARCH("سبد",G239)),"سبد ظرفشویی - شکستگی (تعویض)",IF(ISNUMBER(SEARCH("تاب درام",G239)),"خرابی - تاب برداشتن درام (تعویض)",IF(ISNUMBER(SEARCH("درام",G239)),"خرابی - سایر ایراد درام (تعویض)",IF(ISNUMBER(SEARCH("موتور",G239)),"خرابی - موتور (تعویض)",IF(ISNUMBER(SEARCH("تسمه",G239)),"خرابی - تسمه (تعویض)",IF(OR(ISNUMBER(SEARCH("پيچ ولوم",G239)),ISNUMBER(SEARCH("پیچ ولوم",G239))),"تنظیم - پیچ ولوم/دکمه (تعمیر)",IF(OR(ISNUMBER(SEARCH("کسري قطعات",G239)),ISNUMBER(SEARCH("کسری قطعات",G239))),"کسری قطعات تزئینی (تعویض)",IF(ISNUMBER(SEARCH("پرچ",G239)),"پرچ/بدنه کابین(تعمیر)",IF(OR(ISNUMBER(SEARCH("نشت",G239)),ISNUMBER(SEARCH("آبريزش",G239)),ISNUMBER(SEARCH("آبریزش",G239))),"نشتی آب - محل نامشخص (نیازمند بازدید)",IF(ISNUMBER(SEARCH("درب",G239)),"سایر اجزای درب (بازبینی)",IF(ISNUMBER(SEARCH("ضربه",G239)),"بدنه/کابین - ضربه (بازبینی/تعویض پنل)",IF(ISNUMBER(SEARCH("تراز",G239)),"تراز/لرزش - نصب (رگلاژ پایه)",IF(OR(ISNUMBER(SEARCH("تعویض",G239)),ISNUMBER(SEARCH("تعويض",G239))),"تعویض کامل دستگاه (Replacement)","سایر (نیازمند بررسی دستی)")))))))))))))))))))))))))))))))))))))))))))</f>
        <v/>
      </c>
      <c r="P239" s="124" t="inlineStr">
        <is>
          <t>*</t>
        </is>
      </c>
      <c r="Q239" s="124">
        <f>IF(ISNUMBER(SEARCH("عهده شرکت",F239)),"شرکت",IF(ISNUMBER(SEARCH("عهده مشتري",F239)),"مشتری",IF(ISNUMBER(SEARCH("عهده مشتری",F239)),"مشتری","نامشخص")))</f>
        <v/>
      </c>
      <c r="R239" s="178">
        <f>IF(O239="تعویض کامل دستگاه (Replacement)",IF(SUMIF('قیمت‌ها و مفروضات'!$A$9:$A$13,C239,'قیمت‌ها و مفروضات'!$C$9:$C$13)&lt;&gt;0,SUMIF('قیمت‌ها و مفروضات'!$A$9:$A$13,C239,'قیمت‌ها و مفروضات'!$C$9:$C$13),SUMIF('قیمت‌ها و مفروضات'!$A$9:$A$13,C239,'قیمت‌ها و مفروضات'!$B$9:$B$13)),IF(SUMIF('قیمت‌ها و مفروضات'!$A$18:$A$63,O239,'قیمت‌ها و مفروضات'!$C$18:$C$63)&lt;&gt;0,SUMIF('قیمت‌ها و مفروضات'!$A$18:$A$63,O239,'قیمت‌ها و مفروضات'!$C$18:$C$63),SUMIF('قیمت‌ها و مفروضات'!$A$18:$A$63,O239,'قیمت‌ها و مفروضات'!$B$18:$B$63)))</f>
        <v/>
      </c>
      <c r="S239" s="178">
        <f>'قیمت‌ها و مفروضات'!$B$3+'قیمت‌ها و مفروضات'!$B$4</f>
        <v/>
      </c>
      <c r="T239" s="178">
        <f>R239+S239</f>
        <v/>
      </c>
      <c r="U239" s="178">
        <f>IF(COUNTIF($E$2:E370,E239)&gt;1,"بله (تکراری)","خیر")</f>
        <v/>
      </c>
      <c r="V239" s="178">
        <f>IF(U239="بله (تکراری)",S239,0)</f>
        <v/>
      </c>
      <c r="W239" s="208" t="inlineStr"/>
      <c r="X239" s="208" t="inlineStr"/>
    </row>
    <row r="240" ht="58.5" customHeight="1" s="151">
      <c r="A240" s="176" t="n">
        <v>774240</v>
      </c>
      <c r="B240" s="124">
        <f>CHOOSE(_xlfn.NUMBERVALUE(MID(H240,6,2)),"فروردین","اردیبهشت","خرداد","تیر","مرداد","شهریور","مهر","آبان","آذر","دی","بهمن","اسفند")</f>
        <v/>
      </c>
      <c r="C240" s="176" t="inlineStr">
        <is>
          <t>ماشين لباسشويي</t>
        </is>
      </c>
      <c r="D240" s="176" t="inlineStr">
        <is>
          <t>CWM-BMW8T1</t>
        </is>
      </c>
      <c r="E240" s="176" t="inlineStr">
        <is>
          <t>52210006N01067</t>
        </is>
      </c>
      <c r="F240" s="173" t="inlineStr">
        <is>
          <t>بسته نشدن درب**اياب و ذهاب به عهده شرکت</t>
        </is>
      </c>
      <c r="G240" s="124" t="inlineStr">
        <is>
          <t>اصلاح سوکت میکروسوئیچ</t>
        </is>
      </c>
      <c r="H240" s="176" t="inlineStr">
        <is>
          <t>1405/02/19</t>
        </is>
      </c>
      <c r="I240" s="124" t="inlineStr">
        <is>
          <t>1404/02/11</t>
        </is>
      </c>
      <c r="J240" s="124" t="inlineStr">
        <is>
          <t>1405/02/19</t>
        </is>
      </c>
      <c r="K240" s="177">
        <f>IFERROR(VLOOKUP(LEFT(H240,7),'تبدیل تاریخ'!$A$2:$B$73,2,FALSE())+VALUE(RIGHT(H240,2))-1,"")</f>
        <v/>
      </c>
      <c r="L240" s="177">
        <f>IFERROR(VLOOKUP(LEFT(I240,7),'تبدیل تاریخ'!$A$2:$B$73,2,FALSE())+VALUE(RIGHT(I240,2))-1,"")</f>
        <v/>
      </c>
      <c r="M240" s="177">
        <f>IF(J240="","",IFERROR(VLOOKUP(LEFT(J240,7),'تبدیل تاریخ'!$A$2:$B$73,2,FALSE())+VALUE(RIGHT(J240,2))-1,""))</f>
        <v/>
      </c>
      <c r="N240" s="124">
        <f>IF(OR(K240="",M240=""),"",CEILING((K240-M240)/30,1))</f>
        <v/>
      </c>
      <c r="O240" s="124">
        <f>IF(OR(ISNUMBER(SEARCH("بدون مورد",G240)),ISNUMBER(SEARCH("غير گارانتي",G240)),ISNUMBER(SEARCH("غیر گارانتی",G240)),ISNUMBER(SEARCH("بدون اجرت",G240)),ISNUMBER(SEARCH("فيلتر",G240)),ISNUMBER(SEARCH("فیلتر",G240))),"غیرگارانتی/بدون قطعه",IF(OR(ISNUMBER(SEARCH("ريست",G240)),ISNUMBER(SEARCH("ریست",G240))),"ریست نرم‌افزاری (بدون قطعه)",IF(OR(ISNUMBER(SEARCH("تعویض محصول",G240)),ISNUMBER(SEARCH("تعویض دستگاه",G240))),"تعویض کامل دستگاه (Replacement)",IF(ISNUMBER(SEARCH("پمپ",G240)),IF(ISNUMBER(SEARCH("نشت",G240)),"نشتی - پمپ تخلیه (تعمیر/آب‌بندی)","خرابی - پمپ تخلیه (تعویض)"),IF(ISNUMBER(SEARCH("کمپرسور",G240)),"خرابی - کمپرسور (تعویض)",IF(ISNUMBER(SEARCH("کمک فنر",G240)),"خرابی - کمک فنر (تعویض)",IF(ISNUMBER(SEARCH("لولا",G240)),"مکانیزم درب - لولا (تعویض)",IF(OR(ISNUMBER(SEARCH("قلاب",G240)),ISNUMBER(SEARCH("ميکروسوئيچ",G240)),ISNUMBER(SEARCH("میکروسوئیچ",G240))),"مکانیزم درب - میکروسوئیچ/قلاب (تعویض/تنظیم)",IF(ISNUMBER(SEARCH("زبانه",G240)),"مکانیزم درب - زبانه (تعویض)",IF(OR(ISNUMBER(SEARCH("شيلنگ",G240)),ISNUMBER(SEARCH("شیلنگ",G240))),IF(OR(ISNUMBER(SEARCH("نشتی",G240)),ISNUMBER(SEARCH("نشتي",G240))),"نشتی - شیلنگ (تعمیر/آب‌بندی)",IF(OR(ISNUMBER(SEARCH("يخ",G240)),ISNUMBER(SEARCH("یخ",G240))),"شیلنگ یخساز - یخ‌زدگی (بازبینی)","شیلنگ - برخورد/لهیدگی (بازبینی)")),IF(OR(ISNUMBER(SEARCH("تنظيم ديسپل",G240)),ISNUMBER(SEARCH("تنظیم دیسپل",G240)),ISNUMBER(SEARCH("تنظيم صفحه نمايش",G240)),ISNUMBER(SEARCH("تنظیم صفحه نمایش",G240))),"تنظیم - تنظیمات دستگاه/دیسپلی (تعمیر)",IF(OR(ISNUMBER(SEARCH("برد",G240)),ISNUMBER(SEARCH("سوکت",G240)),ISNUMBER(SEARCH("ديسپل",G240)),ISNUMBER(SEARCH("دیسپل",G240))),"خرابی - برد الکترونیک (تعویض)",IF(OR(ISNUMBER(SEARCH("يخساز",G240)),ISNUMBER(SEARCH("یخساز",G240)),ISNUMBER(SEARCH("دمپر",G240))),IF(OR(ISNUMBER(SEARCH("خرابی",G240)),ISNUMBER(SEARCH("خراب",G240)),ISNUMBER(SEARCH("عدم کارکرد",G240)),ISNUMBER(SEARCH("عدم عملکرد",G240))),"یخساز - خرابی موتور/سنسور/برد (تعویض)","یخساز - تنظیم/عایق (تعمیر)"),IF(OR(ISNUMBER(SEARCH("لاستيک",G240)),ISNUMBER(SEARCH("لاستیک",G240))),"لاستیک درزگیر - دفرمگی/پارگی (تعویض)",IF(OR(ISNUMBER(SEARCH("گسکت",G240)),ISNUMBER(SEARCH("گسگت",G240))),"لاستیک درزگیر - دفرمگی/پارگی (تعویض)",IF(ISNUMBER(SEARCH("مخزن نمک",G240)),"نشتی - درب مخزن نمک (تعمیر/آب‌بندی)",IF(ISNUMBER(SEARCH("براکت",G240)),"نشتی - براکت ریل (تعمیر/آب‌بندی)",IF(ISNUMBER(SEARCH("جاپودر",G240)),"نشتی - جاپودری (تعمیر/آب‌بندی)",IF(ISNUMBER(SEARCH("مقسم",G240)),"نشتی - مقسم آب (تعمیر/آب‌بندی)",IF(OR(ISNUMBER(SEARCH("سنسور دما",G240)),ISNUMBER(SEARCH("ترموستات",G240))),"خرابی - ترموستات (تعویض)",IF(OR(ISNUMBER(SEARCH("هيدروستات",G240)),ISNUMBER(SEARCH("هیدروستات",G240))),"خرابی - هیدروستات (تعویض)",IF(OR(ISNUMBER(SEARCH("بلبرينگ",G240)),ISNUMBER(SEARCH("بلبرینگ",G240))),"خرابی - بلبرینگ (تعویض)",IF(OR(ISNUMBER(SEARCH("شيربرق",G240)),ISNUMBER(SEARCH("شیربرق",G240))),"خرابی - شیربرقی (تعویض)",IF(OR(ISNUMBER(SEARCH("واتر جت",G240)),ISNUMBER(SEARCH("واترجت",G240))),"خرابی - واترجت (تعویض)",IF(OR(ISNUMBER(SEARCH("سيم",G240)),ISNUMBER(SEARCH("سیم",G240)),ISNUMBER(SEARCH("اتصال",G240))),"سیم‌کشی/اتصالات (تعویض/بازبینی)",IF(OR(ISNUMBER(SEARCH("تصوير",G240)),ISNUMBER(SEARCH("تصویر",G240))),"برد نمایش تلویزیون (تعویض)",IF(OR(ISNUMBER(SEARCH("ريموت",G240)),ISNUMBER(SEARCH("ریموت",G240))),"ریموت کنترل (تعویض/تعمیر)",IF(OR(ISNUMBER(SEARCH("ال اي دي",G240)),ISNUMBER(SEARCH("ال ای دی",G240)),ISNUMBER(SEARCH("LED",G240))),"خرابی - لامپ/LED داخلی (تعویض)",IF(ISNUMBER(SEARCH("زنگ زدگ",G240)),"زنگ‌زدگی بدنه/قطعه (تعویض)",IF(OR(ISNUMBER(SEARCH("قطعات تزئين",G240)),ISNUMBER(SEARCH("قطعات تزئین",G240))),"قطعات تزئینی - شکستگی/کسری (تعویض)",IF(ISNUMBER(SEARCH("سبد",G240)),"سبد ظرفشویی - شکستگی (تعویض)",IF(ISNUMBER(SEARCH("تاب درام",G240)),"خرابی - تاب برداشتن درام (تعویض)",IF(ISNUMBER(SEARCH("درام",G240)),"خرابی - سایر ایراد درام (تعویض)",IF(ISNUMBER(SEARCH("موتور",G240)),"خرابی - موتور (تعویض)",IF(ISNUMBER(SEARCH("تسمه",G240)),"خرابی - تسمه (تعویض)",IF(OR(ISNUMBER(SEARCH("پيچ ولوم",G240)),ISNUMBER(SEARCH("پیچ ولوم",G240))),"تنظیم - پیچ ولوم/دکمه (تعمیر)",IF(OR(ISNUMBER(SEARCH("کسري قطعات",G240)),ISNUMBER(SEARCH("کسری قطعات",G240))),"کسری قطعات تزئینی (تعویض)",IF(ISNUMBER(SEARCH("پرچ",G240)),"پرچ/بدنه کابین(تعمیر)",IF(OR(ISNUMBER(SEARCH("نشت",G240)),ISNUMBER(SEARCH("آبريزش",G240)),ISNUMBER(SEARCH("آبریزش",G240))),"نشتی آب - محل نامشخص (نیازمند بازدید)",IF(ISNUMBER(SEARCH("درب",G240)),"سایر اجزای درب (بازبینی)",IF(ISNUMBER(SEARCH("ضربه",G240)),"بدنه/کابین - ضربه (بازبینی/تعویض پنل)",IF(ISNUMBER(SEARCH("تراز",G240)),"تراز/لرزش - نصب (رگلاژ پایه)",IF(OR(ISNUMBER(SEARCH("تعویض",G240)),ISNUMBER(SEARCH("تعويض",G240))),"تعویض کامل دستگاه (Replacement)","سایر (نیازمند بررسی دستی)")))))))))))))))))))))))))))))))))))))))))))</f>
        <v/>
      </c>
      <c r="P240" s="124" t="inlineStr">
        <is>
          <t>*</t>
        </is>
      </c>
      <c r="Q240" s="124">
        <f>IF(ISNUMBER(SEARCH("عهده شرکت",F240)),"شرکت",IF(ISNUMBER(SEARCH("عهده مشتري",F240)),"مشتری",IF(ISNUMBER(SEARCH("عهده مشتری",F240)),"مشتری","نامشخص")))</f>
        <v/>
      </c>
      <c r="R240" s="178">
        <f>IF(O240="تعویض کامل دستگاه (Replacement)",IF(SUMIF('قیمت‌ها و مفروضات'!$A$9:$A$13,C240,'قیمت‌ها و مفروضات'!$C$9:$C$13)&lt;&gt;0,SUMIF('قیمت‌ها و مفروضات'!$A$9:$A$13,C240,'قیمت‌ها و مفروضات'!$C$9:$C$13),SUMIF('قیمت‌ها و مفروضات'!$A$9:$A$13,C240,'قیمت‌ها و مفروضات'!$B$9:$B$13)),IF(SUMIF('قیمت‌ها و مفروضات'!$A$18:$A$63,O240,'قیمت‌ها و مفروضات'!$C$18:$C$63)&lt;&gt;0,SUMIF('قیمت‌ها و مفروضات'!$A$18:$A$63,O240,'قیمت‌ها و مفروضات'!$C$18:$C$63),SUMIF('قیمت‌ها و مفروضات'!$A$18:$A$63,O240,'قیمت‌ها و مفروضات'!$B$18:$B$63)))</f>
        <v/>
      </c>
      <c r="S240" s="178">
        <f>'قیمت‌ها و مفروضات'!$B$3+'قیمت‌ها و مفروضات'!$B$4</f>
        <v/>
      </c>
      <c r="T240" s="178">
        <f>R240+S240</f>
        <v/>
      </c>
      <c r="U240" s="178">
        <f>IF(COUNTIF($E$2:E371,E240)&gt;1,"بله (تکراری)","خیر")</f>
        <v/>
      </c>
      <c r="V240" s="178">
        <f>IF(U240="بله (تکراری)",S240,0)</f>
        <v/>
      </c>
      <c r="W240" s="208" t="inlineStr"/>
      <c r="X240" s="208" t="inlineStr"/>
    </row>
    <row r="241" ht="58.5" customHeight="1" s="151">
      <c r="A241" s="176" t="n">
        <v>774878</v>
      </c>
      <c r="B241" s="124">
        <f>CHOOSE(_xlfn.NUMBERVALUE(MID(H241,6,2)),"فروردین","اردیبهشت","خرداد","تیر","مرداد","شهریور","مهر","آبان","آذر","دی","بهمن","اسفند")</f>
        <v/>
      </c>
      <c r="C241" s="176" t="inlineStr">
        <is>
          <t>ماشين ظرفشويي</t>
        </is>
      </c>
      <c r="D241" s="176" t="inlineStr">
        <is>
          <t>CDW-H15V</t>
        </is>
      </c>
      <c r="E241" s="176" t="inlineStr">
        <is>
          <t>52220003N01615</t>
        </is>
      </c>
      <c r="F241" s="173" t="inlineStr">
        <is>
          <t>خطاي F54**اياب و ذهاب به عهده مشتري</t>
        </is>
      </c>
      <c r="G241" s="124" t="inlineStr">
        <is>
          <t xml:space="preserve">نشتی از شیلنگ تخلیه </t>
        </is>
      </c>
      <c r="H241" s="176" t="inlineStr">
        <is>
          <t>1405/02/20</t>
        </is>
      </c>
      <c r="I241" s="124" t="inlineStr">
        <is>
          <t>1403/10/27</t>
        </is>
      </c>
      <c r="J241" s="124" t="inlineStr">
        <is>
          <t>1403/12/09</t>
        </is>
      </c>
      <c r="K241" s="177">
        <f>IFERROR(VLOOKUP(LEFT(H241,7),'تبدیل تاریخ'!$A$2:$B$73,2,FALSE())+VALUE(RIGHT(H241,2))-1,"")</f>
        <v/>
      </c>
      <c r="L241" s="177">
        <f>IFERROR(VLOOKUP(LEFT(I241,7),'تبدیل تاریخ'!$A$2:$B$73,2,FALSE())+VALUE(RIGHT(I241,2))-1,"")</f>
        <v/>
      </c>
      <c r="M241" s="177">
        <f>IF(J241="","",IFERROR(VLOOKUP(LEFT(J241,7),'تبدیل تاریخ'!$A$2:$B$73,2,FALSE())+VALUE(RIGHT(J241,2))-1,""))</f>
        <v/>
      </c>
      <c r="N241" s="124">
        <f>IF(OR(K241="",M241=""),"",CEILING((K241-M241)/30,1))</f>
        <v/>
      </c>
      <c r="O241" s="124">
        <f>IF(OR(ISNUMBER(SEARCH("بدون مورد",G241)),ISNUMBER(SEARCH("غير گارانتي",G241)),ISNUMBER(SEARCH("غیر گارانتی",G241)),ISNUMBER(SEARCH("بدون اجرت",G241)),ISNUMBER(SEARCH("فيلتر",G241)),ISNUMBER(SEARCH("فیلتر",G241))),"غیرگارانتی/بدون قطعه",IF(OR(ISNUMBER(SEARCH("ريست",G241)),ISNUMBER(SEARCH("ریست",G241))),"ریست نرم‌افزاری (بدون قطعه)",IF(OR(ISNUMBER(SEARCH("تعویض محصول",G241)),ISNUMBER(SEARCH("تعویض دستگاه",G241))),"تعویض کامل دستگاه (Replacement)",IF(ISNUMBER(SEARCH("پمپ",G241)),IF(ISNUMBER(SEARCH("نشت",G241)),"نشتی - پمپ تخلیه (تعمیر/آب‌بندی)","خرابی - پمپ تخلیه (تعویض)"),IF(ISNUMBER(SEARCH("کمپرسور",G241)),"خرابی - کمپرسور (تعویض)",IF(ISNUMBER(SEARCH("کمک فنر",G241)),"خرابی - کمک فنر (تعویض)",IF(ISNUMBER(SEARCH("لولا",G241)),"مکانیزم درب - لولا (تعویض)",IF(OR(ISNUMBER(SEARCH("قلاب",G241)),ISNUMBER(SEARCH("ميکروسوئيچ",G241)),ISNUMBER(SEARCH("میکروسوئیچ",G241))),"مکانیزم درب - میکروسوئیچ/قلاب (تعویض/تنظیم)",IF(ISNUMBER(SEARCH("زبانه",G241)),"مکانیزم درب - زبانه (تعویض)",IF(OR(ISNUMBER(SEARCH("شيلنگ",G241)),ISNUMBER(SEARCH("شیلنگ",G241))),IF(OR(ISNUMBER(SEARCH("نشتی",G241)),ISNUMBER(SEARCH("نشتي",G241))),"نشتی - شیلنگ (تعمیر/آب‌بندی)",IF(OR(ISNUMBER(SEARCH("يخ",G241)),ISNUMBER(SEARCH("یخ",G241))),"شیلنگ یخساز - یخ‌زدگی (بازبینی)","شیلنگ - برخورد/لهیدگی (بازبینی)")),IF(OR(ISNUMBER(SEARCH("تنظيم ديسپل",G241)),ISNUMBER(SEARCH("تنظیم دیسپل",G241)),ISNUMBER(SEARCH("تنظيم صفحه نمايش",G241)),ISNUMBER(SEARCH("تنظیم صفحه نمایش",G241))),"تنظیم - تنظیمات دستگاه/دیسپلی (تعمیر)",IF(OR(ISNUMBER(SEARCH("برد",G241)),ISNUMBER(SEARCH("سوکت",G241)),ISNUMBER(SEARCH("ديسپل",G241)),ISNUMBER(SEARCH("دیسپل",G241))),"خرابی - برد الکترونیک (تعویض)",IF(OR(ISNUMBER(SEARCH("يخساز",G241)),ISNUMBER(SEARCH("یخساز",G241)),ISNUMBER(SEARCH("دمپر",G241))),IF(OR(ISNUMBER(SEARCH("خرابی",G241)),ISNUMBER(SEARCH("خراب",G241)),ISNUMBER(SEARCH("عدم کارکرد",G241)),ISNUMBER(SEARCH("عدم عملکرد",G241))),"یخساز - خرابی موتور/سنسور/برد (تعویض)","یخساز - تنظیم/عایق (تعمیر)"),IF(OR(ISNUMBER(SEARCH("لاستيک",G241)),ISNUMBER(SEARCH("لاستیک",G241))),"لاستیک درزگیر - دفرمگی/پارگی (تعویض)",IF(OR(ISNUMBER(SEARCH("گسکت",G241)),ISNUMBER(SEARCH("گسگت",G241))),"لاستیک درزگیر - دفرمگی/پارگی (تعویض)",IF(ISNUMBER(SEARCH("مخزن نمک",G241)),"نشتی - درب مخزن نمک (تعمیر/آب‌بندی)",IF(ISNUMBER(SEARCH("براکت",G241)),"نشتی - براکت ریل (تعمیر/آب‌بندی)",IF(ISNUMBER(SEARCH("جاپودر",G241)),"نشتی - جاپودری (تعمیر/آب‌بندی)",IF(ISNUMBER(SEARCH("مقسم",G241)),"نشتی - مقسم آب (تعمیر/آب‌بندی)",IF(OR(ISNUMBER(SEARCH("سنسور دما",G241)),ISNUMBER(SEARCH("ترموستات",G241))),"خرابی - ترموستات (تعویض)",IF(OR(ISNUMBER(SEARCH("هيدروستات",G241)),ISNUMBER(SEARCH("هیدروستات",G241))),"خرابی - هیدروستات (تعویض)",IF(OR(ISNUMBER(SEARCH("بلبرينگ",G241)),ISNUMBER(SEARCH("بلبرینگ",G241))),"خرابی - بلبرینگ (تعویض)",IF(OR(ISNUMBER(SEARCH("شيربرق",G241)),ISNUMBER(SEARCH("شیربرق",G241))),"خرابی - شیربرقی (تعویض)",IF(OR(ISNUMBER(SEARCH("واتر جت",G241)),ISNUMBER(SEARCH("واترجت",G241))),"خرابی - واترجت (تعویض)",IF(OR(ISNUMBER(SEARCH("سيم",G241)),ISNUMBER(SEARCH("سیم",G241)),ISNUMBER(SEARCH("اتصال",G241))),"سیم‌کشی/اتصالات (تعویض/بازبینی)",IF(OR(ISNUMBER(SEARCH("تصوير",G241)),ISNUMBER(SEARCH("تصویر",G241))),"برد نمایش تلویزیون (تعویض)",IF(OR(ISNUMBER(SEARCH("ريموت",G241)),ISNUMBER(SEARCH("ریموت",G241))),"ریموت کنترل (تعویض/تعمیر)",IF(OR(ISNUMBER(SEARCH("ال اي دي",G241)),ISNUMBER(SEARCH("ال ای دی",G241)),ISNUMBER(SEARCH("LED",G241))),"خرابی - لامپ/LED داخلی (تعویض)",IF(ISNUMBER(SEARCH("زنگ زدگ",G241)),"زنگ‌زدگی بدنه/قطعه (تعویض)",IF(OR(ISNUMBER(SEARCH("قطعات تزئين",G241)),ISNUMBER(SEARCH("قطعات تزئین",G241))),"قطعات تزئینی - شکستگی/کسری (تعویض)",IF(ISNUMBER(SEARCH("سبد",G241)),"سبد ظرفشویی - شکستگی (تعویض)",IF(ISNUMBER(SEARCH("تاب درام",G241)),"خرابی - تاب برداشتن درام (تعویض)",IF(ISNUMBER(SEARCH("درام",G241)),"خرابی - سایر ایراد درام (تعویض)",IF(ISNUMBER(SEARCH("موتور",G241)),"خرابی - موتور (تعویض)",IF(ISNUMBER(SEARCH("تسمه",G241)),"خرابی - تسمه (تعویض)",IF(OR(ISNUMBER(SEARCH("پيچ ولوم",G241)),ISNUMBER(SEARCH("پیچ ولوم",G241))),"تنظیم - پیچ ولوم/دکمه (تعمیر)",IF(OR(ISNUMBER(SEARCH("کسري قطعات",G241)),ISNUMBER(SEARCH("کسری قطعات",G241))),"کسری قطعات تزئینی (تعویض)",IF(ISNUMBER(SEARCH("پرچ",G241)),"پرچ/بدنه کابین(تعمیر)",IF(OR(ISNUMBER(SEARCH("نشت",G241)),ISNUMBER(SEARCH("آبريزش",G241)),ISNUMBER(SEARCH("آبریزش",G241))),"نشتی آب - محل نامشخص (نیازمند بازدید)",IF(ISNUMBER(SEARCH("درب",G241)),"سایر اجزای درب (بازبینی)",IF(ISNUMBER(SEARCH("ضربه",G241)),"بدنه/کابین - ضربه (بازبینی/تعویض پنل)",IF(ISNUMBER(SEARCH("تراز",G241)),"تراز/لرزش - نصب (رگلاژ پایه)",IF(OR(ISNUMBER(SEARCH("تعویض",G241)),ISNUMBER(SEARCH("تعويض",G241))),"تعویض کامل دستگاه (Replacement)","سایر (نیازمند بررسی دستی)")))))))))))))))))))))))))))))))))))))))))))</f>
        <v/>
      </c>
      <c r="P241" s="124" t="inlineStr">
        <is>
          <t>*</t>
        </is>
      </c>
      <c r="Q241" s="124">
        <f>IF(ISNUMBER(SEARCH("عهده شرکت",F241)),"شرکت",IF(ISNUMBER(SEARCH("عهده مشتري",F241)),"مشتری",IF(ISNUMBER(SEARCH("عهده مشتری",F241)),"مشتری","نامشخص")))</f>
        <v/>
      </c>
      <c r="R241" s="178">
        <f>IF(O241="تعویض کامل دستگاه (Replacement)",IF(SUMIF('قیمت‌ها و مفروضات'!$A$9:$A$13,C241,'قیمت‌ها و مفروضات'!$C$9:$C$13)&lt;&gt;0,SUMIF('قیمت‌ها و مفروضات'!$A$9:$A$13,C241,'قیمت‌ها و مفروضات'!$C$9:$C$13),SUMIF('قیمت‌ها و مفروضات'!$A$9:$A$13,C241,'قیمت‌ها و مفروضات'!$B$9:$B$13)),IF(SUMIF('قیمت‌ها و مفروضات'!$A$18:$A$63,O241,'قیمت‌ها و مفروضات'!$C$18:$C$63)&lt;&gt;0,SUMIF('قیمت‌ها و مفروضات'!$A$18:$A$63,O241,'قیمت‌ها و مفروضات'!$C$18:$C$63),SUMIF('قیمت‌ها و مفروضات'!$A$18:$A$63,O241,'قیمت‌ها و مفروضات'!$B$18:$B$63)))</f>
        <v/>
      </c>
      <c r="S241" s="178">
        <f>'قیمت‌ها و مفروضات'!$B$3+'قیمت‌ها و مفروضات'!$B$4</f>
        <v/>
      </c>
      <c r="T241" s="178">
        <f>R241+S241</f>
        <v/>
      </c>
      <c r="U241" s="178">
        <f>IF(COUNTIF($E$2:E372,E241)&gt;1,"بله (تکراری)","خیر")</f>
        <v/>
      </c>
      <c r="V241" s="178">
        <f>IF(U241="بله (تکراری)",S241,0)</f>
        <v/>
      </c>
      <c r="W241" s="208" t="inlineStr"/>
      <c r="X241" s="208" t="inlineStr"/>
    </row>
    <row r="242" ht="58.5" customHeight="1" s="151">
      <c r="A242" s="176" t="n">
        <v>775632</v>
      </c>
      <c r="B242" s="124">
        <f>CHOOSE(_xlfn.NUMBERVALUE(MID(H242,6,2)),"فروردین","اردیبهشت","خرداد","تیر","مرداد","شهریور","مهر","آبان","آذر","دی","بهمن","اسفند")</f>
        <v/>
      </c>
      <c r="C242" s="176" t="inlineStr">
        <is>
          <t>ماشين ظرفشويي</t>
        </is>
      </c>
      <c r="D242" s="176" t="inlineStr">
        <is>
          <t>CDW-H15V</t>
        </is>
      </c>
      <c r="E242" s="176" t="inlineStr">
        <is>
          <t>52220003N02491</t>
        </is>
      </c>
      <c r="F242" s="173" t="inlineStr">
        <is>
          <t>خطاي F54 ** اياب و ذهاب به عهده شرکت</t>
        </is>
      </c>
      <c r="G242" s="124" t="inlineStr">
        <is>
          <t>نشتي شيلنگ تخليه</t>
        </is>
      </c>
      <c r="H242" s="176" t="inlineStr">
        <is>
          <t>1405/02/22</t>
        </is>
      </c>
      <c r="I242" s="124" t="inlineStr">
        <is>
          <t>1404/07/08</t>
        </is>
      </c>
      <c r="J242" s="124" t="inlineStr">
        <is>
          <t>1404/10/20</t>
        </is>
      </c>
      <c r="K242" s="177">
        <f>IFERROR(VLOOKUP(LEFT(H242,7),'تبدیل تاریخ'!$A$2:$B$73,2,FALSE())+VALUE(RIGHT(H242,2))-1,"")</f>
        <v/>
      </c>
      <c r="L242" s="177">
        <f>IFERROR(VLOOKUP(LEFT(I242,7),'تبدیل تاریخ'!$A$2:$B$73,2,FALSE())+VALUE(RIGHT(I242,2))-1,"")</f>
        <v/>
      </c>
      <c r="M242" s="177">
        <f>IF(J242="","",IFERROR(VLOOKUP(LEFT(J242,7),'تبدیل تاریخ'!$A$2:$B$73,2,FALSE())+VALUE(RIGHT(J242,2))-1,""))</f>
        <v/>
      </c>
      <c r="N242" s="124">
        <f>IF(OR(K242="",M242=""),"",CEILING((K242-M242)/30,1))</f>
        <v/>
      </c>
      <c r="O242" s="124">
        <f>IF(OR(ISNUMBER(SEARCH("بدون مورد",G242)),ISNUMBER(SEARCH("غير گارانتي",G242)),ISNUMBER(SEARCH("غیر گارانتی",G242)),ISNUMBER(SEARCH("بدون اجرت",G242)),ISNUMBER(SEARCH("فيلتر",G242)),ISNUMBER(SEARCH("فیلتر",G242))),"غیرگارانتی/بدون قطعه",IF(OR(ISNUMBER(SEARCH("ريست",G242)),ISNUMBER(SEARCH("ریست",G242))),"ریست نرم‌افزاری (بدون قطعه)",IF(OR(ISNUMBER(SEARCH("تعویض محصول",G242)),ISNUMBER(SEARCH("تعویض دستگاه",G242))),"تعویض کامل دستگاه (Replacement)",IF(ISNUMBER(SEARCH("پمپ",G242)),IF(ISNUMBER(SEARCH("نشت",G242)),"نشتی - پمپ تخلیه (تعمیر/آب‌بندی)","خرابی - پمپ تخلیه (تعویض)"),IF(ISNUMBER(SEARCH("کمپرسور",G242)),"خرابی - کمپرسور (تعویض)",IF(ISNUMBER(SEARCH("کمک فنر",G242)),"خرابی - کمک فنر (تعویض)",IF(ISNUMBER(SEARCH("لولا",G242)),"مکانیزم درب - لولا (تعویض)",IF(OR(ISNUMBER(SEARCH("قلاب",G242)),ISNUMBER(SEARCH("ميکروسوئيچ",G242)),ISNUMBER(SEARCH("میکروسوئیچ",G242))),"مکانیزم درب - میکروسوئیچ/قلاب (تعویض/تنظیم)",IF(ISNUMBER(SEARCH("زبانه",G242)),"مکانیزم درب - زبانه (تعویض)",IF(OR(ISNUMBER(SEARCH("شيلنگ",G242)),ISNUMBER(SEARCH("شیلنگ",G242))),IF(OR(ISNUMBER(SEARCH("نشتی",G242)),ISNUMBER(SEARCH("نشتي",G242))),"نشتی - شیلنگ (تعمیر/آب‌بندی)",IF(OR(ISNUMBER(SEARCH("يخ",G242)),ISNUMBER(SEARCH("یخ",G242))),"شیلنگ یخساز - یخ‌زدگی (بازبینی)","شیلنگ - برخورد/لهیدگی (بازبینی)")),IF(OR(ISNUMBER(SEARCH("تنظيم ديسپل",G242)),ISNUMBER(SEARCH("تنظیم دیسپل",G242)),ISNUMBER(SEARCH("تنظيم صفحه نمايش",G242)),ISNUMBER(SEARCH("تنظیم صفحه نمایش",G242))),"تنظیم - تنظیمات دستگاه/دیسپلی (تعمیر)",IF(OR(ISNUMBER(SEARCH("برد",G242)),ISNUMBER(SEARCH("سوکت",G242)),ISNUMBER(SEARCH("ديسپل",G242)),ISNUMBER(SEARCH("دیسپل",G242))),"خرابی - برد الکترونیک (تعویض)",IF(OR(ISNUMBER(SEARCH("يخساز",G242)),ISNUMBER(SEARCH("یخساز",G242)),ISNUMBER(SEARCH("دمپر",G242))),IF(OR(ISNUMBER(SEARCH("خرابی",G242)),ISNUMBER(SEARCH("خراب",G242)),ISNUMBER(SEARCH("عدم کارکرد",G242)),ISNUMBER(SEARCH("عدم عملکرد",G242))),"یخساز - خرابی موتور/سنسور/برد (تعویض)","یخساز - تنظیم/عایق (تعمیر)"),IF(OR(ISNUMBER(SEARCH("لاستيک",G242)),ISNUMBER(SEARCH("لاستیک",G242))),"لاستیک درزگیر - دفرمگی/پارگی (تعویض)",IF(OR(ISNUMBER(SEARCH("گسکت",G242)),ISNUMBER(SEARCH("گسگت",G242))),"لاستیک درزگیر - دفرمگی/پارگی (تعویض)",IF(ISNUMBER(SEARCH("مخزن نمک",G242)),"نشتی - درب مخزن نمک (تعمیر/آب‌بندی)",IF(ISNUMBER(SEARCH("براکت",G242)),"نشتی - براکت ریل (تعمیر/آب‌بندی)",IF(ISNUMBER(SEARCH("جاپودر",G242)),"نشتی - جاپودری (تعمیر/آب‌بندی)",IF(ISNUMBER(SEARCH("مقسم",G242)),"نشتی - مقسم آب (تعمیر/آب‌بندی)",IF(OR(ISNUMBER(SEARCH("سنسور دما",G242)),ISNUMBER(SEARCH("ترموستات",G242))),"خرابی - ترموستات (تعویض)",IF(OR(ISNUMBER(SEARCH("هيدروستات",G242)),ISNUMBER(SEARCH("هیدروستات",G242))),"خرابی - هیدروستات (تعویض)",IF(OR(ISNUMBER(SEARCH("بلبرينگ",G242)),ISNUMBER(SEARCH("بلبرینگ",G242))),"خرابی - بلبرینگ (تعویض)",IF(OR(ISNUMBER(SEARCH("شيربرق",G242)),ISNUMBER(SEARCH("شیربرق",G242))),"خرابی - شیربرقی (تعویض)",IF(OR(ISNUMBER(SEARCH("واتر جت",G242)),ISNUMBER(SEARCH("واترجت",G242))),"خرابی - واترجت (تعویض)",IF(OR(ISNUMBER(SEARCH("سيم",G242)),ISNUMBER(SEARCH("سیم",G242)),ISNUMBER(SEARCH("اتصال",G242))),"سیم‌کشی/اتصالات (تعویض/بازبینی)",IF(OR(ISNUMBER(SEARCH("تصوير",G242)),ISNUMBER(SEARCH("تصویر",G242))),"برد نمایش تلویزیون (تعویض)",IF(OR(ISNUMBER(SEARCH("ريموت",G242)),ISNUMBER(SEARCH("ریموت",G242))),"ریموت کنترل (تعویض/تعمیر)",IF(OR(ISNUMBER(SEARCH("ال اي دي",G242)),ISNUMBER(SEARCH("ال ای دی",G242)),ISNUMBER(SEARCH("LED",G242))),"خرابی - لامپ/LED داخلی (تعویض)",IF(ISNUMBER(SEARCH("زنگ زدگ",G242)),"زنگ‌زدگی بدنه/قطعه (تعویض)",IF(OR(ISNUMBER(SEARCH("قطعات تزئين",G242)),ISNUMBER(SEARCH("قطعات تزئین",G242))),"قطعات تزئینی - شکستگی/کسری (تعویض)",IF(ISNUMBER(SEARCH("سبد",G242)),"سبد ظرفشویی - شکستگی (تعویض)",IF(ISNUMBER(SEARCH("تاب درام",G242)),"خرابی - تاب برداشتن درام (تعویض)",IF(ISNUMBER(SEARCH("درام",G242)),"خرابی - سایر ایراد درام (تعویض)",IF(ISNUMBER(SEARCH("موتور",G242)),"خرابی - موتور (تعویض)",IF(ISNUMBER(SEARCH("تسمه",G242)),"خرابی - تسمه (تعویض)",IF(OR(ISNUMBER(SEARCH("پيچ ولوم",G242)),ISNUMBER(SEARCH("پیچ ولوم",G242))),"تنظیم - پیچ ولوم/دکمه (تعمیر)",IF(OR(ISNUMBER(SEARCH("کسري قطعات",G242)),ISNUMBER(SEARCH("کسری قطعات",G242))),"کسری قطعات تزئینی (تعویض)",IF(ISNUMBER(SEARCH("پرچ",G242)),"پرچ/بدنه کابین(تعمیر)",IF(OR(ISNUMBER(SEARCH("نشت",G242)),ISNUMBER(SEARCH("آبريزش",G242)),ISNUMBER(SEARCH("آبریزش",G242))),"نشتی آب - محل نامشخص (نیازمند بازدید)",IF(ISNUMBER(SEARCH("درب",G242)),"سایر اجزای درب (بازبینی)",IF(ISNUMBER(SEARCH("ضربه",G242)),"بدنه/کابین - ضربه (بازبینی/تعویض پنل)",IF(ISNUMBER(SEARCH("تراز",G242)),"تراز/لرزش - نصب (رگلاژ پایه)",IF(OR(ISNUMBER(SEARCH("تعویض",G242)),ISNUMBER(SEARCH("تعويض",G242))),"تعویض کامل دستگاه (Replacement)","سایر (نیازمند بررسی دستی)")))))))))))))))))))))))))))))))))))))))))))</f>
        <v/>
      </c>
      <c r="P242" s="124" t="inlineStr">
        <is>
          <t>*</t>
        </is>
      </c>
      <c r="Q242" s="124">
        <f>IF(ISNUMBER(SEARCH("عهده شرکت",F242)),"شرکت",IF(ISNUMBER(SEARCH("عهده مشتري",F242)),"مشتری",IF(ISNUMBER(SEARCH("عهده مشتری",F242)),"مشتری","نامشخص")))</f>
        <v/>
      </c>
      <c r="R242" s="178">
        <f>IF(O242="تعویض کامل دستگاه (Replacement)",IF(SUMIF('قیمت‌ها و مفروضات'!$A$9:$A$13,C242,'قیمت‌ها و مفروضات'!$C$9:$C$13)&lt;&gt;0,SUMIF('قیمت‌ها و مفروضات'!$A$9:$A$13,C242,'قیمت‌ها و مفروضات'!$C$9:$C$13),SUMIF('قیمت‌ها و مفروضات'!$A$9:$A$13,C242,'قیمت‌ها و مفروضات'!$B$9:$B$13)),IF(SUMIF('قیمت‌ها و مفروضات'!$A$18:$A$63,O242,'قیمت‌ها و مفروضات'!$C$18:$C$63)&lt;&gt;0,SUMIF('قیمت‌ها و مفروضات'!$A$18:$A$63,O242,'قیمت‌ها و مفروضات'!$C$18:$C$63),SUMIF('قیمت‌ها و مفروضات'!$A$18:$A$63,O242,'قیمت‌ها و مفروضات'!$B$18:$B$63)))</f>
        <v/>
      </c>
      <c r="S242" s="178">
        <f>'قیمت‌ها و مفروضات'!$B$3+'قیمت‌ها و مفروضات'!$B$4</f>
        <v/>
      </c>
      <c r="T242" s="178">
        <f>R242+S242</f>
        <v/>
      </c>
      <c r="U242" s="178">
        <f>IF(COUNTIF($E$2:E373,E242)&gt;1,"بله (تکراری)","خیر")</f>
        <v/>
      </c>
      <c r="V242" s="178">
        <f>IF(U242="بله (تکراری)",S242,0)</f>
        <v/>
      </c>
      <c r="W242" s="208" t="inlineStr"/>
      <c r="X242" s="208" t="inlineStr"/>
    </row>
    <row r="243" ht="58.5" customHeight="1" s="151">
      <c r="A243" s="176" t="n">
        <v>776160</v>
      </c>
      <c r="B243" s="124">
        <f>CHOOSE(_xlfn.NUMBERVALUE(MID(H243,6,2)),"فروردین","اردیبهشت","خرداد","تیر","مرداد","شهریور","مهر","آبان","آذر","دی","بهمن","اسفند")</f>
        <v/>
      </c>
      <c r="C243" s="176" t="inlineStr">
        <is>
          <t>ماشين لباسشويي</t>
        </is>
      </c>
      <c r="D243" s="176" t="inlineStr">
        <is>
          <t>CWM-BMW9T2</t>
        </is>
      </c>
      <c r="E243" s="176" t="inlineStr">
        <is>
          <t>52210015N00213</t>
        </is>
      </c>
      <c r="F243" s="173" t="inlineStr">
        <is>
          <t>لرزش و حرکت محصول**اياب و ذهاب به عهده شرکت</t>
        </is>
      </c>
      <c r="G243" s="124" t="inlineStr">
        <is>
          <t>تراز پايه تنظيم</t>
        </is>
      </c>
      <c r="H243" s="176" t="inlineStr">
        <is>
          <t>1405/02/23</t>
        </is>
      </c>
      <c r="I243" s="124" t="inlineStr">
        <is>
          <t>1404/12/17</t>
        </is>
      </c>
      <c r="J243" s="124" t="inlineStr">
        <is>
          <t>1405/02/21</t>
        </is>
      </c>
      <c r="K243" s="177">
        <f>IFERROR(VLOOKUP(LEFT(H243,7),'تبدیل تاریخ'!$A$2:$B$73,2,FALSE())+VALUE(RIGHT(H243,2))-1,"")</f>
        <v/>
      </c>
      <c r="L243" s="177">
        <f>IFERROR(VLOOKUP(LEFT(I243,7),'تبدیل تاریخ'!$A$2:$B$73,2,FALSE())+VALUE(RIGHT(I243,2))-1,"")</f>
        <v/>
      </c>
      <c r="M243" s="177">
        <f>IF(J243="","",IFERROR(VLOOKUP(LEFT(J243,7),'تبدیل تاریخ'!$A$2:$B$73,2,FALSE())+VALUE(RIGHT(J243,2))-1,""))</f>
        <v/>
      </c>
      <c r="N243" s="124">
        <f>IF(OR(K243="",M243=""),"",CEILING((K243-M243)/30,1))</f>
        <v/>
      </c>
      <c r="O243" s="124">
        <f>IF(OR(ISNUMBER(SEARCH("بدون مورد",G243)),ISNUMBER(SEARCH("غير گارانتي",G243)),ISNUMBER(SEARCH("غیر گارانتی",G243)),ISNUMBER(SEARCH("بدون اجرت",G243)),ISNUMBER(SEARCH("فيلتر",G243)),ISNUMBER(SEARCH("فیلتر",G243))),"غیرگارانتی/بدون قطعه",IF(OR(ISNUMBER(SEARCH("ريست",G243)),ISNUMBER(SEARCH("ریست",G243))),"ریست نرم‌افزاری (بدون قطعه)",IF(OR(ISNUMBER(SEARCH("تعویض محصول",G243)),ISNUMBER(SEARCH("تعویض دستگاه",G243))),"تعویض کامل دستگاه (Replacement)",IF(ISNUMBER(SEARCH("پمپ",G243)),IF(ISNUMBER(SEARCH("نشت",G243)),"نشتی - پمپ تخلیه (تعمیر/آب‌بندی)","خرابی - پمپ تخلیه (تعویض)"),IF(ISNUMBER(SEARCH("کمپرسور",G243)),"خرابی - کمپرسور (تعویض)",IF(ISNUMBER(SEARCH("کمک فنر",G243)),"خرابی - کمک فنر (تعویض)",IF(ISNUMBER(SEARCH("لولا",G243)),"مکانیزم درب - لولا (تعویض)",IF(OR(ISNUMBER(SEARCH("قلاب",G243)),ISNUMBER(SEARCH("ميکروسوئيچ",G243)),ISNUMBER(SEARCH("میکروسوئیچ",G243))),"مکانیزم درب - میکروسوئیچ/قلاب (تعویض/تنظیم)",IF(ISNUMBER(SEARCH("زبانه",G243)),"مکانیزم درب - زبانه (تعویض)",IF(OR(ISNUMBER(SEARCH("شيلنگ",G243)),ISNUMBER(SEARCH("شیلنگ",G243))),IF(OR(ISNUMBER(SEARCH("نشتی",G243)),ISNUMBER(SEARCH("نشتي",G243))),"نشتی - شیلنگ (تعمیر/آب‌بندی)",IF(OR(ISNUMBER(SEARCH("يخ",G243)),ISNUMBER(SEARCH("یخ",G243))),"شیلنگ یخساز - یخ‌زدگی (بازبینی)","شیلنگ - برخورد/لهیدگی (بازبینی)")),IF(OR(ISNUMBER(SEARCH("تنظيم ديسپل",G243)),ISNUMBER(SEARCH("تنظیم دیسپل",G243)),ISNUMBER(SEARCH("تنظيم صفحه نمايش",G243)),ISNUMBER(SEARCH("تنظیم صفحه نمایش",G243))),"تنظیم - تنظیمات دستگاه/دیسپلی (تعمیر)",IF(OR(ISNUMBER(SEARCH("برد",G243)),ISNUMBER(SEARCH("سوکت",G243)),ISNUMBER(SEARCH("ديسپل",G243)),ISNUMBER(SEARCH("دیسپل",G243))),"خرابی - برد الکترونیک (تعویض)",IF(OR(ISNUMBER(SEARCH("يخساز",G243)),ISNUMBER(SEARCH("یخساز",G243)),ISNUMBER(SEARCH("دمپر",G243))),IF(OR(ISNUMBER(SEARCH("خرابی",G243)),ISNUMBER(SEARCH("خراب",G243)),ISNUMBER(SEARCH("عدم کارکرد",G243)),ISNUMBER(SEARCH("عدم عملکرد",G243))),"یخساز - خرابی موتور/سنسور/برد (تعویض)","یخساز - تنظیم/عایق (تعمیر)"),IF(OR(ISNUMBER(SEARCH("لاستيک",G243)),ISNUMBER(SEARCH("لاستیک",G243))),"لاستیک درزگیر - دفرمگی/پارگی (تعویض)",IF(OR(ISNUMBER(SEARCH("گسکت",G243)),ISNUMBER(SEARCH("گسگت",G243))),"لاستیک درزگیر - دفرمگی/پارگی (تعویض)",IF(ISNUMBER(SEARCH("مخزن نمک",G243)),"نشتی - درب مخزن نمک (تعمیر/آب‌بندی)",IF(ISNUMBER(SEARCH("براکت",G243)),"نشتی - براکت ریل (تعمیر/آب‌بندی)",IF(ISNUMBER(SEARCH("جاپودر",G243)),"نشتی - جاپودری (تعمیر/آب‌بندی)",IF(ISNUMBER(SEARCH("مقسم",G243)),"نشتی - مقسم آب (تعمیر/آب‌بندی)",IF(OR(ISNUMBER(SEARCH("سنسور دما",G243)),ISNUMBER(SEARCH("ترموستات",G243))),"خرابی - ترموستات (تعویض)",IF(OR(ISNUMBER(SEARCH("هيدروستات",G243)),ISNUMBER(SEARCH("هیدروستات",G243))),"خرابی - هیدروستات (تعویض)",IF(OR(ISNUMBER(SEARCH("بلبرينگ",G243)),ISNUMBER(SEARCH("بلبرینگ",G243))),"خرابی - بلبرینگ (تعویض)",IF(OR(ISNUMBER(SEARCH("شيربرق",G243)),ISNUMBER(SEARCH("شیربرق",G243))),"خرابی - شیربرقی (تعویض)",IF(OR(ISNUMBER(SEARCH("واتر جت",G243)),ISNUMBER(SEARCH("واترجت",G243))),"خرابی - واترجت (تعویض)",IF(OR(ISNUMBER(SEARCH("سيم",G243)),ISNUMBER(SEARCH("سیم",G243)),ISNUMBER(SEARCH("اتصال",G243))),"سیم‌کشی/اتصالات (تعویض/بازبینی)",IF(OR(ISNUMBER(SEARCH("تصوير",G243)),ISNUMBER(SEARCH("تصویر",G243))),"برد نمایش تلویزیون (تعویض)",IF(OR(ISNUMBER(SEARCH("ريموت",G243)),ISNUMBER(SEARCH("ریموت",G243))),"ریموت کنترل (تعویض/تعمیر)",IF(OR(ISNUMBER(SEARCH("ال اي دي",G243)),ISNUMBER(SEARCH("ال ای دی",G243)),ISNUMBER(SEARCH("LED",G243))),"خرابی - لامپ/LED داخلی (تعویض)",IF(ISNUMBER(SEARCH("زنگ زدگ",G243)),"زنگ‌زدگی بدنه/قطعه (تعویض)",IF(OR(ISNUMBER(SEARCH("قطعات تزئين",G243)),ISNUMBER(SEARCH("قطعات تزئین",G243))),"قطعات تزئینی - شکستگی/کسری (تعویض)",IF(ISNUMBER(SEARCH("سبد",G243)),"سبد ظرفشویی - شکستگی (تعویض)",IF(ISNUMBER(SEARCH("تاب درام",G243)),"خرابی - تاب برداشتن درام (تعویض)",IF(ISNUMBER(SEARCH("درام",G243)),"خرابی - سایر ایراد درام (تعویض)",IF(ISNUMBER(SEARCH("موتور",G243)),"خرابی - موتور (تعویض)",IF(ISNUMBER(SEARCH("تسمه",G243)),"خرابی - تسمه (تعویض)",IF(OR(ISNUMBER(SEARCH("پيچ ولوم",G243)),ISNUMBER(SEARCH("پیچ ولوم",G243))),"تنظیم - پیچ ولوم/دکمه (تعمیر)",IF(OR(ISNUMBER(SEARCH("کسري قطعات",G243)),ISNUMBER(SEARCH("کسری قطعات",G243))),"کسری قطعات تزئینی (تعویض)",IF(ISNUMBER(SEARCH("پرچ",G243)),"پرچ/بدنه کابین(تعمیر)",IF(OR(ISNUMBER(SEARCH("نشت",G243)),ISNUMBER(SEARCH("آبريزش",G243)),ISNUMBER(SEARCH("آبریزش",G243))),"نشتی آب - محل نامشخص (نیازمند بازدید)",IF(ISNUMBER(SEARCH("درب",G243)),"سایر اجزای درب (بازبینی)",IF(ISNUMBER(SEARCH("ضربه",G243)),"بدنه/کابین - ضربه (بازبینی/تعویض پنل)",IF(ISNUMBER(SEARCH("تراز",G243)),"تراز/لرزش - نصب (رگلاژ پایه)",IF(OR(ISNUMBER(SEARCH("تعویض",G243)),ISNUMBER(SEARCH("تعويض",G243))),"تعویض کامل دستگاه (Replacement)","سایر (نیازمند بررسی دستی)")))))))))))))))))))))))))))))))))))))))))))</f>
        <v/>
      </c>
      <c r="P243" s="124" t="inlineStr">
        <is>
          <t>رگلاژ پایه تنظیم لباسشویی</t>
        </is>
      </c>
      <c r="Q243" s="124">
        <f>IF(ISNUMBER(SEARCH("عهده شرکت",F243)),"شرکت",IF(ISNUMBER(SEARCH("عهده مشتري",F243)),"مشتری",IF(ISNUMBER(SEARCH("عهده مشتری",F243)),"مشتری","نامشخص")))</f>
        <v/>
      </c>
      <c r="R243" s="178">
        <f>IF(O243="تعویض کامل دستگاه (Replacement)",IF(SUMIF('قیمت‌ها و مفروضات'!$A$9:$A$13,C243,'قیمت‌ها و مفروضات'!$C$9:$C$13)&lt;&gt;0,SUMIF('قیمت‌ها و مفروضات'!$A$9:$A$13,C243,'قیمت‌ها و مفروضات'!$C$9:$C$13),SUMIF('قیمت‌ها و مفروضات'!$A$9:$A$13,C243,'قیمت‌ها و مفروضات'!$B$9:$B$13)),IF(SUMIF('قیمت‌ها و مفروضات'!$A$18:$A$63,O243,'قیمت‌ها و مفروضات'!$C$18:$C$63)&lt;&gt;0,SUMIF('قیمت‌ها و مفروضات'!$A$18:$A$63,O243,'قیمت‌ها و مفروضات'!$C$18:$C$63),SUMIF('قیمت‌ها و مفروضات'!$A$18:$A$63,O243,'قیمت‌ها و مفروضات'!$B$18:$B$63)))</f>
        <v/>
      </c>
      <c r="S243" s="178">
        <f>'قیمت‌ها و مفروضات'!$B$3+'قیمت‌ها و مفروضات'!$B$4</f>
        <v/>
      </c>
      <c r="T243" s="178">
        <f>R243+S243</f>
        <v/>
      </c>
      <c r="U243" s="178">
        <f>IF(COUNTIF($E$2:E374,E243)&gt;1,"بله (تکراری)","خیر")</f>
        <v/>
      </c>
      <c r="V243" s="178">
        <f>IF(U243="بله (تکراری)",S243,0)</f>
        <v/>
      </c>
      <c r="W243" s="208" t="inlineStr"/>
      <c r="X243" s="208" t="inlineStr"/>
    </row>
    <row r="244" ht="58.5" customHeight="1" s="151">
      <c r="A244" s="176" t="n">
        <v>776362</v>
      </c>
      <c r="B244" s="124">
        <f>CHOOSE(_xlfn.NUMBERVALUE(MID(H244,6,2)),"فروردین","اردیبهشت","خرداد","تیر","مرداد","شهریور","مهر","آبان","آذر","دی","بهمن","اسفند")</f>
        <v/>
      </c>
      <c r="C244" s="176" t="inlineStr">
        <is>
          <t>ماشين ظرفشويي</t>
        </is>
      </c>
      <c r="D244" s="176" t="inlineStr">
        <is>
          <t>CDW-H16T</t>
        </is>
      </c>
      <c r="E244" s="176" t="inlineStr">
        <is>
          <t>52220005N02660</t>
        </is>
      </c>
      <c r="F244" s="173" t="inlineStr">
        <is>
          <t>خطاي F54**اياب و ذهاب به عهده شرکت</t>
        </is>
      </c>
      <c r="G244" s="124" t="inlineStr">
        <is>
          <t>نشتی از براکت ریل وسط</t>
        </is>
      </c>
      <c r="H244" s="176" t="inlineStr">
        <is>
          <t>1405/02/23</t>
        </is>
      </c>
      <c r="I244" s="124" t="inlineStr">
        <is>
          <t>1404/02/06</t>
        </is>
      </c>
      <c r="J244" s="124" t="inlineStr">
        <is>
          <t>1404/06/30</t>
        </is>
      </c>
      <c r="K244" s="177">
        <f>IFERROR(VLOOKUP(LEFT(H244,7),'تبدیل تاریخ'!$A$2:$B$73,2,FALSE())+VALUE(RIGHT(H244,2))-1,"")</f>
        <v/>
      </c>
      <c r="L244" s="177">
        <f>IFERROR(VLOOKUP(LEFT(I244,7),'تبدیل تاریخ'!$A$2:$B$73,2,FALSE())+VALUE(RIGHT(I244,2))-1,"")</f>
        <v/>
      </c>
      <c r="M244" s="177">
        <f>IF(J244="","",IFERROR(VLOOKUP(LEFT(J244,7),'تبدیل تاریخ'!$A$2:$B$73,2,FALSE())+VALUE(RIGHT(J244,2))-1,""))</f>
        <v/>
      </c>
      <c r="N244" s="124">
        <f>IF(OR(K244="",M244=""),"",CEILING((K244-M244)/30,1))</f>
        <v/>
      </c>
      <c r="O244" s="124">
        <f>IF(OR(ISNUMBER(SEARCH("بدون مورد",G244)),ISNUMBER(SEARCH("غير گارانتي",G244)),ISNUMBER(SEARCH("غیر گارانتی",G244)),ISNUMBER(SEARCH("بدون اجرت",G244)),ISNUMBER(SEARCH("فيلتر",G244)),ISNUMBER(SEARCH("فیلتر",G244))),"غیرگارانتی/بدون قطعه",IF(OR(ISNUMBER(SEARCH("ريست",G244)),ISNUMBER(SEARCH("ریست",G244))),"ریست نرم‌افزاری (بدون قطعه)",IF(OR(ISNUMBER(SEARCH("تعویض محصول",G244)),ISNUMBER(SEARCH("تعویض دستگاه",G244))),"تعویض کامل دستگاه (Replacement)",IF(ISNUMBER(SEARCH("پمپ",G244)),IF(ISNUMBER(SEARCH("نشت",G244)),"نشتی - پمپ تخلیه (تعمیر/آب‌بندی)","خرابی - پمپ تخلیه (تعویض)"),IF(ISNUMBER(SEARCH("کمپرسور",G244)),"خرابی - کمپرسور (تعویض)",IF(ISNUMBER(SEARCH("کمک فنر",G244)),"خرابی - کمک فنر (تعویض)",IF(ISNUMBER(SEARCH("لولا",G244)),"مکانیزم درب - لولا (تعویض)",IF(OR(ISNUMBER(SEARCH("قلاب",G244)),ISNUMBER(SEARCH("ميکروسوئيچ",G244)),ISNUMBER(SEARCH("میکروسوئیچ",G244))),"مکانیزم درب - میکروسوئیچ/قلاب (تعویض/تنظیم)",IF(ISNUMBER(SEARCH("زبانه",G244)),"مکانیزم درب - زبانه (تعویض)",IF(OR(ISNUMBER(SEARCH("شيلنگ",G244)),ISNUMBER(SEARCH("شیلنگ",G244))),IF(OR(ISNUMBER(SEARCH("نشتی",G244)),ISNUMBER(SEARCH("نشتي",G244))),"نشتی - شیلنگ (تعمیر/آب‌بندی)",IF(OR(ISNUMBER(SEARCH("يخ",G244)),ISNUMBER(SEARCH("یخ",G244))),"شیلنگ یخساز - یخ‌زدگی (بازبینی)","شیلنگ - برخورد/لهیدگی (بازبینی)")),IF(OR(ISNUMBER(SEARCH("تنظيم ديسپل",G244)),ISNUMBER(SEARCH("تنظیم دیسپل",G244)),ISNUMBER(SEARCH("تنظيم صفحه نمايش",G244)),ISNUMBER(SEARCH("تنظیم صفحه نمایش",G244))),"تنظیم - تنظیمات دستگاه/دیسپلی (تعمیر)",IF(OR(ISNUMBER(SEARCH("برد",G244)),ISNUMBER(SEARCH("سوکت",G244)),ISNUMBER(SEARCH("ديسپل",G244)),ISNUMBER(SEARCH("دیسپل",G244))),"خرابی - برد الکترونیک (تعویض)",IF(OR(ISNUMBER(SEARCH("يخساز",G244)),ISNUMBER(SEARCH("یخساز",G244)),ISNUMBER(SEARCH("دمپر",G244))),IF(OR(ISNUMBER(SEARCH("خرابی",G244)),ISNUMBER(SEARCH("خراب",G244)),ISNUMBER(SEARCH("عدم کارکرد",G244)),ISNUMBER(SEARCH("عدم عملکرد",G244))),"یخساز - خرابی موتور/سنسور/برد (تعویض)","یخساز - تنظیم/عایق (تعمیر)"),IF(OR(ISNUMBER(SEARCH("لاستيک",G244)),ISNUMBER(SEARCH("لاستیک",G244))),"لاستیک درزگیر - دفرمگی/پارگی (تعویض)",IF(OR(ISNUMBER(SEARCH("گسکت",G244)),ISNUMBER(SEARCH("گسگت",G244))),"لاستیک درزگیر - دفرمگی/پارگی (تعویض)",IF(ISNUMBER(SEARCH("مخزن نمک",G244)),"نشتی - درب مخزن نمک (تعمیر/آب‌بندی)",IF(ISNUMBER(SEARCH("براکت",G244)),"نشتی - براکت ریل (تعمیر/آب‌بندی)",IF(ISNUMBER(SEARCH("جاپودر",G244)),"نشتی - جاپودری (تعمیر/آب‌بندی)",IF(ISNUMBER(SEARCH("مقسم",G244)),"نشتی - مقسم آب (تعمیر/آب‌بندی)",IF(OR(ISNUMBER(SEARCH("سنسور دما",G244)),ISNUMBER(SEARCH("ترموستات",G244))),"خرابی - ترموستات (تعویض)",IF(OR(ISNUMBER(SEARCH("هيدروستات",G244)),ISNUMBER(SEARCH("هیدروستات",G244))),"خرابی - هیدروستات (تعویض)",IF(OR(ISNUMBER(SEARCH("بلبرينگ",G244)),ISNUMBER(SEARCH("بلبرینگ",G244))),"خرابی - بلبرینگ (تعویض)",IF(OR(ISNUMBER(SEARCH("شيربرق",G244)),ISNUMBER(SEARCH("شیربرق",G244))),"خرابی - شیربرقی (تعویض)",IF(OR(ISNUMBER(SEARCH("واتر جت",G244)),ISNUMBER(SEARCH("واترجت",G244))),"خرابی - واترجت (تعویض)",IF(OR(ISNUMBER(SEARCH("سيم",G244)),ISNUMBER(SEARCH("سیم",G244)),ISNUMBER(SEARCH("اتصال",G244))),"سیم‌کشی/اتصالات (تعویض/بازبینی)",IF(OR(ISNUMBER(SEARCH("تصوير",G244)),ISNUMBER(SEARCH("تصویر",G244))),"برد نمایش تلویزیون (تعویض)",IF(OR(ISNUMBER(SEARCH("ريموت",G244)),ISNUMBER(SEARCH("ریموت",G244))),"ریموت کنترل (تعویض/تعمیر)",IF(OR(ISNUMBER(SEARCH("ال اي دي",G244)),ISNUMBER(SEARCH("ال ای دی",G244)),ISNUMBER(SEARCH("LED",G244))),"خرابی - لامپ/LED داخلی (تعویض)",IF(ISNUMBER(SEARCH("زنگ زدگ",G244)),"زنگ‌زدگی بدنه/قطعه (تعویض)",IF(OR(ISNUMBER(SEARCH("قطعات تزئين",G244)),ISNUMBER(SEARCH("قطعات تزئین",G244))),"قطعات تزئینی - شکستگی/کسری (تعویض)",IF(ISNUMBER(SEARCH("سبد",G244)),"سبد ظرفشویی - شکستگی (تعویض)",IF(ISNUMBER(SEARCH("تاب درام",G244)),"خرابی - تاب برداشتن درام (تعویض)",IF(ISNUMBER(SEARCH("درام",G244)),"خرابی - سایر ایراد درام (تعویض)",IF(ISNUMBER(SEARCH("موتور",G244)),"خرابی - موتور (تعویض)",IF(ISNUMBER(SEARCH("تسمه",G244)),"خرابی - تسمه (تعویض)",IF(OR(ISNUMBER(SEARCH("پيچ ولوم",G244)),ISNUMBER(SEARCH("پیچ ولوم",G244))),"تنظیم - پیچ ولوم/دکمه (تعمیر)",IF(OR(ISNUMBER(SEARCH("کسري قطعات",G244)),ISNUMBER(SEARCH("کسری قطعات",G244))),"کسری قطعات تزئینی (تعویض)",IF(ISNUMBER(SEARCH("پرچ",G244)),"پرچ/بدنه کابین(تعمیر)",IF(OR(ISNUMBER(SEARCH("نشت",G244)),ISNUMBER(SEARCH("آبريزش",G244)),ISNUMBER(SEARCH("آبریزش",G244))),"نشتی آب - محل نامشخص (نیازمند بازدید)",IF(ISNUMBER(SEARCH("درب",G244)),"سایر اجزای درب (بازبینی)",IF(ISNUMBER(SEARCH("ضربه",G244)),"بدنه/کابین - ضربه (بازبینی/تعویض پنل)",IF(ISNUMBER(SEARCH("تراز",G244)),"تراز/لرزش - نصب (رگلاژ پایه)",IF(OR(ISNUMBER(SEARCH("تعویض",G244)),ISNUMBER(SEARCH("تعويض",G244))),"تعویض کامل دستگاه (Replacement)","سایر (نیازمند بررسی دستی)")))))))))))))))))))))))))))))))))))))))))))</f>
        <v/>
      </c>
      <c r="P244" s="124" t="inlineStr">
        <is>
          <t>باز شدن پرچ داخل کابين</t>
        </is>
      </c>
      <c r="Q244" s="124">
        <f>IF(ISNUMBER(SEARCH("عهده شرکت",F244)),"شرکت",IF(ISNUMBER(SEARCH("عهده مشتري",F244)),"مشتری",IF(ISNUMBER(SEARCH("عهده مشتری",F244)),"مشتری","نامشخص")))</f>
        <v/>
      </c>
      <c r="R244" s="178">
        <f>IF(O244="تعویض کامل دستگاه (Replacement)",IF(SUMIF('قیمت‌ها و مفروضات'!$A$9:$A$13,C244,'قیمت‌ها و مفروضات'!$C$9:$C$13)&lt;&gt;0,SUMIF('قیمت‌ها و مفروضات'!$A$9:$A$13,C244,'قیمت‌ها و مفروضات'!$C$9:$C$13),SUMIF('قیمت‌ها و مفروضات'!$A$9:$A$13,C244,'قیمت‌ها و مفروضات'!$B$9:$B$13)),IF(SUMIF('قیمت‌ها و مفروضات'!$A$18:$A$63,O244,'قیمت‌ها و مفروضات'!$C$18:$C$63)&lt;&gt;0,SUMIF('قیمت‌ها و مفروضات'!$A$18:$A$63,O244,'قیمت‌ها و مفروضات'!$C$18:$C$63),SUMIF('قیمت‌ها و مفروضات'!$A$18:$A$63,O244,'قیمت‌ها و مفروضات'!$B$18:$B$63)))</f>
        <v/>
      </c>
      <c r="S244" s="178">
        <f>'قیمت‌ها و مفروضات'!$B$3+'قیمت‌ها و مفروضات'!$B$4</f>
        <v/>
      </c>
      <c r="T244" s="178">
        <f>R244+S244</f>
        <v/>
      </c>
      <c r="U244" s="178">
        <f>IF(COUNTIF($E$2:E375,E244)&gt;1,"بله (تکراری)","خیر")</f>
        <v/>
      </c>
      <c r="V244" s="178">
        <f>IF(U244="بله (تکراری)",S244,0)</f>
        <v/>
      </c>
      <c r="W244" s="208" t="inlineStr"/>
      <c r="X244" s="208" t="inlineStr"/>
    </row>
    <row r="245" ht="58.5" customHeight="1" s="151">
      <c r="A245" s="176" t="n">
        <v>510017367</v>
      </c>
      <c r="B245" s="124">
        <f>CHOOSE(_xlfn.NUMBERVALUE(MID(H245,6,2)),"فروردین","اردیبهشت","خرداد","تیر","مرداد","شهریور","مهر","آبان","آذر","دی","بهمن","اسفند")</f>
        <v/>
      </c>
      <c r="C245" s="176" t="inlineStr">
        <is>
          <t>ماشين لباسشويي</t>
        </is>
      </c>
      <c r="D245" s="176" t="inlineStr">
        <is>
          <t>CWM-H10VCR1</t>
        </is>
      </c>
      <c r="E245" s="176" t="inlineStr">
        <is>
          <t>52210011N00704</t>
        </is>
      </c>
      <c r="F245" s="173" t="inlineStr">
        <is>
          <t>صداي غيرعادي هنگام خشک کن**اياب و ذهاب به عهده شرکت</t>
        </is>
      </c>
      <c r="G245" s="124" t="inlineStr">
        <is>
          <t>تراز پايه تنظيم</t>
        </is>
      </c>
      <c r="H245" s="176" t="inlineStr">
        <is>
          <t>1405/02/27</t>
        </is>
      </c>
      <c r="I245" s="124" t="inlineStr">
        <is>
          <t>1404/11/09</t>
        </is>
      </c>
      <c r="J245" s="124" t="inlineStr">
        <is>
          <t>1404/12/02</t>
        </is>
      </c>
      <c r="K245" s="177">
        <f>IFERROR(VLOOKUP(LEFT(H245,7),'تبدیل تاریخ'!$A$2:$B$73,2,FALSE())+VALUE(RIGHT(H245,2))-1,"")</f>
        <v/>
      </c>
      <c r="L245" s="177">
        <f>IFERROR(VLOOKUP(LEFT(I245,7),'تبدیل تاریخ'!$A$2:$B$73,2,FALSE())+VALUE(RIGHT(I245,2))-1,"")</f>
        <v/>
      </c>
      <c r="M245" s="177">
        <f>IF(J245="","",IFERROR(VLOOKUP(LEFT(J245,7),'تبدیل تاریخ'!$A$2:$B$73,2,FALSE())+VALUE(RIGHT(J245,2))-1,""))</f>
        <v/>
      </c>
      <c r="N245" s="124">
        <f>IF(OR(K245="",M245=""),"",CEILING((K245-M245)/30,1))</f>
        <v/>
      </c>
      <c r="O245" s="124">
        <f>IF(OR(ISNUMBER(SEARCH("بدون مورد",G245)),ISNUMBER(SEARCH("غير گارانتي",G245)),ISNUMBER(SEARCH("غیر گارانتی",G245)),ISNUMBER(SEARCH("بدون اجرت",G245)),ISNUMBER(SEARCH("فيلتر",G245)),ISNUMBER(SEARCH("فیلتر",G245))),"غیرگارانتی/بدون قطعه",IF(OR(ISNUMBER(SEARCH("ريست",G245)),ISNUMBER(SEARCH("ریست",G245))),"ریست نرم‌افزاری (بدون قطعه)",IF(OR(ISNUMBER(SEARCH("تعویض محصول",G245)),ISNUMBER(SEARCH("تعویض دستگاه",G245))),"تعویض کامل دستگاه (Replacement)",IF(ISNUMBER(SEARCH("پمپ",G245)),IF(ISNUMBER(SEARCH("نشت",G245)),"نشتی - پمپ تخلیه (تعمیر/آب‌بندی)","خرابی - پمپ تخلیه (تعویض)"),IF(ISNUMBER(SEARCH("کمپرسور",G245)),"خرابی - کمپرسور (تعویض)",IF(ISNUMBER(SEARCH("کمک فنر",G245)),"خرابی - کمک فنر (تعویض)",IF(ISNUMBER(SEARCH("لولا",G245)),"مکانیزم درب - لولا (تعویض)",IF(OR(ISNUMBER(SEARCH("قلاب",G245)),ISNUMBER(SEARCH("ميکروسوئيچ",G245)),ISNUMBER(SEARCH("میکروسوئیچ",G245))),"مکانیزم درب - میکروسوئیچ/قلاب (تعویض/تنظیم)",IF(ISNUMBER(SEARCH("زبانه",G245)),"مکانیزم درب - زبانه (تعویض)",IF(OR(ISNUMBER(SEARCH("شيلنگ",G245)),ISNUMBER(SEARCH("شیلنگ",G245))),IF(OR(ISNUMBER(SEARCH("نشتی",G245)),ISNUMBER(SEARCH("نشتي",G245))),"نشتی - شیلنگ (تعمیر/آب‌بندی)",IF(OR(ISNUMBER(SEARCH("يخ",G245)),ISNUMBER(SEARCH("یخ",G245))),"شیلنگ یخساز - یخ‌زدگی (بازبینی)","شیلنگ - برخورد/لهیدگی (بازبینی)")),IF(OR(ISNUMBER(SEARCH("تنظيم ديسپل",G245)),ISNUMBER(SEARCH("تنظیم دیسپل",G245)),ISNUMBER(SEARCH("تنظيم صفحه نمايش",G245)),ISNUMBER(SEARCH("تنظیم صفحه نمایش",G245))),"تنظیم - تنظیمات دستگاه/دیسپلی (تعمیر)",IF(OR(ISNUMBER(SEARCH("برد",G245)),ISNUMBER(SEARCH("سوکت",G245)),ISNUMBER(SEARCH("ديسپل",G245)),ISNUMBER(SEARCH("دیسپل",G245))),"خرابی - برد الکترونیک (تعویض)",IF(OR(ISNUMBER(SEARCH("يخساز",G245)),ISNUMBER(SEARCH("یخساز",G245)),ISNUMBER(SEARCH("دمپر",G245))),IF(OR(ISNUMBER(SEARCH("خرابی",G245)),ISNUMBER(SEARCH("خراب",G245)),ISNUMBER(SEARCH("عدم کارکرد",G245)),ISNUMBER(SEARCH("عدم عملکرد",G245))),"یخساز - خرابی موتور/سنسور/برد (تعویض)","یخساز - تنظیم/عایق (تعمیر)"),IF(OR(ISNUMBER(SEARCH("لاستيک",G245)),ISNUMBER(SEARCH("لاستیک",G245))),"لاستیک درزگیر - دفرمگی/پارگی (تعویض)",IF(OR(ISNUMBER(SEARCH("گسکت",G245)),ISNUMBER(SEARCH("گسگت",G245))),"لاستیک درزگیر - دفرمگی/پارگی (تعویض)",IF(ISNUMBER(SEARCH("مخزن نمک",G245)),"نشتی - درب مخزن نمک (تعمیر/آب‌بندی)",IF(ISNUMBER(SEARCH("براکت",G245)),"نشتی - براکت ریل (تعمیر/آب‌بندی)",IF(ISNUMBER(SEARCH("جاپودر",G245)),"نشتی - جاپودری (تعمیر/آب‌بندی)",IF(ISNUMBER(SEARCH("مقسم",G245)),"نشتی - مقسم آب (تعمیر/آب‌بندی)",IF(OR(ISNUMBER(SEARCH("سنسور دما",G245)),ISNUMBER(SEARCH("ترموستات",G245))),"خرابی - ترموستات (تعویض)",IF(OR(ISNUMBER(SEARCH("هيدروستات",G245)),ISNUMBER(SEARCH("هیدروستات",G245))),"خرابی - هیدروستات (تعویض)",IF(OR(ISNUMBER(SEARCH("بلبرينگ",G245)),ISNUMBER(SEARCH("بلبرینگ",G245))),"خرابی - بلبرینگ (تعویض)",IF(OR(ISNUMBER(SEARCH("شيربرق",G245)),ISNUMBER(SEARCH("شیربرق",G245))),"خرابی - شیربرقی (تعویض)",IF(OR(ISNUMBER(SEARCH("واتر جت",G245)),ISNUMBER(SEARCH("واترجت",G245))),"خرابی - واترجت (تعویض)",IF(OR(ISNUMBER(SEARCH("سيم",G245)),ISNUMBER(SEARCH("سیم",G245)),ISNUMBER(SEARCH("اتصال",G245))),"سیم‌کشی/اتصالات (تعویض/بازبینی)",IF(OR(ISNUMBER(SEARCH("تصوير",G245)),ISNUMBER(SEARCH("تصویر",G245))),"برد نمایش تلویزیون (تعویض)",IF(OR(ISNUMBER(SEARCH("ريموت",G245)),ISNUMBER(SEARCH("ریموت",G245))),"ریموت کنترل (تعویض/تعمیر)",IF(OR(ISNUMBER(SEARCH("ال اي دي",G245)),ISNUMBER(SEARCH("ال ای دی",G245)),ISNUMBER(SEARCH("LED",G245))),"خرابی - لامپ/LED داخلی (تعویض)",IF(ISNUMBER(SEARCH("زنگ زدگ",G245)),"زنگ‌زدگی بدنه/قطعه (تعویض)",IF(OR(ISNUMBER(SEARCH("قطعات تزئين",G245)),ISNUMBER(SEARCH("قطعات تزئین",G245))),"قطعات تزئینی - شکستگی/کسری (تعویض)",IF(ISNUMBER(SEARCH("سبد",G245)),"سبد ظرفشویی - شکستگی (تعویض)",IF(ISNUMBER(SEARCH("تاب درام",G245)),"خرابی - تاب برداشتن درام (تعویض)",IF(ISNUMBER(SEARCH("درام",G245)),"خرابی - سایر ایراد درام (تعویض)",IF(ISNUMBER(SEARCH("موتور",G245)),"خرابی - موتور (تعویض)",IF(ISNUMBER(SEARCH("تسمه",G245)),"خرابی - تسمه (تعویض)",IF(OR(ISNUMBER(SEARCH("پيچ ولوم",G245)),ISNUMBER(SEARCH("پیچ ولوم",G245))),"تنظیم - پیچ ولوم/دکمه (تعمیر)",IF(OR(ISNUMBER(SEARCH("کسري قطعات",G245)),ISNUMBER(SEARCH("کسری قطعات",G245))),"کسری قطعات تزئینی (تعویض)",IF(ISNUMBER(SEARCH("پرچ",G245)),"پرچ/بدنه کابین(تعمیر)",IF(OR(ISNUMBER(SEARCH("نشت",G245)),ISNUMBER(SEARCH("آبريزش",G245)),ISNUMBER(SEARCH("آبریزش",G245))),"نشتی آب - محل نامشخص (نیازمند بازدید)",IF(ISNUMBER(SEARCH("درب",G245)),"سایر اجزای درب (بازبینی)",IF(ISNUMBER(SEARCH("ضربه",G245)),"بدنه/کابین - ضربه (بازبینی/تعویض پنل)",IF(ISNUMBER(SEARCH("تراز",G245)),"تراز/لرزش - نصب (رگلاژ پایه)",IF(OR(ISNUMBER(SEARCH("تعویض",G245)),ISNUMBER(SEARCH("تعويض",G245))),"تعویض کامل دستگاه (Replacement)","سایر (نیازمند بررسی دستی)")))))))))))))))))))))))))))))))))))))))))))</f>
        <v/>
      </c>
      <c r="P245" s="124" t="inlineStr">
        <is>
          <t>رگلاژ پایه تنظیم لباسشویی</t>
        </is>
      </c>
      <c r="Q245" s="124">
        <f>IF(ISNUMBER(SEARCH("عهده شرکت",F245)),"شرکت",IF(ISNUMBER(SEARCH("عهده مشتري",F245)),"مشتری",IF(ISNUMBER(SEARCH("عهده مشتری",F245)),"مشتری","نامشخص")))</f>
        <v/>
      </c>
      <c r="R245" s="178">
        <f>IF(O245="تعویض کامل دستگاه (Replacement)",IF(SUMIF('قیمت‌ها و مفروضات'!$A$9:$A$13,C245,'قیمت‌ها و مفروضات'!$C$9:$C$13)&lt;&gt;0,SUMIF('قیمت‌ها و مفروضات'!$A$9:$A$13,C245,'قیمت‌ها و مفروضات'!$C$9:$C$13),SUMIF('قیمت‌ها و مفروضات'!$A$9:$A$13,C245,'قیمت‌ها و مفروضات'!$B$9:$B$13)),IF(SUMIF('قیمت‌ها و مفروضات'!$A$18:$A$63,O245,'قیمت‌ها و مفروضات'!$C$18:$C$63)&lt;&gt;0,SUMIF('قیمت‌ها و مفروضات'!$A$18:$A$63,O245,'قیمت‌ها و مفروضات'!$C$18:$C$63),SUMIF('قیمت‌ها و مفروضات'!$A$18:$A$63,O245,'قیمت‌ها و مفروضات'!$B$18:$B$63)))</f>
        <v/>
      </c>
      <c r="S245" s="178">
        <f>'قیمت‌ها و مفروضات'!$B$3+'قیمت‌ها و مفروضات'!$B$4</f>
        <v/>
      </c>
      <c r="T245" s="178">
        <f>R245+S245</f>
        <v/>
      </c>
      <c r="U245" s="178">
        <f>IF(COUNTIF($E$2:E376,E245)&gt;1,"بله (تکراری)","خیر")</f>
        <v/>
      </c>
      <c r="V245" s="178">
        <f>IF(U245="بله (تکراری)",S245,0)</f>
        <v/>
      </c>
      <c r="W245" s="208" t="inlineStr"/>
      <c r="X245" s="208" t="inlineStr"/>
    </row>
    <row r="246" ht="58.5" customHeight="1" s="151">
      <c r="A246" s="176" t="n">
        <v>778100</v>
      </c>
      <c r="B246" s="124">
        <f>CHOOSE(_xlfn.NUMBERVALUE(MID(H246,6,2)),"فروردین","اردیبهشت","خرداد","تیر","مرداد","شهریور","مهر","آبان","آذر","دی","بهمن","اسفند")</f>
        <v/>
      </c>
      <c r="C246" s="176" t="inlineStr">
        <is>
          <t>ماشين لباسشويي</t>
        </is>
      </c>
      <c r="D246" s="176" t="inlineStr">
        <is>
          <t>CWM-BMW8T2</t>
        </is>
      </c>
      <c r="E246" s="176" t="inlineStr">
        <is>
          <t>52210009N02113</t>
        </is>
      </c>
      <c r="F246" s="173" t="inlineStr">
        <is>
          <t>لرزش و حرکت محصول**صداي غيرعادي هنگام خشک کن**اياب و ذهاب به عهده شرکت</t>
        </is>
      </c>
      <c r="G246" s="124" t="inlineStr">
        <is>
          <t>تراز پايه تنظيم</t>
        </is>
      </c>
      <c r="H246" s="176" t="inlineStr">
        <is>
          <t>1405/02/28</t>
        </is>
      </c>
      <c r="I246" s="124" t="inlineStr">
        <is>
          <t>1404/07/26</t>
        </is>
      </c>
      <c r="J246" s="124" t="inlineStr">
        <is>
          <t>1404/09/27</t>
        </is>
      </c>
      <c r="K246" s="177">
        <f>IFERROR(VLOOKUP(LEFT(H246,7),'تبدیل تاریخ'!$A$2:$B$73,2,FALSE())+VALUE(RIGHT(H246,2))-1,"")</f>
        <v/>
      </c>
      <c r="L246" s="177">
        <f>IFERROR(VLOOKUP(LEFT(I246,7),'تبدیل تاریخ'!$A$2:$B$73,2,FALSE())+VALUE(RIGHT(I246,2))-1,"")</f>
        <v/>
      </c>
      <c r="M246" s="177">
        <f>IF(J246="","",IFERROR(VLOOKUP(LEFT(J246,7),'تبدیل تاریخ'!$A$2:$B$73,2,FALSE())+VALUE(RIGHT(J246,2))-1,""))</f>
        <v/>
      </c>
      <c r="N246" s="124">
        <f>IF(OR(K246="",M246=""),"",CEILING((K246-M246)/30,1))</f>
        <v/>
      </c>
      <c r="O246" s="124">
        <f>IF(OR(ISNUMBER(SEARCH("بدون مورد",G246)),ISNUMBER(SEARCH("غير گارانتي",G246)),ISNUMBER(SEARCH("غیر گارانتی",G246)),ISNUMBER(SEARCH("بدون اجرت",G246)),ISNUMBER(SEARCH("فيلتر",G246)),ISNUMBER(SEARCH("فیلتر",G246))),"غیرگارانتی/بدون قطعه",IF(OR(ISNUMBER(SEARCH("ريست",G246)),ISNUMBER(SEARCH("ریست",G246))),"ریست نرم‌افزاری (بدون قطعه)",IF(OR(ISNUMBER(SEARCH("تعویض محصول",G246)),ISNUMBER(SEARCH("تعویض دستگاه",G246))),"تعویض کامل دستگاه (Replacement)",IF(ISNUMBER(SEARCH("پمپ",G246)),IF(ISNUMBER(SEARCH("نشت",G246)),"نشتی - پمپ تخلیه (تعمیر/آب‌بندی)","خرابی - پمپ تخلیه (تعویض)"),IF(ISNUMBER(SEARCH("کمپرسور",G246)),"خرابی - کمپرسور (تعویض)",IF(ISNUMBER(SEARCH("کمک فنر",G246)),"خرابی - کمک فنر (تعویض)",IF(ISNUMBER(SEARCH("لولا",G246)),"مکانیزم درب - لولا (تعویض)",IF(OR(ISNUMBER(SEARCH("قلاب",G246)),ISNUMBER(SEARCH("ميکروسوئيچ",G246)),ISNUMBER(SEARCH("میکروسوئیچ",G246))),"مکانیزم درب - میکروسوئیچ/قلاب (تعویض/تنظیم)",IF(ISNUMBER(SEARCH("زبانه",G246)),"مکانیزم درب - زبانه (تعویض)",IF(OR(ISNUMBER(SEARCH("شيلنگ",G246)),ISNUMBER(SEARCH("شیلنگ",G246))),IF(OR(ISNUMBER(SEARCH("نشتی",G246)),ISNUMBER(SEARCH("نشتي",G246))),"نشتی - شیلنگ (تعمیر/آب‌بندی)",IF(OR(ISNUMBER(SEARCH("يخ",G246)),ISNUMBER(SEARCH("یخ",G246))),"شیلنگ یخساز - یخ‌زدگی (بازبینی)","شیلنگ - برخورد/لهیدگی (بازبینی)")),IF(OR(ISNUMBER(SEARCH("تنظيم ديسپل",G246)),ISNUMBER(SEARCH("تنظیم دیسپل",G246)),ISNUMBER(SEARCH("تنظيم صفحه نمايش",G246)),ISNUMBER(SEARCH("تنظیم صفحه نمایش",G246))),"تنظیم - تنظیمات دستگاه/دیسپلی (تعمیر)",IF(OR(ISNUMBER(SEARCH("برد",G246)),ISNUMBER(SEARCH("سوکت",G246)),ISNUMBER(SEARCH("ديسپل",G246)),ISNUMBER(SEARCH("دیسپل",G246))),"خرابی - برد الکترونیک (تعویض)",IF(OR(ISNUMBER(SEARCH("يخساز",G246)),ISNUMBER(SEARCH("یخساز",G246)),ISNUMBER(SEARCH("دمپر",G246))),IF(OR(ISNUMBER(SEARCH("خرابی",G246)),ISNUMBER(SEARCH("خراب",G246)),ISNUMBER(SEARCH("عدم کارکرد",G246)),ISNUMBER(SEARCH("عدم عملکرد",G246))),"یخساز - خرابی موتور/سنسور/برد (تعویض)","یخساز - تنظیم/عایق (تعمیر)"),IF(OR(ISNUMBER(SEARCH("لاستيک",G246)),ISNUMBER(SEARCH("لاستیک",G246))),"لاستیک درزگیر - دفرمگی/پارگی (تعویض)",IF(OR(ISNUMBER(SEARCH("گسکت",G246)),ISNUMBER(SEARCH("گسگت",G246))),"لاستیک درزگیر - دفرمگی/پارگی (تعویض)",IF(ISNUMBER(SEARCH("مخزن نمک",G246)),"نشتی - درب مخزن نمک (تعمیر/آب‌بندی)",IF(ISNUMBER(SEARCH("براکت",G246)),"نشتی - براکت ریل (تعمیر/آب‌بندی)",IF(ISNUMBER(SEARCH("جاپودر",G246)),"نشتی - جاپودری (تعمیر/آب‌بندی)",IF(ISNUMBER(SEARCH("مقسم",G246)),"نشتی - مقسم آب (تعمیر/آب‌بندی)",IF(OR(ISNUMBER(SEARCH("سنسور دما",G246)),ISNUMBER(SEARCH("ترموستات",G246))),"خرابی - ترموستات (تعویض)",IF(OR(ISNUMBER(SEARCH("هيدروستات",G246)),ISNUMBER(SEARCH("هیدروستات",G246))),"خرابی - هیدروستات (تعویض)",IF(OR(ISNUMBER(SEARCH("بلبرينگ",G246)),ISNUMBER(SEARCH("بلبرینگ",G246))),"خرابی - بلبرینگ (تعویض)",IF(OR(ISNUMBER(SEARCH("شيربرق",G246)),ISNUMBER(SEARCH("شیربرق",G246))),"خرابی - شیربرقی (تعویض)",IF(OR(ISNUMBER(SEARCH("واتر جت",G246)),ISNUMBER(SEARCH("واترجت",G246))),"خرابی - واترجت (تعویض)",IF(OR(ISNUMBER(SEARCH("سيم",G246)),ISNUMBER(SEARCH("سیم",G246)),ISNUMBER(SEARCH("اتصال",G246))),"سیم‌کشی/اتصالات (تعویض/بازبینی)",IF(OR(ISNUMBER(SEARCH("تصوير",G246)),ISNUMBER(SEARCH("تصویر",G246))),"برد نمایش تلویزیون (تعویض)",IF(OR(ISNUMBER(SEARCH("ريموت",G246)),ISNUMBER(SEARCH("ریموت",G246))),"ریموت کنترل (تعویض/تعمیر)",IF(OR(ISNUMBER(SEARCH("ال اي دي",G246)),ISNUMBER(SEARCH("ال ای دی",G246)),ISNUMBER(SEARCH("LED",G246))),"خرابی - لامپ/LED داخلی (تعویض)",IF(ISNUMBER(SEARCH("زنگ زدگ",G246)),"زنگ‌زدگی بدنه/قطعه (تعویض)",IF(OR(ISNUMBER(SEARCH("قطعات تزئين",G246)),ISNUMBER(SEARCH("قطعات تزئین",G246))),"قطعات تزئینی - شکستگی/کسری (تعویض)",IF(ISNUMBER(SEARCH("سبد",G246)),"سبد ظرفشویی - شکستگی (تعویض)",IF(ISNUMBER(SEARCH("تاب درام",G246)),"خرابی - تاب برداشتن درام (تعویض)",IF(ISNUMBER(SEARCH("درام",G246)),"خرابی - سایر ایراد درام (تعویض)",IF(ISNUMBER(SEARCH("موتور",G246)),"خرابی - موتور (تعویض)",IF(ISNUMBER(SEARCH("تسمه",G246)),"خرابی - تسمه (تعویض)",IF(OR(ISNUMBER(SEARCH("پيچ ولوم",G246)),ISNUMBER(SEARCH("پیچ ولوم",G246))),"تنظیم - پیچ ولوم/دکمه (تعمیر)",IF(OR(ISNUMBER(SEARCH("کسري قطعات",G246)),ISNUMBER(SEARCH("کسری قطعات",G246))),"کسری قطعات تزئینی (تعویض)",IF(ISNUMBER(SEARCH("پرچ",G246)),"پرچ/بدنه کابین(تعمیر)",IF(OR(ISNUMBER(SEARCH("نشت",G246)),ISNUMBER(SEARCH("آبريزش",G246)),ISNUMBER(SEARCH("آبریزش",G246))),"نشتی آب - محل نامشخص (نیازمند بازدید)",IF(ISNUMBER(SEARCH("درب",G246)),"سایر اجزای درب (بازبینی)",IF(ISNUMBER(SEARCH("ضربه",G246)),"بدنه/کابین - ضربه (بازبینی/تعویض پنل)",IF(ISNUMBER(SEARCH("تراز",G246)),"تراز/لرزش - نصب (رگلاژ پایه)",IF(OR(ISNUMBER(SEARCH("تعویض",G246)),ISNUMBER(SEARCH("تعويض",G246))),"تعویض کامل دستگاه (Replacement)","سایر (نیازمند بررسی دستی)")))))))))))))))))))))))))))))))))))))))))))</f>
        <v/>
      </c>
      <c r="P246" s="124" t="inlineStr">
        <is>
          <t>رگلاژ پایه تنظیم لباسشویی</t>
        </is>
      </c>
      <c r="Q246" s="124">
        <f>IF(ISNUMBER(SEARCH("عهده شرکت",F246)),"شرکت",IF(ISNUMBER(SEARCH("عهده مشتري",F246)),"مشتری",IF(ISNUMBER(SEARCH("عهده مشتری",F246)),"مشتری","نامشخص")))</f>
        <v/>
      </c>
      <c r="R246" s="178">
        <f>IF(O246="تعویض کامل دستگاه (Replacement)",IF(SUMIF('قیمت‌ها و مفروضات'!$A$9:$A$13,C246,'قیمت‌ها و مفروضات'!$C$9:$C$13)&lt;&gt;0,SUMIF('قیمت‌ها و مفروضات'!$A$9:$A$13,C246,'قیمت‌ها و مفروضات'!$C$9:$C$13),SUMIF('قیمت‌ها و مفروضات'!$A$9:$A$13,C246,'قیمت‌ها و مفروضات'!$B$9:$B$13)),IF(SUMIF('قیمت‌ها و مفروضات'!$A$18:$A$63,O246,'قیمت‌ها و مفروضات'!$C$18:$C$63)&lt;&gt;0,SUMIF('قیمت‌ها و مفروضات'!$A$18:$A$63,O246,'قیمت‌ها و مفروضات'!$C$18:$C$63),SUMIF('قیمت‌ها و مفروضات'!$A$18:$A$63,O246,'قیمت‌ها و مفروضات'!$B$18:$B$63)))</f>
        <v/>
      </c>
      <c r="S246" s="178">
        <f>'قیمت‌ها و مفروضات'!$B$3+'قیمت‌ها و مفروضات'!$B$4</f>
        <v/>
      </c>
      <c r="T246" s="178">
        <f>R246+S246</f>
        <v/>
      </c>
      <c r="U246" s="178">
        <f>IF(COUNTIF($E$2:E377,E246)&gt;1,"بله (تکراری)","خیر")</f>
        <v/>
      </c>
      <c r="V246" s="178">
        <f>IF(U246="بله (تکراری)",S246,0)</f>
        <v/>
      </c>
      <c r="W246" s="208" t="inlineStr"/>
      <c r="X246" s="208" t="inlineStr"/>
    </row>
    <row r="247" ht="58.5" customHeight="1" s="151">
      <c r="A247" s="176" t="n">
        <v>803211</v>
      </c>
      <c r="B247" s="124">
        <f>CHOOSE(_xlfn.NUMBERVALUE(MID(H247,6,2)),"فروردین","اردیبهشت","خرداد","تیر","مرداد","شهریور","مهر","آبان","آذر","دی","بهمن","اسفند")</f>
        <v/>
      </c>
      <c r="C247" s="176" t="inlineStr">
        <is>
          <t>یخچال ساید‌بای‌ساید</t>
        </is>
      </c>
      <c r="D247" s="176" t="inlineStr">
        <is>
          <t>C2S-29HS1</t>
        </is>
      </c>
      <c r="E247" s="176" t="inlineStr">
        <is>
          <t>52240001N01417</t>
        </is>
      </c>
      <c r="F247" s="173" t="inlineStr">
        <is>
          <t>گرم شدن محصول**اياب و ذهاب به عهده مشتري</t>
        </is>
      </c>
      <c r="G247" s="173" t="inlineStr">
        <is>
          <t>خرابي کمپرسور - از کارافتادن - سايد باي سايد</t>
        </is>
      </c>
      <c r="H247" s="176" t="inlineStr">
        <is>
          <t>1405/05/03</t>
        </is>
      </c>
      <c r="I247" s="176" t="inlineStr"/>
      <c r="J247" s="176" t="inlineStr"/>
      <c r="K247" s="177">
        <f>IFERROR(VLOOKUP(LEFT(H247,7),'تبدیل تاریخ'!$A$2:$B$73,2,FALSE())+VALUE(RIGHT(H247,2))-1,"")</f>
        <v/>
      </c>
      <c r="L247" s="177">
        <f>IFERROR(VLOOKUP(LEFT(I247,7),'تبدیل تاریخ'!$A$2:$B$73,2,FALSE())+VALUE(RIGHT(I247,2))-1,"")</f>
        <v/>
      </c>
      <c r="M247" s="177">
        <f>IF(J247="","",IFERROR(VLOOKUP(LEFT(J247,7),'تبدیل تاریخ'!$A$2:$B$73,2,FALSE())+VALUE(RIGHT(J247,2))-1,""))</f>
        <v/>
      </c>
      <c r="N247" s="124">
        <f>IF(OR(K247="",M247=""),"",CEILING((K247-M247)/30,1))</f>
        <v/>
      </c>
      <c r="O247" s="124" t="inlineStr">
        <is>
          <t>خرابی - کمپرسور (تعویض)</t>
        </is>
      </c>
      <c r="P247" s="124" t="inlineStr">
        <is>
          <t>کمپرسور اينورتر سايدباي سايد C2S-29HS1-VFL110CY</t>
        </is>
      </c>
      <c r="Q247" s="124" t="n"/>
      <c r="R247" s="178">
        <f>IF(O247="تعویض کامل دستگاه (Replacement)",IF(SUMIF('قیمت‌ها و مفروضات'!$A$9:$A$13,C247,'قیمت‌ها و مفروضات'!$C$9:$C$13)&lt;&gt;0,SUMIF('قیمت‌ها و مفروضات'!$A$9:$A$13,C247,'قیمت‌ها و مفروضات'!$C$9:$C$13),SUMIF('قیمت‌ها و مفروضات'!$A$9:$A$13,C247,'قیمت‌ها و مفروضات'!$B$9:$B$13)),IF(SUMIF('قیمت‌ها و مفروضات'!$A$18:$A$63,O247,'قیمت‌ها و مفروضات'!$C$18:$C$63)&lt;&gt;0,SUMIF('قیمت‌ها و مفروضات'!$A$18:$A$63,O247,'قیمت‌ها و مفروضات'!$C$18:$C$63),SUMIF('قیمت‌ها و مفروضات'!$A$18:$A$63,O247,'قیمت‌ها و مفروضات'!$B$18:$B$63)))</f>
        <v/>
      </c>
      <c r="S247" s="178">
        <f>'قیمت‌ها و مفروضات'!$B$3+'قیمت‌ها و مفروضات'!$B$4</f>
        <v/>
      </c>
      <c r="T247" s="178">
        <f>R247+S247</f>
        <v/>
      </c>
      <c r="U247" s="178">
        <f>IF(COUNTIF($E$2:E247,E247)&gt;1,"بله (تکراری)","خیر")</f>
        <v/>
      </c>
      <c r="V247" s="176">
        <f>IF(U247="بله (تکراری)",S247,0)</f>
        <v/>
      </c>
      <c r="W247" s="176" t="inlineStr">
        <is>
          <t>محمدعلي کامل/ کد 51001T</t>
        </is>
      </c>
      <c r="X247" s="176" t="inlineStr">
        <is>
          <t>مشهد</t>
        </is>
      </c>
    </row>
    <row r="248" ht="58.5" customHeight="1" s="151">
      <c r="A248" s="176" t="n">
        <v>210017131</v>
      </c>
      <c r="B248" s="124">
        <f>CHOOSE(_xlfn.NUMBERVALUE(MID(H248,6,2)),"فروردین","اردیبهشت","خرداد","تیر","مرداد","شهریور","مهر","آبان","آذر","دی","بهمن","اسفند")</f>
        <v/>
      </c>
      <c r="C248" s="176" t="inlineStr">
        <is>
          <t>يخچال ميني</t>
        </is>
      </c>
      <c r="D248" s="176" t="inlineStr">
        <is>
          <t>CM-RS5BL1</t>
        </is>
      </c>
      <c r="E248" s="176" t="inlineStr">
        <is>
          <t>52240005N00063</t>
        </is>
      </c>
      <c r="F248" s="173" t="inlineStr">
        <is>
          <t>خاموش بودن LED کاور / سقفي**اياب و ذهاب به عهده مشتري</t>
        </is>
      </c>
      <c r="G248" s="173" t="inlineStr">
        <is>
          <t>خرابی LED</t>
        </is>
      </c>
      <c r="H248" s="176" t="inlineStr">
        <is>
          <t>1405/05/04</t>
        </is>
      </c>
      <c r="I248" s="176" t="inlineStr"/>
      <c r="J248" s="176" t="inlineStr"/>
      <c r="K248" s="177">
        <f>IFERROR(VLOOKUP(LEFT(H248,7),'تبدیل تاریخ'!$A$2:$B$73,2,FALSE())+VALUE(RIGHT(H248,2))-1,"")</f>
        <v/>
      </c>
      <c r="L248" s="177">
        <f>IFERROR(VLOOKUP(LEFT(I248,7),'تبدیل تاریخ'!$A$2:$B$73,2,FALSE())+VALUE(RIGHT(I248,2))-1,"")</f>
        <v/>
      </c>
      <c r="M248" s="177">
        <f>IF(J248="","",IFERROR(VLOOKUP(LEFT(J248,7),'تبدیل تاریخ'!$A$2:$B$73,2,FALSE())+VALUE(RIGHT(J248,2))-1,""))</f>
        <v/>
      </c>
      <c r="N248" s="124">
        <f>IF(OR(K248="",M248=""),"",CEILING((K248-M248)/30,1))</f>
        <v/>
      </c>
      <c r="O248" s="124" t="inlineStr">
        <is>
          <t>خرابی - لامپ/LED داخلی (تعویض)</t>
        </is>
      </c>
      <c r="P248" s="124" t="inlineStr">
        <is>
          <t>MINI LED یخچال</t>
        </is>
      </c>
      <c r="Q248" s="124" t="n"/>
      <c r="R248" s="178">
        <f>IF(O248="تعویض کامل دستگاه (Replacement)",IF(SUMIF('قیمت‌ها و مفروضات'!$A$9:$A$13,C248,'قیمت‌ها و مفروضات'!$C$9:$C$13)&lt;&gt;0,SUMIF('قیمت‌ها و مفروضات'!$A$9:$A$13,C248,'قیمت‌ها و مفروضات'!$C$9:$C$13),SUMIF('قیمت‌ها و مفروضات'!$A$9:$A$13,C248,'قیمت‌ها و مفروضات'!$B$9:$B$13)),IF(SUMIF('قیمت‌ها و مفروضات'!$A$18:$A$63,O248,'قیمت‌ها و مفروضات'!$C$18:$C$63)&lt;&gt;0,SUMIF('قیمت‌ها و مفروضات'!$A$18:$A$63,O248,'قیمت‌ها و مفروضات'!$C$18:$C$63),SUMIF('قیمت‌ها و مفروضات'!$A$18:$A$63,O248,'قیمت‌ها و مفروضات'!$B$18:$B$63)))</f>
        <v/>
      </c>
      <c r="S248" s="178">
        <f>'قیمت‌ها و مفروضات'!$B$3+'قیمت‌ها و مفروضات'!$B$4</f>
        <v/>
      </c>
      <c r="T248" s="178">
        <f>R248+S248</f>
        <v/>
      </c>
      <c r="U248" s="178">
        <f>IF(COUNTIF($E$2:E248,E248)&gt;1,"بله (تکراری)","خیر")</f>
        <v/>
      </c>
      <c r="V248" s="176">
        <f>IF(U248="بله (تکراری)",S248,0)</f>
        <v/>
      </c>
      <c r="W248" s="176" t="inlineStr">
        <is>
          <t>حسين بابايي همت آبادي/ کد 1720</t>
        </is>
      </c>
      <c r="X248" s="176" t="inlineStr">
        <is>
          <t>تهران - منطقه 2</t>
        </is>
      </c>
    </row>
    <row r="249" ht="58.5" customHeight="1" s="151">
      <c r="A249" s="176" t="n">
        <v>810004999</v>
      </c>
      <c r="B249" s="124">
        <f>CHOOSE(_xlfn.NUMBERVALUE(MID(H249,6,2)),"فروردین","اردیبهشت","خرداد","تیر","مرداد","شهریور","مهر","آبان","آذر","دی","بهمن","اسفند")</f>
        <v/>
      </c>
      <c r="C249" s="176" t="inlineStr">
        <is>
          <t>ماشين لباسشويي</t>
        </is>
      </c>
      <c r="D249" s="176" t="inlineStr">
        <is>
          <t>CWM-BMW8TW2</t>
        </is>
      </c>
      <c r="E249" s="176" t="inlineStr">
        <is>
          <t>52210009N01919</t>
        </is>
      </c>
      <c r="F249" s="173" t="inlineStr">
        <is>
          <t>صداي غيرعادي هنگام خشک کن ** اياب و ذهاب به عهده مشتري</t>
        </is>
      </c>
      <c r="G249" s="173" t="inlineStr">
        <is>
          <t>تراز پايه تنظيم</t>
        </is>
      </c>
      <c r="H249" s="176" t="inlineStr">
        <is>
          <t>1405/05/06</t>
        </is>
      </c>
      <c r="I249" s="176" t="inlineStr"/>
      <c r="J249" s="176" t="inlineStr"/>
      <c r="K249" s="177">
        <f>IFERROR(VLOOKUP(LEFT(H249,7),'تبدیل تاریخ'!$A$2:$B$73,2,FALSE())+VALUE(RIGHT(H249,2))-1,"")</f>
        <v/>
      </c>
      <c r="L249" s="177">
        <f>IFERROR(VLOOKUP(LEFT(I249,7),'تبدیل تاریخ'!$A$2:$B$73,2,FALSE())+VALUE(RIGHT(I249,2))-1,"")</f>
        <v/>
      </c>
      <c r="M249" s="177">
        <f>IF(J249="","",IFERROR(VLOOKUP(LEFT(J249,7),'تبدیل تاریخ'!$A$2:$B$73,2,FALSE())+VALUE(RIGHT(J249,2))-1,""))</f>
        <v/>
      </c>
      <c r="N249" s="124">
        <f>IF(OR(K249="",M249=""),"",CEILING((K249-M249)/30,1))</f>
        <v/>
      </c>
      <c r="O249" s="124" t="inlineStr">
        <is>
          <t>تراز/لرزش - نصب (رگلاژ پایه)</t>
        </is>
      </c>
      <c r="P249" s="124" t="inlineStr">
        <is>
          <t>*</t>
        </is>
      </c>
      <c r="Q249" s="124" t="n"/>
      <c r="R249" s="178">
        <f>IF(O249="تعویض کامل دستگاه (Replacement)",IF(SUMIF('قیمت‌ها و مفروضات'!$A$9:$A$13,C249,'قیمت‌ها و مفروضات'!$C$9:$C$13)&lt;&gt;0,SUMIF('قیمت‌ها و مفروضات'!$A$9:$A$13,C249,'قیمت‌ها و مفروضات'!$C$9:$C$13),SUMIF('قیمت‌ها و مفروضات'!$A$9:$A$13,C249,'قیمت‌ها و مفروضات'!$B$9:$B$13)),IF(SUMIF('قیمت‌ها و مفروضات'!$A$18:$A$63,O249,'قیمت‌ها و مفروضات'!$C$18:$C$63)&lt;&gt;0,SUMIF('قیمت‌ها و مفروضات'!$A$18:$A$63,O249,'قیمت‌ها و مفروضات'!$C$18:$C$63),SUMIF('قیمت‌ها و مفروضات'!$A$18:$A$63,O249,'قیمت‌ها و مفروضات'!$B$18:$B$63)))</f>
        <v/>
      </c>
      <c r="S249" s="178">
        <f>'قیمت‌ها و مفروضات'!$B$3+'قیمت‌ها و مفروضات'!$B$4</f>
        <v/>
      </c>
      <c r="T249" s="178">
        <f>R249+S249</f>
        <v/>
      </c>
      <c r="U249" s="178">
        <f>IF(COUNTIF($E$2:E249,E249)&gt;1,"بله (تکراری)","خیر")</f>
        <v/>
      </c>
      <c r="V249" s="176">
        <f>IF(U249="بله (تکراری)",S249,0)</f>
        <v/>
      </c>
      <c r="W249" s="176" t="inlineStr"/>
      <c r="X249" s="176" t="inlineStr">
        <is>
          <t>ملاير</t>
        </is>
      </c>
    </row>
    <row r="250" ht="58.5" customHeight="1" s="151">
      <c r="A250" s="176" t="n">
        <v>810005151</v>
      </c>
      <c r="B250" s="124">
        <f>CHOOSE(_xlfn.NUMBERVALUE(MID(H250,6,2)),"فروردین","اردیبهشت","خرداد","تیر","مرداد","شهریور","مهر","آبان","آذر","دی","بهمن","اسفند")</f>
        <v/>
      </c>
      <c r="C250" s="176" t="inlineStr">
        <is>
          <t>ماشين ظرفشويي</t>
        </is>
      </c>
      <c r="D250" s="176" t="inlineStr">
        <is>
          <t>CDW-H16TW1</t>
        </is>
      </c>
      <c r="E250" s="176" t="inlineStr"/>
      <c r="F250" s="173" t="inlineStr">
        <is>
          <t>بسته نشدن درب ** مجدد ** خطاي F11 ** اياب و ذهاب به عهده شرکت</t>
        </is>
      </c>
      <c r="G250" s="173" t="inlineStr">
        <is>
          <t>خرابی قلاب میکروسوئیچ</t>
        </is>
      </c>
      <c r="H250" s="176" t="inlineStr">
        <is>
          <t>1405/05/10</t>
        </is>
      </c>
      <c r="I250" s="176" t="inlineStr"/>
      <c r="J250" s="176" t="inlineStr"/>
      <c r="K250" s="177">
        <f>IFERROR(VLOOKUP(LEFT(H250,7),'تبدیل تاریخ'!$A$2:$B$73,2,FALSE())+VALUE(RIGHT(H250,2))-1,"")</f>
        <v/>
      </c>
      <c r="L250" s="177">
        <f>IFERROR(VLOOKUP(LEFT(I250,7),'تبدیل تاریخ'!$A$2:$B$73,2,FALSE())+VALUE(RIGHT(I250,2))-1,"")</f>
        <v/>
      </c>
      <c r="M250" s="177">
        <f>IF(J250="","",IFERROR(VLOOKUP(LEFT(J250,7),'تبدیل تاریخ'!$A$2:$B$73,2,FALSE())+VALUE(RIGHT(J250,2))-1,""))</f>
        <v/>
      </c>
      <c r="N250" s="124">
        <f>IF(OR(K250="",M250=""),"",CEILING((K250-M250)/30,1))</f>
        <v/>
      </c>
      <c r="O250" s="124" t="inlineStr">
        <is>
          <t>مکانیزم درب - میکروسوئیچ/قلاب (تعویض/تنظیم)</t>
        </is>
      </c>
      <c r="P250" s="124" t="inlineStr">
        <is>
          <t>قلاب ميکروسوئيچ ماشين ظرفشويی     CDW-H13\CDW-H15\CDW-H16</t>
        </is>
      </c>
      <c r="Q250" s="124" t="n"/>
      <c r="R250" s="178">
        <f>IF(O250="تعویض کامل دستگاه (Replacement)",IF(SUMIF('قیمت‌ها و مفروضات'!$A$9:$A$13,C250,'قیمت‌ها و مفروضات'!$C$9:$C$13)&lt;&gt;0,SUMIF('قیمت‌ها و مفروضات'!$A$9:$A$13,C250,'قیمت‌ها و مفروضات'!$C$9:$C$13),SUMIF('قیمت‌ها و مفروضات'!$A$9:$A$13,C250,'قیمت‌ها و مفروضات'!$B$9:$B$13)),IF(SUMIF('قیمت‌ها و مفروضات'!$A$18:$A$63,O250,'قیمت‌ها و مفروضات'!$C$18:$C$63)&lt;&gt;0,SUMIF('قیمت‌ها و مفروضات'!$A$18:$A$63,O250,'قیمت‌ها و مفروضات'!$C$18:$C$63),SUMIF('قیمت‌ها و مفروضات'!$A$18:$A$63,O250,'قیمت‌ها و مفروضات'!$B$18:$B$63)))</f>
        <v/>
      </c>
      <c r="S250" s="178">
        <f>'قیمت‌ها و مفروضات'!$B$3+'قیمت‌ها و مفروضات'!$B$4</f>
        <v/>
      </c>
      <c r="T250" s="178">
        <f>R250+S250</f>
        <v/>
      </c>
      <c r="U250" s="178">
        <f>IF(COUNTIF($E$2:E250,E250)&gt;1,"بله (تکراری)","خیر")</f>
        <v/>
      </c>
      <c r="V250" s="176">
        <f>IF(U250="بله (تکراری)",S250,0)</f>
        <v/>
      </c>
      <c r="W250" s="176" t="inlineStr">
        <is>
          <t>محمد الياسي /کد 3717 - شوينده</t>
        </is>
      </c>
      <c r="X250" s="176" t="inlineStr">
        <is>
          <t>ساوه</t>
        </is>
      </c>
    </row>
    <row r="251" ht="58.5" customHeight="1" s="151">
      <c r="A251" s="176" t="n">
        <v>210019667</v>
      </c>
      <c r="B251" s="124">
        <f>CHOOSE(_xlfn.NUMBERVALUE(MID(H251,6,2)),"فروردین","اردیبهشت","خرداد","تیر","مرداد","شهریور","مهر","آبان","آذر","دی","بهمن","اسفند")</f>
        <v/>
      </c>
      <c r="C251" s="176" t="inlineStr">
        <is>
          <t>یخچال ساید‌بای‌ساید</t>
        </is>
      </c>
      <c r="D251" s="176" t="inlineStr">
        <is>
          <t>C2S-29HS1</t>
        </is>
      </c>
      <c r="E251" s="176" t="inlineStr">
        <is>
          <t>52240001N01596</t>
        </is>
      </c>
      <c r="F251" s="173" t="inlineStr">
        <is>
          <t>عدم کارکرد يخساز ** اياب و ذهاب به عهده شرکت</t>
        </is>
      </c>
      <c r="G251" s="173" t="inlineStr">
        <is>
          <t xml:space="preserve">خرابي موتور يخساز </t>
        </is>
      </c>
      <c r="H251" s="176" t="inlineStr">
        <is>
          <t>1405/05/18</t>
        </is>
      </c>
      <c r="I251" s="176" t="inlineStr"/>
      <c r="J251" s="176" t="inlineStr"/>
      <c r="K251" s="177">
        <f>IFERROR(VLOOKUP(LEFT(H251,7),'تبدیل تاریخ'!$A$2:$B$73,2,FALSE())+VALUE(RIGHT(H251,2))-1,"")</f>
        <v/>
      </c>
      <c r="L251" s="177">
        <f>IFERROR(VLOOKUP(LEFT(I251,7),'تبدیل تاریخ'!$A$2:$B$73,2,FALSE())+VALUE(RIGHT(I251,2))-1,"")</f>
        <v/>
      </c>
      <c r="M251" s="177">
        <f>IF(J251="","",IFERROR(VLOOKUP(LEFT(J251,7),'تبدیل تاریخ'!$A$2:$B$73,2,FALSE())+VALUE(RIGHT(J251,2))-1,""))</f>
        <v/>
      </c>
      <c r="N251" s="124">
        <f>IF(OR(K251="",M251=""),"",CEILING((K251-M251)/30,1))</f>
        <v/>
      </c>
      <c r="O251" s="124" t="inlineStr">
        <is>
          <t>یخساز - خرابی موتور/سنسور/برد (تعویض)</t>
        </is>
      </c>
      <c r="P251" s="124" t="inlineStr">
        <is>
          <t>C2S-29HS1 موتور يخساز سايد باي سايد</t>
        </is>
      </c>
      <c r="Q251" s="124" t="n"/>
      <c r="R251" s="178">
        <f>IF(O251="تعویض کامل دستگاه (Replacement)",IF(SUMIF('قیمت‌ها و مفروضات'!$A$9:$A$13,C251,'قیمت‌ها و مفروضات'!$C$9:$C$13)&lt;&gt;0,SUMIF('قیمت‌ها و مفروضات'!$A$9:$A$13,C251,'قیمت‌ها و مفروضات'!$C$9:$C$13),SUMIF('قیمت‌ها و مفروضات'!$A$9:$A$13,C251,'قیمت‌ها و مفروضات'!$B$9:$B$13)),IF(SUMIF('قیمت‌ها و مفروضات'!$A$18:$A$63,O251,'قیمت‌ها و مفروضات'!$C$18:$C$63)&lt;&gt;0,SUMIF('قیمت‌ها و مفروضات'!$A$18:$A$63,O251,'قیمت‌ها و مفروضات'!$C$18:$C$63),SUMIF('قیمت‌ها و مفروضات'!$A$18:$A$63,O251,'قیمت‌ها و مفروضات'!$B$18:$B$63)))</f>
        <v/>
      </c>
      <c r="S251" s="178">
        <f>'قیمت‌ها و مفروضات'!$B$3+'قیمت‌ها و مفروضات'!$B$4</f>
        <v/>
      </c>
      <c r="T251" s="178">
        <f>R251+S251</f>
        <v/>
      </c>
      <c r="U251" s="178">
        <f>IF(COUNTIF($E$2:E251,E251)&gt;1,"بله (تکراری)","خیر")</f>
        <v/>
      </c>
      <c r="V251" s="176">
        <f>IF(U251="بله (تکراری)",S251,0)</f>
        <v/>
      </c>
      <c r="W251" s="176" t="inlineStr">
        <is>
          <t>حسين بابايي همت آبادي/ کد 1720</t>
        </is>
      </c>
      <c r="X251" s="176" t="inlineStr">
        <is>
          <t>تهران - منطقه 5</t>
        </is>
      </c>
    </row>
    <row r="252" ht="58.5" customHeight="1" s="151">
      <c r="A252" s="176" t="n">
        <v>210019507</v>
      </c>
      <c r="B252" s="124">
        <f>CHOOSE(_xlfn.NUMBERVALUE(MID(H252,6,2)),"فروردین","اردیبهشت","خرداد","تیر","مرداد","شهریور","مهر","آبان","آذر","دی","بهمن","اسفند")</f>
        <v/>
      </c>
      <c r="C252" s="176" t="inlineStr">
        <is>
          <t>ماشين ظرفشويي</t>
        </is>
      </c>
      <c r="D252" s="176" t="inlineStr">
        <is>
          <t>CDW-H15VS1</t>
        </is>
      </c>
      <c r="E252" s="176" t="inlineStr">
        <is>
          <t>210140002N00048</t>
        </is>
      </c>
      <c r="F252" s="173" t="inlineStr">
        <is>
          <t>زنگ زدگي کابين ** اياب و ذهاب به عهده مشتري</t>
        </is>
      </c>
      <c r="G252" s="173" t="inlineStr">
        <is>
          <t xml:space="preserve">زنگ زدگی سبد ظرفشویی </t>
        </is>
      </c>
      <c r="H252" s="176" t="inlineStr">
        <is>
          <t>1405/05/19</t>
        </is>
      </c>
      <c r="I252" s="176" t="inlineStr">
        <is>
          <t>1402/10/10</t>
        </is>
      </c>
      <c r="J252" s="176" t="inlineStr">
        <is>
          <t>1402/12/17</t>
        </is>
      </c>
      <c r="K252" s="177">
        <f>IFERROR(VLOOKUP(LEFT(H252,7),'تبدیل تاریخ'!$A$2:$B$73,2,FALSE())+VALUE(RIGHT(H252,2))-1,"")</f>
        <v/>
      </c>
      <c r="L252" s="177">
        <f>IFERROR(VLOOKUP(LEFT(I252,7),'تبدیل تاریخ'!$A$2:$B$73,2,FALSE())+VALUE(RIGHT(I252,2))-1,"")</f>
        <v/>
      </c>
      <c r="M252" s="177">
        <f>IF(J252="","",IFERROR(VLOOKUP(LEFT(J252,7),'تبدیل تاریخ'!$A$2:$B$73,2,FALSE())+VALUE(RIGHT(J252,2))-1,""))</f>
        <v/>
      </c>
      <c r="N252" s="124">
        <f>IF(OR(K252="",M252=""),"",CEILING((K252-M252)/30,1))</f>
        <v/>
      </c>
      <c r="O252" s="124" t="inlineStr">
        <is>
          <t>زنگ‌زدگی بدنه/قطعه (تعویض)</t>
        </is>
      </c>
      <c r="P252" s="124" t="inlineStr">
        <is>
          <t>DW-HS-15 سبد پايين ماشين ظرفشويي</t>
        </is>
      </c>
      <c r="Q252" s="124" t="n"/>
      <c r="R252" s="178">
        <f>IF(O252="تعویض کامل دستگاه (Replacement)",IF(SUMIF('قیمت‌ها و مفروضات'!$A$9:$A$13,C252,'قیمت‌ها و مفروضات'!$C$9:$C$13)&lt;&gt;0,SUMIF('قیمت‌ها و مفروضات'!$A$9:$A$13,C252,'قیمت‌ها و مفروضات'!$C$9:$C$13),SUMIF('قیمت‌ها و مفروضات'!$A$9:$A$13,C252,'قیمت‌ها و مفروضات'!$B$9:$B$13)),IF(SUMIF('قیمت‌ها و مفروضات'!$A$18:$A$63,O252,'قیمت‌ها و مفروضات'!$C$18:$C$63)&lt;&gt;0,SUMIF('قیمت‌ها و مفروضات'!$A$18:$A$63,O252,'قیمت‌ها و مفروضات'!$C$18:$C$63),SUMIF('قیمت‌ها و مفروضات'!$A$18:$A$63,O252,'قیمت‌ها و مفروضات'!$B$18:$B$63)))</f>
        <v/>
      </c>
      <c r="S252" s="178">
        <f>'قیمت‌ها و مفروضات'!$B$3+'قیمت‌ها و مفروضات'!$B$4</f>
        <v/>
      </c>
      <c r="T252" s="178">
        <f>R252+S252</f>
        <v/>
      </c>
      <c r="U252" s="178">
        <f>IF(COUNTIF($E$2:E252,E252)&gt;1,"بله (تکراری)","خیر")</f>
        <v/>
      </c>
      <c r="V252" s="176">
        <f>IF(U252="بله (تکراری)",S252,0)</f>
        <v/>
      </c>
      <c r="W252" s="176" t="inlineStr">
        <is>
          <t>عبدالله دومنجيري/کد3622</t>
        </is>
      </c>
      <c r="X252" s="176" t="inlineStr">
        <is>
          <t>چالوس</t>
        </is>
      </c>
    </row>
    <row r="253" ht="58.5" customHeight="1" s="151">
      <c r="A253" s="176" t="n">
        <v>130005241</v>
      </c>
      <c r="B253" s="124">
        <f>CHOOSE(_xlfn.NUMBERVALUE(MID(H253,6,2)),"فروردین","اردیبهشت","خرداد","تیر","مرداد","شهریور","مهر","آبان","آذر","دی","بهمن","اسفند")</f>
        <v/>
      </c>
      <c r="C253" s="176" t="inlineStr">
        <is>
          <t>ماشين ظرفشويي</t>
        </is>
      </c>
      <c r="D253" s="176" t="inlineStr">
        <is>
          <t>CDW-H15VW1</t>
        </is>
      </c>
      <c r="E253" s="176" t="inlineStr">
        <is>
          <t>210140003N00273</t>
        </is>
      </c>
      <c r="F253" s="173" t="inlineStr">
        <is>
          <t>خطاي F54 ** اياب و ذهاب به عهده مشتري</t>
        </is>
      </c>
      <c r="G253" s="173" t="inlineStr">
        <is>
          <t>نشتي از مقسم آب</t>
        </is>
      </c>
      <c r="H253" s="176" t="inlineStr">
        <is>
          <t>1405/05/01</t>
        </is>
      </c>
      <c r="I253" s="176" t="inlineStr">
        <is>
          <t>1402/10/26</t>
        </is>
      </c>
      <c r="J253" s="176" t="inlineStr">
        <is>
          <t>1403/03/16</t>
        </is>
      </c>
      <c r="K253" s="177">
        <f>IFERROR(VLOOKUP(LEFT(H253,7),'تبدیل تاریخ'!$A$2:$B$73,2,FALSE())+VALUE(RIGHT(H253,2))-1,"")</f>
        <v/>
      </c>
      <c r="L253" s="177">
        <f>IFERROR(VLOOKUP(LEFT(I253,7),'تبدیل تاریخ'!$A$2:$B$73,2,FALSE())+VALUE(RIGHT(I253,2))-1,"")</f>
        <v/>
      </c>
      <c r="M253" s="177">
        <f>IF(J253="","",IFERROR(VLOOKUP(LEFT(J253,7),'تبدیل تاریخ'!$A$2:$B$73,2,FALSE())+VALUE(RIGHT(J253,2))-1,""))</f>
        <v/>
      </c>
      <c r="N253" s="124">
        <f>IF(OR(K253="",M253=""),"",CEILING((K253-M253)/30,1))</f>
        <v/>
      </c>
      <c r="O253" s="124" t="inlineStr">
        <is>
          <t>نشتی - مقسم آب (تعمیر/آب‌بندی)</t>
        </is>
      </c>
      <c r="P253" s="124" t="inlineStr">
        <is>
          <t>DW-HS مقسم حوضچه آب ماشين ظرفشويي</t>
        </is>
      </c>
      <c r="Q253" s="124" t="n"/>
      <c r="R253" s="178">
        <f>IF(O253="تعویض کامل دستگاه (Replacement)",IF(SUMIF('قیمت‌ها و مفروضات'!$A$9:$A$13,C253,'قیمت‌ها و مفروضات'!$C$9:$C$13)&lt;&gt;0,SUMIF('قیمت‌ها و مفروضات'!$A$9:$A$13,C253,'قیمت‌ها و مفروضات'!$C$9:$C$13),SUMIF('قیمت‌ها و مفروضات'!$A$9:$A$13,C253,'قیمت‌ها و مفروضات'!$B$9:$B$13)),IF(SUMIF('قیمت‌ها و مفروضات'!$A$18:$A$63,O253,'قیمت‌ها و مفروضات'!$C$18:$C$63)&lt;&gt;0,SUMIF('قیمت‌ها و مفروضات'!$A$18:$A$63,O253,'قیمت‌ها و مفروضات'!$C$18:$C$63),SUMIF('قیمت‌ها و مفروضات'!$A$18:$A$63,O253,'قیمت‌ها و مفروضات'!$B$18:$B$63)))</f>
        <v/>
      </c>
      <c r="S253" s="178">
        <f>'قیمت‌ها و مفروضات'!$B$3+'قیمت‌ها و مفروضات'!$B$4</f>
        <v/>
      </c>
      <c r="T253" s="178">
        <f>R253+S253</f>
        <v/>
      </c>
      <c r="U253" s="178">
        <f>IF(COUNTIF($E$2:E253,E253)&gt;1,"بله (تکراری)","خیر")</f>
        <v/>
      </c>
      <c r="V253" s="176">
        <f>IF(U253="بله (تکراری)",S253,0)</f>
        <v/>
      </c>
      <c r="W253" s="176" t="inlineStr">
        <is>
          <t>اسلام مهديزاده /کد1133</t>
        </is>
      </c>
      <c r="X253" s="176" t="inlineStr">
        <is>
          <t>شوط</t>
        </is>
      </c>
    </row>
    <row r="254" ht="58.5" customHeight="1" s="151">
      <c r="A254" s="176" t="n">
        <v>510023398</v>
      </c>
      <c r="B254" s="124">
        <f>CHOOSE(_xlfn.NUMBERVALUE(MID(H254,6,2)),"فروردین","اردیبهشت","خرداد","تیر","مرداد","شهریور","مهر","آبان","آذر","دی","بهمن","اسفند")</f>
        <v/>
      </c>
      <c r="C254" s="176" t="inlineStr">
        <is>
          <t>ماشين لباسشويي</t>
        </is>
      </c>
      <c r="D254" s="176" t="inlineStr">
        <is>
          <t>CWM-BMW7.5VW1</t>
        </is>
      </c>
      <c r="E254" s="176" t="inlineStr">
        <is>
          <t>210100001N00175</t>
        </is>
      </c>
      <c r="F254" s="173" t="inlineStr">
        <is>
          <t>عدم تخليه آب کثيف داخل درام**اياب و ذهاب به عهده مشتري</t>
        </is>
      </c>
      <c r="G254" s="173" t="inlineStr">
        <is>
          <t>خرابي پمپ تخليه</t>
        </is>
      </c>
      <c r="H254" s="176" t="inlineStr">
        <is>
          <t>1405/05/14</t>
        </is>
      </c>
      <c r="I254" s="176" t="inlineStr">
        <is>
          <t>1403/01/06</t>
        </is>
      </c>
      <c r="J254" s="176" t="inlineStr">
        <is>
          <t>1403/05/07</t>
        </is>
      </c>
      <c r="K254" s="177">
        <f>IFERROR(VLOOKUP(LEFT(H254,7),'تبدیل تاریخ'!$A$2:$B$73,2,FALSE())+VALUE(RIGHT(H254,2))-1,"")</f>
        <v/>
      </c>
      <c r="L254" s="177">
        <f>IFERROR(VLOOKUP(LEFT(I254,7),'تبدیل تاریخ'!$A$2:$B$73,2,FALSE())+VALUE(RIGHT(I254,2))-1,"")</f>
        <v/>
      </c>
      <c r="M254" s="177">
        <f>IF(J254="","",IFERROR(VLOOKUP(LEFT(J254,7),'تبدیل تاریخ'!$A$2:$B$73,2,FALSE())+VALUE(RIGHT(J254,2))-1,""))</f>
        <v/>
      </c>
      <c r="N254" s="124">
        <f>IF(OR(K254="",M254=""),"",CEILING((K254-M254)/30,1))</f>
        <v/>
      </c>
      <c r="O254" s="124" t="inlineStr">
        <is>
          <t>خرابی - پمپ تخلیه (تعویض)</t>
        </is>
      </c>
      <c r="P254" s="124" t="inlineStr">
        <is>
          <t>BMW-7/5V پمپ تخلیه ماشین لباسشویی</t>
        </is>
      </c>
      <c r="Q254" s="124" t="n"/>
      <c r="R254" s="178">
        <f>IF(O254="تعویض کامل دستگاه (Replacement)",IF(SUMIF('قیمت‌ها و مفروضات'!$A$9:$A$13,C254,'قیمت‌ها و مفروضات'!$C$9:$C$13)&lt;&gt;0,SUMIF('قیمت‌ها و مفروضات'!$A$9:$A$13,C254,'قیمت‌ها و مفروضات'!$C$9:$C$13),SUMIF('قیمت‌ها و مفروضات'!$A$9:$A$13,C254,'قیمت‌ها و مفروضات'!$B$9:$B$13)),IF(SUMIF('قیمت‌ها و مفروضات'!$A$18:$A$63,O254,'قیمت‌ها و مفروضات'!$C$18:$C$63)&lt;&gt;0,SUMIF('قیمت‌ها و مفروضات'!$A$18:$A$63,O254,'قیمت‌ها و مفروضات'!$C$18:$C$63),SUMIF('قیمت‌ها و مفروضات'!$A$18:$A$63,O254,'قیمت‌ها و مفروضات'!$B$18:$B$63)))</f>
        <v/>
      </c>
      <c r="S254" s="178">
        <f>'قیمت‌ها و مفروضات'!$B$3+'قیمت‌ها و مفروضات'!$B$4</f>
        <v/>
      </c>
      <c r="T254" s="178">
        <f>R254+S254</f>
        <v/>
      </c>
      <c r="U254" s="178">
        <f>IF(COUNTIF($E$2:E254,E254)&gt;1,"بله (تکراری)","خیر")</f>
        <v/>
      </c>
      <c r="V254" s="176">
        <f>IF(U254="بله (تکراری)",S254,0)</f>
        <v/>
      </c>
      <c r="W254" s="176" t="inlineStr">
        <is>
          <t>محمدرضا شيري/کد 51008T</t>
        </is>
      </c>
      <c r="X254" s="176" t="inlineStr">
        <is>
          <t>مشهد</t>
        </is>
      </c>
    </row>
    <row r="255" ht="58.5" customHeight="1" s="151">
      <c r="A255" s="176" t="n">
        <v>210017735</v>
      </c>
      <c r="B255" s="124">
        <f>CHOOSE(_xlfn.NUMBERVALUE(MID(H255,6,2)),"فروردین","اردیبهشت","خرداد","تیر","مرداد","شهریور","مهر","آبان","آذر","دی","بهمن","اسفند")</f>
        <v/>
      </c>
      <c r="C255" s="176" t="inlineStr">
        <is>
          <t>یخچال ساید‌بای‌ساید</t>
        </is>
      </c>
      <c r="D255" s="176" t="inlineStr">
        <is>
          <t>C2S-29HS1</t>
        </is>
      </c>
      <c r="E255" s="176" t="inlineStr">
        <is>
          <t>210120001N00010</t>
        </is>
      </c>
      <c r="F255" s="173" t="inlineStr">
        <is>
          <t>گرم شدن محصول ** اياب و ذهاب به عهده مشتري</t>
        </is>
      </c>
      <c r="G255" s="173" t="inlineStr">
        <is>
          <t>خرابي کمپرسور - از کارافتادن - سايد باي سايد</t>
        </is>
      </c>
      <c r="H255" s="176" t="inlineStr">
        <is>
          <t>1405/05/07</t>
        </is>
      </c>
      <c r="I255" s="176" t="inlineStr">
        <is>
          <t>1403/03/21</t>
        </is>
      </c>
      <c r="J255" s="176" t="inlineStr">
        <is>
          <t>1403/09/26</t>
        </is>
      </c>
      <c r="K255" s="177">
        <f>IFERROR(VLOOKUP(LEFT(H255,7),'تبدیل تاریخ'!$A$2:$B$73,2,FALSE())+VALUE(RIGHT(H255,2))-1,"")</f>
        <v/>
      </c>
      <c r="L255" s="177">
        <f>IFERROR(VLOOKUP(LEFT(I255,7),'تبدیل تاریخ'!$A$2:$B$73,2,FALSE())+VALUE(RIGHT(I255,2))-1,"")</f>
        <v/>
      </c>
      <c r="M255" s="177">
        <f>IF(J255="","",IFERROR(VLOOKUP(LEFT(J255,7),'تبدیل تاریخ'!$A$2:$B$73,2,FALSE())+VALUE(RIGHT(J255,2))-1,""))</f>
        <v/>
      </c>
      <c r="N255" s="124">
        <f>IF(OR(K255="",M255=""),"",CEILING((K255-M255)/30,1))</f>
        <v/>
      </c>
      <c r="O255" s="124" t="inlineStr">
        <is>
          <t>خرابی - کمپرسور (تعویض)</t>
        </is>
      </c>
      <c r="P255" s="124" t="inlineStr">
        <is>
          <t>C2S-29HS1 برد اينورتر کمپرسور سايد باي سايد</t>
        </is>
      </c>
      <c r="Q255" s="124" t="n"/>
      <c r="R255" s="178">
        <f>IF(O255="تعویض کامل دستگاه (Replacement)",IF(SUMIF('قیمت‌ها و مفروضات'!$A$9:$A$13,C255,'قیمت‌ها و مفروضات'!$C$9:$C$13)&lt;&gt;0,SUMIF('قیمت‌ها و مفروضات'!$A$9:$A$13,C255,'قیمت‌ها و مفروضات'!$C$9:$C$13),SUMIF('قیمت‌ها و مفروضات'!$A$9:$A$13,C255,'قیمت‌ها و مفروضات'!$B$9:$B$13)),IF(SUMIF('قیمت‌ها و مفروضات'!$A$18:$A$63,O255,'قیمت‌ها و مفروضات'!$C$18:$C$63)&lt;&gt;0,SUMIF('قیمت‌ها و مفروضات'!$A$18:$A$63,O255,'قیمت‌ها و مفروضات'!$C$18:$C$63),SUMIF('قیمت‌ها و مفروضات'!$A$18:$A$63,O255,'قیمت‌ها و مفروضات'!$B$18:$B$63)))</f>
        <v/>
      </c>
      <c r="S255" s="178">
        <f>'قیمت‌ها و مفروضات'!$B$3+'قیمت‌ها و مفروضات'!$B$4</f>
        <v/>
      </c>
      <c r="T255" s="178">
        <f>R255+S255</f>
        <v/>
      </c>
      <c r="U255" s="178">
        <f>IF(COUNTIF($E$2:E255,E255)&gt;1,"بله (تکراری)","خیر")</f>
        <v/>
      </c>
      <c r="V255" s="176">
        <f>IF(U255="بله (تکراری)",S255,0)</f>
        <v/>
      </c>
      <c r="W255" s="176" t="inlineStr">
        <is>
          <t>مسعود بابايي /کد1734 - لوازم خانگي</t>
        </is>
      </c>
      <c r="X255" s="176" t="inlineStr">
        <is>
          <t>فرديس</t>
        </is>
      </c>
    </row>
    <row r="256" ht="58.5" customHeight="1" s="151">
      <c r="A256" s="176" t="n">
        <v>210019531</v>
      </c>
      <c r="B256" s="124">
        <f>CHOOSE(_xlfn.NUMBERVALUE(MID(H256,6,2)),"فروردین","اردیبهشت","خرداد","تیر","مرداد","شهریور","مهر","آبان","آذر","دی","بهمن","اسفند")</f>
        <v/>
      </c>
      <c r="C256" s="176" t="inlineStr">
        <is>
          <t>یخچال ساید‌بای‌ساید</t>
        </is>
      </c>
      <c r="D256" s="176" t="inlineStr">
        <is>
          <t>C2S-29HS1</t>
        </is>
      </c>
      <c r="E256" s="176" t="inlineStr">
        <is>
          <t>210120001N00133</t>
        </is>
      </c>
      <c r="F256" s="173" t="inlineStr">
        <is>
          <t>صداي غيرعادي درب**غيرگارانتي</t>
        </is>
      </c>
      <c r="G256" s="173" t="inlineStr">
        <is>
          <t>تعويض فيلتر / غيرگارانتي - سايد باي سايد</t>
        </is>
      </c>
      <c r="H256" s="176" t="inlineStr">
        <is>
          <t>1405/05/19</t>
        </is>
      </c>
      <c r="I256" s="176" t="inlineStr">
        <is>
          <t>1403/03/23</t>
        </is>
      </c>
      <c r="J256" s="176" t="inlineStr">
        <is>
          <t>1403/09/05</t>
        </is>
      </c>
      <c r="K256" s="177">
        <f>IFERROR(VLOOKUP(LEFT(H256,7),'تبدیل تاریخ'!$A$2:$B$73,2,FALSE())+VALUE(RIGHT(H256,2))-1,"")</f>
        <v/>
      </c>
      <c r="L256" s="177">
        <f>IFERROR(VLOOKUP(LEFT(I256,7),'تبدیل تاریخ'!$A$2:$B$73,2,FALSE())+VALUE(RIGHT(I256,2))-1,"")</f>
        <v/>
      </c>
      <c r="M256" s="177">
        <f>IF(J256="","",IFERROR(VLOOKUP(LEFT(J256,7),'تبدیل تاریخ'!$A$2:$B$73,2,FALSE())+VALUE(RIGHT(J256,2))-1,""))</f>
        <v/>
      </c>
      <c r="N256" s="124">
        <f>IF(OR(K256="",M256=""),"",CEILING((K256-M256)/30,1))</f>
        <v/>
      </c>
      <c r="O256" s="124" t="inlineStr">
        <is>
          <t>غیرگارانتی/بدون قطعه</t>
        </is>
      </c>
      <c r="P256" s="124" t="inlineStr">
        <is>
          <t>*</t>
        </is>
      </c>
      <c r="Q256" s="124" t="n"/>
      <c r="R256" s="178">
        <f>IF(O256="تعویض کامل دستگاه (Replacement)",IF(SUMIF('قیمت‌ها و مفروضات'!$A$9:$A$13,C256,'قیمت‌ها و مفروضات'!$C$9:$C$13)&lt;&gt;0,SUMIF('قیمت‌ها و مفروضات'!$A$9:$A$13,C256,'قیمت‌ها و مفروضات'!$C$9:$C$13),SUMIF('قیمت‌ها و مفروضات'!$A$9:$A$13,C256,'قیمت‌ها و مفروضات'!$B$9:$B$13)),IF(SUMIF('قیمت‌ها و مفروضات'!$A$18:$A$63,O256,'قیمت‌ها و مفروضات'!$C$18:$C$63)&lt;&gt;0,SUMIF('قیمت‌ها و مفروضات'!$A$18:$A$63,O256,'قیمت‌ها و مفروضات'!$C$18:$C$63),SUMIF('قیمت‌ها و مفروضات'!$A$18:$A$63,O256,'قیمت‌ها و مفروضات'!$B$18:$B$63)))</f>
        <v/>
      </c>
      <c r="S256" s="178">
        <f>'قیمت‌ها و مفروضات'!$B$3+'قیمت‌ها و مفروضات'!$B$4</f>
        <v/>
      </c>
      <c r="T256" s="178">
        <f>R256+S256</f>
        <v/>
      </c>
      <c r="U256" s="178">
        <f>IF(COUNTIF($E$2:E256,E256)&gt;1,"بله (تکراری)","خیر")</f>
        <v/>
      </c>
      <c r="V256" s="176">
        <f>IF(U256="بله (تکراری)",S256,0)</f>
        <v/>
      </c>
      <c r="W256" s="176" t="inlineStr">
        <is>
          <t>عيسي داوودي/کد1437</t>
        </is>
      </c>
      <c r="X256" s="176" t="inlineStr">
        <is>
          <t>سرآسياب</t>
        </is>
      </c>
    </row>
    <row r="257" ht="58.5" customHeight="1" s="151">
      <c r="A257" s="176" t="n">
        <v>210018087</v>
      </c>
      <c r="B257" s="124">
        <f>CHOOSE(_xlfn.NUMBERVALUE(MID(H257,6,2)),"فروردین","اردیبهشت","خرداد","تیر","مرداد","شهریور","مهر","آبان","آذر","دی","بهمن","اسفند")</f>
        <v/>
      </c>
      <c r="C257" s="176" t="inlineStr">
        <is>
          <t>یخچال ساید‌بای‌ساید</t>
        </is>
      </c>
      <c r="D257" s="176" t="inlineStr">
        <is>
          <t>C2S-29HS1</t>
        </is>
      </c>
      <c r="E257" s="176" t="inlineStr">
        <is>
          <t>52240001N00858</t>
        </is>
      </c>
      <c r="F257" s="173" t="inlineStr">
        <is>
          <t>عدم کارکرد يخساز**مجدد**اياب و ذهاب به عهده شرکت</t>
        </is>
      </c>
      <c r="G257" s="173" t="inlineStr">
        <is>
          <t xml:space="preserve">اصلاح شیلنگ یخساز </t>
        </is>
      </c>
      <c r="H257" s="176" t="inlineStr">
        <is>
          <t>1405/05/10</t>
        </is>
      </c>
      <c r="I257" s="176" t="inlineStr">
        <is>
          <t>1403/03/13</t>
        </is>
      </c>
      <c r="J257" s="176" t="inlineStr"/>
      <c r="K257" s="177">
        <f>IFERROR(VLOOKUP(LEFT(H257,7),'تبدیل تاریخ'!$A$2:$B$73,2,FALSE())+VALUE(RIGHT(H257,2))-1,"")</f>
        <v/>
      </c>
      <c r="L257" s="177">
        <f>IFERROR(VLOOKUP(LEFT(I257,7),'تبدیل تاریخ'!$A$2:$B$73,2,FALSE())+VALUE(RIGHT(I257,2))-1,"")</f>
        <v/>
      </c>
      <c r="M257" s="177">
        <f>IF(J257="","",IFERROR(VLOOKUP(LEFT(J257,7),'تبدیل تاریخ'!$A$2:$B$73,2,FALSE())+VALUE(RIGHT(J257,2))-1,""))</f>
        <v/>
      </c>
      <c r="N257" s="124">
        <f>IF(OR(K257="",M257=""),"",CEILING((K257-M257)/30,1))</f>
        <v/>
      </c>
      <c r="O257" s="124" t="inlineStr">
        <is>
          <t>شیلنگ یخساز - یخ‌زدگی (بازبینی)</t>
        </is>
      </c>
      <c r="P257" s="124" t="inlineStr">
        <is>
          <t>*</t>
        </is>
      </c>
      <c r="Q257" s="124" t="n"/>
      <c r="R257" s="178">
        <f>IF(O257="تعویض کامل دستگاه (Replacement)",IF(SUMIF('قیمت‌ها و مفروضات'!$A$9:$A$13,C257,'قیمت‌ها و مفروضات'!$C$9:$C$13)&lt;&gt;0,SUMIF('قیمت‌ها و مفروضات'!$A$9:$A$13,C257,'قیمت‌ها و مفروضات'!$C$9:$C$13),SUMIF('قیمت‌ها و مفروضات'!$A$9:$A$13,C257,'قیمت‌ها و مفروضات'!$B$9:$B$13)),IF(SUMIF('قیمت‌ها و مفروضات'!$A$18:$A$63,O257,'قیمت‌ها و مفروضات'!$C$18:$C$63)&lt;&gt;0,SUMIF('قیمت‌ها و مفروضات'!$A$18:$A$63,O257,'قیمت‌ها و مفروضات'!$C$18:$C$63),SUMIF('قیمت‌ها و مفروضات'!$A$18:$A$63,O257,'قیمت‌ها و مفروضات'!$B$18:$B$63)))</f>
        <v/>
      </c>
      <c r="S257" s="178">
        <f>'قیمت‌ها و مفروضات'!$B$3+'قیمت‌ها و مفروضات'!$B$4</f>
        <v/>
      </c>
      <c r="T257" s="178">
        <f>R257+S257</f>
        <v/>
      </c>
      <c r="U257" s="178">
        <f>IF(COUNTIF($E$2:E257,E257)&gt;1,"بله (تکراری)","خیر")</f>
        <v/>
      </c>
      <c r="V257" s="176">
        <f>IF(U257="بله (تکراری)",S257,0)</f>
        <v/>
      </c>
      <c r="W257" s="176" t="inlineStr">
        <is>
          <t>حسين بابايي همت آبادي/ کد 1720</t>
        </is>
      </c>
      <c r="X257" s="176" t="inlineStr">
        <is>
          <t>تهران - منطقه 17</t>
        </is>
      </c>
    </row>
    <row r="258" ht="58.5" customHeight="1" s="151">
      <c r="A258" s="176" t="n">
        <v>810005154</v>
      </c>
      <c r="B258" s="124">
        <f>CHOOSE(_xlfn.NUMBERVALUE(MID(H258,6,2)),"فروردین","اردیبهشت","خرداد","تیر","مرداد","شهریور","مهر","آبان","آذر","دی","بهمن","اسفند")</f>
        <v/>
      </c>
      <c r="C258" s="176" t="inlineStr">
        <is>
          <t>یخچال ساید‌بای‌ساید</t>
        </is>
      </c>
      <c r="D258" s="176" t="inlineStr">
        <is>
          <t>C2S-29HS1</t>
        </is>
      </c>
      <c r="E258" s="176" t="inlineStr">
        <is>
          <t>52240001N00813</t>
        </is>
      </c>
      <c r="F258" s="173" t="inlineStr">
        <is>
          <t>ترک وان ** اياب و ذهاب به عهده مشتري</t>
        </is>
      </c>
      <c r="G258" s="173" t="inlineStr">
        <is>
          <t>تعويض فيلتر / غيرگارانتي - سايد باي سايد</t>
        </is>
      </c>
      <c r="H258" s="176" t="inlineStr">
        <is>
          <t>1405/05/10</t>
        </is>
      </c>
      <c r="I258" s="176" t="inlineStr">
        <is>
          <t>1403/04/16</t>
        </is>
      </c>
      <c r="J258" s="176" t="inlineStr">
        <is>
          <t>1403/11/10</t>
        </is>
      </c>
      <c r="K258" s="177">
        <f>IFERROR(VLOOKUP(LEFT(H258,7),'تبدیل تاریخ'!$A$2:$B$73,2,FALSE())+VALUE(RIGHT(H258,2))-1,"")</f>
        <v/>
      </c>
      <c r="L258" s="177">
        <f>IFERROR(VLOOKUP(LEFT(I258,7),'تبدیل تاریخ'!$A$2:$B$73,2,FALSE())+VALUE(RIGHT(I258,2))-1,"")</f>
        <v/>
      </c>
      <c r="M258" s="177">
        <f>IF(J258="","",IFERROR(VLOOKUP(LEFT(J258,7),'تبدیل تاریخ'!$A$2:$B$73,2,FALSE())+VALUE(RIGHT(J258,2))-1,""))</f>
        <v/>
      </c>
      <c r="N258" s="124">
        <f>IF(OR(K258="",M258=""),"",CEILING((K258-M258)/30,1))</f>
        <v/>
      </c>
      <c r="O258" s="124" t="inlineStr">
        <is>
          <t>غیرگارانتی/بدون قطعه</t>
        </is>
      </c>
      <c r="P258" s="124" t="inlineStr">
        <is>
          <t>*</t>
        </is>
      </c>
      <c r="Q258" s="124" t="n"/>
      <c r="R258" s="178">
        <f>IF(O258="تعویض کامل دستگاه (Replacement)",IF(SUMIF('قیمت‌ها و مفروضات'!$A$9:$A$13,C258,'قیمت‌ها و مفروضات'!$C$9:$C$13)&lt;&gt;0,SUMIF('قیمت‌ها و مفروضات'!$A$9:$A$13,C258,'قیمت‌ها و مفروضات'!$C$9:$C$13),SUMIF('قیمت‌ها و مفروضات'!$A$9:$A$13,C258,'قیمت‌ها و مفروضات'!$B$9:$B$13)),IF(SUMIF('قیمت‌ها و مفروضات'!$A$18:$A$63,O258,'قیمت‌ها و مفروضات'!$C$18:$C$63)&lt;&gt;0,SUMIF('قیمت‌ها و مفروضات'!$A$18:$A$63,O258,'قیمت‌ها و مفروضات'!$C$18:$C$63),SUMIF('قیمت‌ها و مفروضات'!$A$18:$A$63,O258,'قیمت‌ها و مفروضات'!$B$18:$B$63)))</f>
        <v/>
      </c>
      <c r="S258" s="178">
        <f>'قیمت‌ها و مفروضات'!$B$3+'قیمت‌ها و مفروضات'!$B$4</f>
        <v/>
      </c>
      <c r="T258" s="178">
        <f>R258+S258</f>
        <v/>
      </c>
      <c r="U258" s="178">
        <f>IF(COUNTIF($E$2:E258,E258)&gt;1,"بله (تکراری)","خیر")</f>
        <v/>
      </c>
      <c r="V258" s="176">
        <f>IF(U258="بله (تکراری)",S258,0)</f>
        <v/>
      </c>
      <c r="W258" s="176" t="inlineStr">
        <is>
          <t>مظفر مخدومي/کد 2907</t>
        </is>
      </c>
      <c r="X258" s="176" t="inlineStr">
        <is>
          <t>قروه</t>
        </is>
      </c>
    </row>
    <row r="259" ht="58.5" customHeight="1" s="151">
      <c r="A259" s="176" t="n">
        <v>210012219</v>
      </c>
      <c r="B259" s="124">
        <f>CHOOSE(_xlfn.NUMBERVALUE(MID(H259,6,2)),"فروردین","اردیبهشت","خرداد","تیر","مرداد","شهریور","مهر","آبان","آذر","دی","بهمن","اسفند")</f>
        <v/>
      </c>
      <c r="C259" s="176" t="inlineStr">
        <is>
          <t>یخچال ساید‌بای‌ساید</t>
        </is>
      </c>
      <c r="D259" s="176" t="inlineStr">
        <is>
          <t>C2S-29HS1</t>
        </is>
      </c>
      <c r="E259" s="176" t="inlineStr">
        <is>
          <t>52240001N00833</t>
        </is>
      </c>
      <c r="F259" s="173" t="inlineStr">
        <is>
          <t>شکستگي قطعات تزئيني کابين- کد قطعه در ليست اقدامات درج مي گردد.**غيرگارانتي</t>
        </is>
      </c>
      <c r="G259" s="173" t="inlineStr">
        <is>
          <t xml:space="preserve">شکستگي قطعات تزئيني داخل کابين </t>
        </is>
      </c>
      <c r="H259" s="176" t="inlineStr">
        <is>
          <t>1405/05/10</t>
        </is>
      </c>
      <c r="I259" s="176" t="inlineStr">
        <is>
          <t>1403/04/17</t>
        </is>
      </c>
      <c r="J259" s="176" t="inlineStr">
        <is>
          <t>1403/10/11</t>
        </is>
      </c>
      <c r="K259" s="177">
        <f>IFERROR(VLOOKUP(LEFT(H259,7),'تبدیل تاریخ'!$A$2:$B$73,2,FALSE())+VALUE(RIGHT(H259,2))-1,"")</f>
        <v/>
      </c>
      <c r="L259" s="177">
        <f>IFERROR(VLOOKUP(LEFT(I259,7),'تبدیل تاریخ'!$A$2:$B$73,2,FALSE())+VALUE(RIGHT(I259,2))-1,"")</f>
        <v/>
      </c>
      <c r="M259" s="177">
        <f>IF(J259="","",IFERROR(VLOOKUP(LEFT(J259,7),'تبدیل تاریخ'!$A$2:$B$73,2,FALSE())+VALUE(RIGHT(J259,2))-1,""))</f>
        <v/>
      </c>
      <c r="N259" s="124">
        <f>IF(OR(K259="",M259=""),"",CEILING((K259-M259)/30,1))</f>
        <v/>
      </c>
      <c r="O259" s="124" t="inlineStr">
        <is>
          <t>قطعات تزئینی - شکستگی/کسری (تعویض)</t>
        </is>
      </c>
      <c r="P259" s="124" t="inlineStr">
        <is>
          <t>*</t>
        </is>
      </c>
      <c r="Q259" s="124" t="n"/>
      <c r="R259" s="178">
        <f>IF(O259="تعویض کامل دستگاه (Replacement)",IF(SUMIF('قیمت‌ها و مفروضات'!$A$9:$A$13,C259,'قیمت‌ها و مفروضات'!$C$9:$C$13)&lt;&gt;0,SUMIF('قیمت‌ها و مفروضات'!$A$9:$A$13,C259,'قیمت‌ها و مفروضات'!$C$9:$C$13),SUMIF('قیمت‌ها و مفروضات'!$A$9:$A$13,C259,'قیمت‌ها و مفروضات'!$B$9:$B$13)),IF(SUMIF('قیمت‌ها و مفروضات'!$A$18:$A$63,O259,'قیمت‌ها و مفروضات'!$C$18:$C$63)&lt;&gt;0,SUMIF('قیمت‌ها و مفروضات'!$A$18:$A$63,O259,'قیمت‌ها و مفروضات'!$C$18:$C$63),SUMIF('قیمت‌ها و مفروضات'!$A$18:$A$63,O259,'قیمت‌ها و مفروضات'!$B$18:$B$63)))</f>
        <v/>
      </c>
      <c r="S259" s="178">
        <f>'قیمت‌ها و مفروضات'!$B$3+'قیمت‌ها و مفروضات'!$B$4</f>
        <v/>
      </c>
      <c r="T259" s="178">
        <f>R259+S259</f>
        <v/>
      </c>
      <c r="U259" s="178">
        <f>IF(COUNTIF($E$2:E259,E259)&gt;1,"بله (تکراری)","خیر")</f>
        <v/>
      </c>
      <c r="V259" s="176">
        <f>IF(U259="بله (تکراری)",S259,0)</f>
        <v/>
      </c>
      <c r="W259" s="176" t="inlineStr">
        <is>
          <t>عيسي داوودي/کد1437</t>
        </is>
      </c>
      <c r="X259" s="176" t="inlineStr">
        <is>
          <t>فرديس</t>
        </is>
      </c>
    </row>
    <row r="260" ht="58.5" customHeight="1" s="151">
      <c r="A260" s="176" t="n">
        <v>130009511</v>
      </c>
      <c r="B260" s="124">
        <f>CHOOSE(_xlfn.NUMBERVALUE(MID(H260,6,2)),"فروردین","اردیبهشت","خرداد","تیر","مرداد","شهریور","مهر","آبان","آذر","دی","بهمن","اسفند")</f>
        <v/>
      </c>
      <c r="C260" s="176" t="inlineStr">
        <is>
          <t>یخچال ساید‌بای‌ساید</t>
        </is>
      </c>
      <c r="D260" s="176" t="inlineStr">
        <is>
          <t>C2S-29HS1</t>
        </is>
      </c>
      <c r="E260" s="176" t="inlineStr">
        <is>
          <t>52240001N01044</t>
        </is>
      </c>
      <c r="F260" s="173" t="inlineStr">
        <is>
          <t>عدم تخليه يخ به صورت قالبي ** اياب و ذهاب به عهده مشتري</t>
        </is>
      </c>
      <c r="G260" s="173" t="inlineStr">
        <is>
          <t>اصلاح دمپر پلاستيکي پشت کابين - سايد باي سايد</t>
        </is>
      </c>
      <c r="H260" s="176" t="inlineStr">
        <is>
          <t>1405/05/14</t>
        </is>
      </c>
      <c r="I260" s="176" t="inlineStr">
        <is>
          <t>1403/04/19</t>
        </is>
      </c>
      <c r="J260" s="176" t="inlineStr">
        <is>
          <t>1403/11/02</t>
        </is>
      </c>
      <c r="K260" s="177">
        <f>IFERROR(VLOOKUP(LEFT(H260,7),'تبدیل تاریخ'!$A$2:$B$73,2,FALSE())+VALUE(RIGHT(H260,2))-1,"")</f>
        <v/>
      </c>
      <c r="L260" s="177">
        <f>IFERROR(VLOOKUP(LEFT(I260,7),'تبدیل تاریخ'!$A$2:$B$73,2,FALSE())+VALUE(RIGHT(I260,2))-1,"")</f>
        <v/>
      </c>
      <c r="M260" s="177">
        <f>IF(J260="","",IFERROR(VLOOKUP(LEFT(J260,7),'تبدیل تاریخ'!$A$2:$B$73,2,FALSE())+VALUE(RIGHT(J260,2))-1,""))</f>
        <v/>
      </c>
      <c r="N260" s="124">
        <f>IF(OR(K260="",M260=""),"",CEILING((K260-M260)/30,1))</f>
        <v/>
      </c>
      <c r="O260" s="124" t="inlineStr">
        <is>
          <t>یخساز - تنظیم/عایق (تعمیر)</t>
        </is>
      </c>
      <c r="P260" s="124" t="inlineStr">
        <is>
          <t>C2S-29HS1  دمپر کامل خروجي يخساز سايد باي سايد</t>
        </is>
      </c>
      <c r="Q260" s="124" t="n"/>
      <c r="R260" s="178">
        <f>IF(O260="تعویض کامل دستگاه (Replacement)",IF(SUMIF('قیمت‌ها و مفروضات'!$A$9:$A$13,C260,'قیمت‌ها و مفروضات'!$C$9:$C$13)&lt;&gt;0,SUMIF('قیمت‌ها و مفروضات'!$A$9:$A$13,C260,'قیمت‌ها و مفروضات'!$C$9:$C$13),SUMIF('قیمت‌ها و مفروضات'!$A$9:$A$13,C260,'قیمت‌ها و مفروضات'!$B$9:$B$13)),IF(SUMIF('قیمت‌ها و مفروضات'!$A$18:$A$63,O260,'قیمت‌ها و مفروضات'!$C$18:$C$63)&lt;&gt;0,SUMIF('قیمت‌ها و مفروضات'!$A$18:$A$63,O260,'قیمت‌ها و مفروضات'!$C$18:$C$63),SUMIF('قیمت‌ها و مفروضات'!$A$18:$A$63,O260,'قیمت‌ها و مفروضات'!$B$18:$B$63)))</f>
        <v/>
      </c>
      <c r="S260" s="178">
        <f>'قیمت‌ها و مفروضات'!$B$3+'قیمت‌ها و مفروضات'!$B$4</f>
        <v/>
      </c>
      <c r="T260" s="178">
        <f>R260+S260</f>
        <v/>
      </c>
      <c r="U260" s="178">
        <f>IF(COUNTIF($E$2:E260,E260)&gt;1,"بله (تکراری)","خیر")</f>
        <v/>
      </c>
      <c r="V260" s="176">
        <f>IF(U260="بله (تکراری)",S260,0)</f>
        <v/>
      </c>
      <c r="W260" s="176" t="inlineStr">
        <is>
          <t>عليرضا پورپاکدل/کد 3413</t>
        </is>
      </c>
      <c r="X260" s="176" t="inlineStr">
        <is>
          <t>خشکبيجار</t>
        </is>
      </c>
    </row>
    <row r="261" ht="58.5" customHeight="1" s="151">
      <c r="A261" s="176" t="n">
        <v>210017675</v>
      </c>
      <c r="B261" s="124">
        <f>CHOOSE(_xlfn.NUMBERVALUE(MID(H261,6,2)),"فروردین","اردیبهشت","خرداد","تیر","مرداد","شهریور","مهر","آبان","آذر","دی","بهمن","اسفند")</f>
        <v/>
      </c>
      <c r="C261" s="176" t="inlineStr">
        <is>
          <t>یخچال ساید‌بای‌ساید</t>
        </is>
      </c>
      <c r="D261" s="176" t="inlineStr">
        <is>
          <t>C2S-29HS1</t>
        </is>
      </c>
      <c r="E261" s="176" t="inlineStr">
        <is>
          <t>52240001N01072</t>
        </is>
      </c>
      <c r="F261" s="173" t="inlineStr">
        <is>
          <t>عدم کارکرد يخساز ** اياب و ذهاب به عهده مشتري</t>
        </is>
      </c>
      <c r="G261" s="173" t="inlineStr">
        <is>
          <t>اصلاح دمپر پلاستيکي پشت کابين - سايد باي سايد</t>
        </is>
      </c>
      <c r="H261" s="176" t="inlineStr">
        <is>
          <t>1405/05/07</t>
        </is>
      </c>
      <c r="I261" s="176" t="inlineStr">
        <is>
          <t>1403/04/13</t>
        </is>
      </c>
      <c r="J261" s="176" t="inlineStr">
        <is>
          <t>1404/05/07</t>
        </is>
      </c>
      <c r="K261" s="177">
        <f>IFERROR(VLOOKUP(LEFT(H261,7),'تبدیل تاریخ'!$A$2:$B$73,2,FALSE())+VALUE(RIGHT(H261,2))-1,"")</f>
        <v/>
      </c>
      <c r="L261" s="177">
        <f>IFERROR(VLOOKUP(LEFT(I261,7),'تبدیل تاریخ'!$A$2:$B$73,2,FALSE())+VALUE(RIGHT(I261,2))-1,"")</f>
        <v/>
      </c>
      <c r="M261" s="177">
        <f>IF(J261="","",IFERROR(VLOOKUP(LEFT(J261,7),'تبدیل تاریخ'!$A$2:$B$73,2,FALSE())+VALUE(RIGHT(J261,2))-1,""))</f>
        <v/>
      </c>
      <c r="N261" s="124">
        <f>IF(OR(K261="",M261=""),"",CEILING((K261-M261)/30,1))</f>
        <v/>
      </c>
      <c r="O261" s="124" t="inlineStr">
        <is>
          <t>یخساز - تنظیم/عایق (تعمیر)</t>
        </is>
      </c>
      <c r="P261" s="124" t="inlineStr">
        <is>
          <t>دمپر پلاستيکي استوانه اي سايد باي سايد   C2S-29HS1</t>
        </is>
      </c>
      <c r="Q261" s="124" t="n"/>
      <c r="R261" s="178">
        <f>IF(O261="تعویض کامل دستگاه (Replacement)",IF(SUMIF('قیمت‌ها و مفروضات'!$A$9:$A$13,C261,'قیمت‌ها و مفروضات'!$C$9:$C$13)&lt;&gt;0,SUMIF('قیمت‌ها و مفروضات'!$A$9:$A$13,C261,'قیمت‌ها و مفروضات'!$C$9:$C$13),SUMIF('قیمت‌ها و مفروضات'!$A$9:$A$13,C261,'قیمت‌ها و مفروضات'!$B$9:$B$13)),IF(SUMIF('قیمت‌ها و مفروضات'!$A$18:$A$63,O261,'قیمت‌ها و مفروضات'!$C$18:$C$63)&lt;&gt;0,SUMIF('قیمت‌ها و مفروضات'!$A$18:$A$63,O261,'قیمت‌ها و مفروضات'!$C$18:$C$63),SUMIF('قیمت‌ها و مفروضات'!$A$18:$A$63,O261,'قیمت‌ها و مفروضات'!$B$18:$B$63)))</f>
        <v/>
      </c>
      <c r="S261" s="178">
        <f>'قیمت‌ها و مفروضات'!$B$3+'قیمت‌ها و مفروضات'!$B$4</f>
        <v/>
      </c>
      <c r="T261" s="178">
        <f>R261+S261</f>
        <v/>
      </c>
      <c r="U261" s="178">
        <f>IF(COUNTIF($E$2:E261,E261)&gt;1,"بله (تکراری)","خیر")</f>
        <v/>
      </c>
      <c r="V261" s="176">
        <f>IF(U261="بله (تکراری)",S261,0)</f>
        <v/>
      </c>
      <c r="W261" s="176" t="inlineStr">
        <is>
          <t>مهدي رمضاني افقي / کد 3640</t>
        </is>
      </c>
      <c r="X261" s="176" t="inlineStr">
        <is>
          <t>رامسر</t>
        </is>
      </c>
    </row>
    <row r="262" ht="58.5" customHeight="1" s="151">
      <c r="A262" s="176" t="n">
        <v>130009921</v>
      </c>
      <c r="B262" s="124">
        <f>CHOOSE(_xlfn.NUMBERVALUE(MID(H262,6,2)),"فروردین","اردیبهشت","خرداد","تیر","مرداد","شهریور","مهر","آبان","آذر","دی","بهمن","اسفند")</f>
        <v/>
      </c>
      <c r="C262" s="176" t="inlineStr">
        <is>
          <t>یخچال ساید‌بای‌ساید</t>
        </is>
      </c>
      <c r="D262" s="176" t="inlineStr">
        <is>
          <t>C2S-29HS1</t>
        </is>
      </c>
      <c r="E262" s="176" t="inlineStr">
        <is>
          <t>52240001N01120</t>
        </is>
      </c>
      <c r="F262" s="173" t="inlineStr">
        <is>
          <t>عدم کارکرد يخساز**اياب و ذهاب به عهده مشتري</t>
        </is>
      </c>
      <c r="G262" s="173" t="inlineStr">
        <is>
          <t>اصلاح دمپر پلاستيکي پشت کابين - سايد باي سايد</t>
        </is>
      </c>
      <c r="H262" s="176" t="inlineStr">
        <is>
          <t>1405/05/20</t>
        </is>
      </c>
      <c r="I262" s="176" t="inlineStr">
        <is>
          <t>1403/04/27</t>
        </is>
      </c>
      <c r="J262" s="176" t="inlineStr">
        <is>
          <t>1404/04/17</t>
        </is>
      </c>
      <c r="K262" s="177">
        <f>IFERROR(VLOOKUP(LEFT(H262,7),'تبدیل تاریخ'!$A$2:$B$73,2,FALSE())+VALUE(RIGHT(H262,2))-1,"")</f>
        <v/>
      </c>
      <c r="L262" s="177">
        <f>IFERROR(VLOOKUP(LEFT(I262,7),'تبدیل تاریخ'!$A$2:$B$73,2,FALSE())+VALUE(RIGHT(I262,2))-1,"")</f>
        <v/>
      </c>
      <c r="M262" s="177">
        <f>IF(J262="","",IFERROR(VLOOKUP(LEFT(J262,7),'تبدیل تاریخ'!$A$2:$B$73,2,FALSE())+VALUE(RIGHT(J262,2))-1,""))</f>
        <v/>
      </c>
      <c r="N262" s="124">
        <f>IF(OR(K262="",M262=""),"",CEILING((K262-M262)/30,1))</f>
        <v/>
      </c>
      <c r="O262" s="124" t="inlineStr">
        <is>
          <t>یخساز - تنظیم/عایق (تعمیر)</t>
        </is>
      </c>
      <c r="P262" s="124" t="inlineStr">
        <is>
          <t>*</t>
        </is>
      </c>
      <c r="Q262" s="124" t="n"/>
      <c r="R262" s="178">
        <f>IF(O262="تعویض کامل دستگاه (Replacement)",IF(SUMIF('قیمت‌ها و مفروضات'!$A$9:$A$13,C262,'قیمت‌ها و مفروضات'!$C$9:$C$13)&lt;&gt;0,SUMIF('قیمت‌ها و مفروضات'!$A$9:$A$13,C262,'قیمت‌ها و مفروضات'!$C$9:$C$13),SUMIF('قیمت‌ها و مفروضات'!$A$9:$A$13,C262,'قیمت‌ها و مفروضات'!$B$9:$B$13)),IF(SUMIF('قیمت‌ها و مفروضات'!$A$18:$A$63,O262,'قیمت‌ها و مفروضات'!$C$18:$C$63)&lt;&gt;0,SUMIF('قیمت‌ها و مفروضات'!$A$18:$A$63,O262,'قیمت‌ها و مفروضات'!$C$18:$C$63),SUMIF('قیمت‌ها و مفروضات'!$A$18:$A$63,O262,'قیمت‌ها و مفروضات'!$B$18:$B$63)))</f>
        <v/>
      </c>
      <c r="S262" s="178">
        <f>'قیمت‌ها و مفروضات'!$B$3+'قیمت‌ها و مفروضات'!$B$4</f>
        <v/>
      </c>
      <c r="T262" s="178">
        <f>R262+S262</f>
        <v/>
      </c>
      <c r="U262" s="178">
        <f>IF(COUNTIF($E$2:E262,E262)&gt;1,"بله (تکراری)","خیر")</f>
        <v/>
      </c>
      <c r="V262" s="176">
        <f>IF(U262="بله (تکراری)",S262,0)</f>
        <v/>
      </c>
      <c r="W262" s="176" t="inlineStr">
        <is>
          <t>محمدجواد صبح خيز / کد 3442</t>
        </is>
      </c>
      <c r="X262" s="176" t="inlineStr">
        <is>
          <t>رشت</t>
        </is>
      </c>
    </row>
    <row r="263" ht="58.5" customHeight="1" s="151">
      <c r="A263" s="176" t="n">
        <v>210019021</v>
      </c>
      <c r="B263" s="124">
        <f>CHOOSE(_xlfn.NUMBERVALUE(MID(H263,6,2)),"فروردین","اردیبهشت","خرداد","تیر","مرداد","شهریور","مهر","آبان","آذر","دی","بهمن","اسفند")</f>
        <v/>
      </c>
      <c r="C263" s="176" t="inlineStr">
        <is>
          <t>یخچال ساید‌بای‌ساید</t>
        </is>
      </c>
      <c r="D263" s="176" t="inlineStr">
        <is>
          <t>C2S-29HS1</t>
        </is>
      </c>
      <c r="E263" s="176" t="inlineStr">
        <is>
          <t>52240001N01196</t>
        </is>
      </c>
      <c r="F263" s="173" t="inlineStr">
        <is>
          <t>عدم کارکرد يخساز**اياب و ذهاب به عهده مشتري</t>
        </is>
      </c>
      <c r="G263" s="173" t="inlineStr">
        <is>
          <t>شکستگي قالب يخساز</t>
        </is>
      </c>
      <c r="H263" s="176" t="inlineStr">
        <is>
          <t>1405/05/17</t>
        </is>
      </c>
      <c r="I263" s="176" t="inlineStr">
        <is>
          <t>1403/04/24</t>
        </is>
      </c>
      <c r="J263" s="176" t="inlineStr">
        <is>
          <t>1404/03/12</t>
        </is>
      </c>
      <c r="K263" s="177">
        <f>IFERROR(VLOOKUP(LEFT(H263,7),'تبدیل تاریخ'!$A$2:$B$73,2,FALSE())+VALUE(RIGHT(H263,2))-1,"")</f>
        <v/>
      </c>
      <c r="L263" s="177">
        <f>IFERROR(VLOOKUP(LEFT(I263,7),'تبدیل تاریخ'!$A$2:$B$73,2,FALSE())+VALUE(RIGHT(I263,2))-1,"")</f>
        <v/>
      </c>
      <c r="M263" s="177">
        <f>IF(J263="","",IFERROR(VLOOKUP(LEFT(J263,7),'تبدیل تاریخ'!$A$2:$B$73,2,FALSE())+VALUE(RIGHT(J263,2))-1,""))</f>
        <v/>
      </c>
      <c r="N263" s="124">
        <f>IF(OR(K263="",M263=""),"",CEILING((K263-M263)/30,1))</f>
        <v/>
      </c>
      <c r="O263" s="124" t="inlineStr">
        <is>
          <t>یخساز - تنظیم/عایق (تعمیر)</t>
        </is>
      </c>
      <c r="P263" s="124" t="inlineStr">
        <is>
          <t>C2S-29HS1 قالب یخ ساید بای ساید</t>
        </is>
      </c>
      <c r="Q263" s="124" t="n"/>
      <c r="R263" s="178">
        <f>IF(O263="تعویض کامل دستگاه (Replacement)",IF(SUMIF('قیمت‌ها و مفروضات'!$A$9:$A$13,C263,'قیمت‌ها و مفروضات'!$C$9:$C$13)&lt;&gt;0,SUMIF('قیمت‌ها و مفروضات'!$A$9:$A$13,C263,'قیمت‌ها و مفروضات'!$C$9:$C$13),SUMIF('قیمت‌ها و مفروضات'!$A$9:$A$13,C263,'قیمت‌ها و مفروضات'!$B$9:$B$13)),IF(SUMIF('قیمت‌ها و مفروضات'!$A$18:$A$63,O263,'قیمت‌ها و مفروضات'!$C$18:$C$63)&lt;&gt;0,SUMIF('قیمت‌ها و مفروضات'!$A$18:$A$63,O263,'قیمت‌ها و مفروضات'!$C$18:$C$63),SUMIF('قیمت‌ها و مفروضات'!$A$18:$A$63,O263,'قیمت‌ها و مفروضات'!$B$18:$B$63)))</f>
        <v/>
      </c>
      <c r="S263" s="178">
        <f>'قیمت‌ها و مفروضات'!$B$3+'قیمت‌ها و مفروضات'!$B$4</f>
        <v/>
      </c>
      <c r="T263" s="178">
        <f>R263+S263</f>
        <v/>
      </c>
      <c r="U263" s="178">
        <f>IF(COUNTIF($E$2:E263,E263)&gt;1,"بله (تکراری)","خیر")</f>
        <v/>
      </c>
      <c r="V263" s="176">
        <f>IF(U263="بله (تکراری)",S263,0)</f>
        <v/>
      </c>
      <c r="W263" s="176" t="inlineStr">
        <is>
          <t>وحيد بختي/ کد1749</t>
        </is>
      </c>
      <c r="X263" s="176" t="inlineStr">
        <is>
          <t>اسلامشهر</t>
        </is>
      </c>
    </row>
    <row r="264" ht="58.5" customHeight="1" s="151">
      <c r="A264" s="176" t="n">
        <v>210017383</v>
      </c>
      <c r="B264" s="124">
        <f>CHOOSE(_xlfn.NUMBERVALUE(MID(H264,6,2)),"فروردین","اردیبهشت","خرداد","تیر","مرداد","شهریور","مهر","آبان","آذر","دی","بهمن","اسفند")</f>
        <v/>
      </c>
      <c r="C264" s="176" t="inlineStr">
        <is>
          <t>یخچال ساید‌بای‌ساید</t>
        </is>
      </c>
      <c r="D264" s="176" t="inlineStr">
        <is>
          <t>C2S-29HS1</t>
        </is>
      </c>
      <c r="E264" s="176" t="inlineStr">
        <is>
          <t>52240001N01243</t>
        </is>
      </c>
      <c r="F264" s="173" t="inlineStr">
        <is>
          <t>عدم کارکرد يخساز**اياب و ذهاب به عهده مشتري</t>
        </is>
      </c>
      <c r="G264" s="173" t="inlineStr">
        <is>
          <t>اصلاح دمپر پلاستيکي پشت کابين - سايد باي سايد</t>
        </is>
      </c>
      <c r="H264" s="176" t="inlineStr">
        <is>
          <t>1405/05/05</t>
        </is>
      </c>
      <c r="I264" s="176" t="inlineStr">
        <is>
          <t>1403/05/27</t>
        </is>
      </c>
      <c r="J264" s="176" t="inlineStr">
        <is>
          <t>1403/08/07</t>
        </is>
      </c>
      <c r="K264" s="177">
        <f>IFERROR(VLOOKUP(LEFT(H264,7),'تبدیل تاریخ'!$A$2:$B$73,2,FALSE())+VALUE(RIGHT(H264,2))-1,"")</f>
        <v/>
      </c>
      <c r="L264" s="177">
        <f>IFERROR(VLOOKUP(LEFT(I264,7),'تبدیل تاریخ'!$A$2:$B$73,2,FALSE())+VALUE(RIGHT(I264,2))-1,"")</f>
        <v/>
      </c>
      <c r="M264" s="177">
        <f>IF(J264="","",IFERROR(VLOOKUP(LEFT(J264,7),'تبدیل تاریخ'!$A$2:$B$73,2,FALSE())+VALUE(RIGHT(J264,2))-1,""))</f>
        <v/>
      </c>
      <c r="N264" s="124">
        <f>IF(OR(K264="",M264=""),"",CEILING((K264-M264)/30,1))</f>
        <v/>
      </c>
      <c r="O264" s="124" t="inlineStr">
        <is>
          <t>یخساز - تنظیم/عایق (تعمیر)</t>
        </is>
      </c>
      <c r="P264" s="124" t="inlineStr">
        <is>
          <t>*</t>
        </is>
      </c>
      <c r="Q264" s="124" t="n"/>
      <c r="R264" s="178">
        <f>IF(O264="تعویض کامل دستگاه (Replacement)",IF(SUMIF('قیمت‌ها و مفروضات'!$A$9:$A$13,C264,'قیمت‌ها و مفروضات'!$C$9:$C$13)&lt;&gt;0,SUMIF('قیمت‌ها و مفروضات'!$A$9:$A$13,C264,'قیمت‌ها و مفروضات'!$C$9:$C$13),SUMIF('قیمت‌ها و مفروضات'!$A$9:$A$13,C264,'قیمت‌ها و مفروضات'!$B$9:$B$13)),IF(SUMIF('قیمت‌ها و مفروضات'!$A$18:$A$63,O264,'قیمت‌ها و مفروضات'!$C$18:$C$63)&lt;&gt;0,SUMIF('قیمت‌ها و مفروضات'!$A$18:$A$63,O264,'قیمت‌ها و مفروضات'!$C$18:$C$63),SUMIF('قیمت‌ها و مفروضات'!$A$18:$A$63,O264,'قیمت‌ها و مفروضات'!$B$18:$B$63)))</f>
        <v/>
      </c>
      <c r="S264" s="178">
        <f>'قیمت‌ها و مفروضات'!$B$3+'قیمت‌ها و مفروضات'!$B$4</f>
        <v/>
      </c>
      <c r="T264" s="178">
        <f>R264+S264</f>
        <v/>
      </c>
      <c r="U264" s="178">
        <f>IF(COUNTIF($E$2:E264,E264)&gt;1,"بله (تکراری)","خیر")</f>
        <v/>
      </c>
      <c r="V264" s="176">
        <f>IF(U264="بله (تکراری)",S264,0)</f>
        <v/>
      </c>
      <c r="W264" s="176" t="inlineStr">
        <is>
          <t>مصطفي شفيعي / کد 1732 - لوازم خانگي</t>
        </is>
      </c>
      <c r="X264" s="176" t="inlineStr">
        <is>
          <t>تهران - منطقه 14</t>
        </is>
      </c>
    </row>
    <row r="265" ht="58.5" customHeight="1" s="151">
      <c r="A265" s="176" t="n">
        <v>210019017</v>
      </c>
      <c r="B265" s="124">
        <f>CHOOSE(_xlfn.NUMBERVALUE(MID(H265,6,2)),"فروردین","اردیبهشت","خرداد","تیر","مرداد","شهریور","مهر","آبان","آذر","دی","بهمن","اسفند")</f>
        <v/>
      </c>
      <c r="C265" s="176" t="inlineStr">
        <is>
          <t>یخچال ساید‌بای‌ساید</t>
        </is>
      </c>
      <c r="D265" s="176" t="inlineStr">
        <is>
          <t>C2S-29HS1</t>
        </is>
      </c>
      <c r="E265" s="176" t="inlineStr">
        <is>
          <t>52240001N01244</t>
        </is>
      </c>
      <c r="F265" s="173" t="inlineStr">
        <is>
          <t>صداي غيرعادي درب**اياب و ذهاب به عهده شرکت</t>
        </is>
      </c>
      <c r="G265" s="173" t="inlineStr">
        <is>
          <t>تعويض آرام بند</t>
        </is>
      </c>
      <c r="H265" s="176" t="inlineStr">
        <is>
          <t>1405/05/17</t>
        </is>
      </c>
      <c r="I265" s="176" t="inlineStr">
        <is>
          <t>1403/05/17</t>
        </is>
      </c>
      <c r="J265" s="176" t="inlineStr"/>
      <c r="K265" s="177">
        <f>IFERROR(VLOOKUP(LEFT(H265,7),'تبدیل تاریخ'!$A$2:$B$73,2,FALSE())+VALUE(RIGHT(H265,2))-1,"")</f>
        <v/>
      </c>
      <c r="L265" s="177">
        <f>IFERROR(VLOOKUP(LEFT(I265,7),'تبدیل تاریخ'!$A$2:$B$73,2,FALSE())+VALUE(RIGHT(I265,2))-1,"")</f>
        <v/>
      </c>
      <c r="M265" s="177">
        <f>IF(J265="","",IFERROR(VLOOKUP(LEFT(J265,7),'تبدیل تاریخ'!$A$2:$B$73,2,FALSE())+VALUE(RIGHT(J265,2))-1,""))</f>
        <v/>
      </c>
      <c r="N265" s="124">
        <f>IF(OR(K265="",M265=""),"",CEILING((K265-M265)/30,1))</f>
        <v/>
      </c>
      <c r="O265" s="233" t="inlineStr">
        <is>
          <t>سایر اجزای درب (بازبینی)</t>
        </is>
      </c>
      <c r="P265" s="124" t="inlineStr">
        <is>
          <t>C2S-29HS1 آرام بند فريزر سايد باي سايد</t>
        </is>
      </c>
      <c r="Q265" s="124" t="n"/>
      <c r="R265" s="178">
        <f>IF(O265="تعویض کامل دستگاه (Replacement)",IF(SUMIF('قیمت‌ها و مفروضات'!$A$9:$A$13,C265,'قیمت‌ها و مفروضات'!$C$9:$C$13)&lt;&gt;0,SUMIF('قیمت‌ها و مفروضات'!$A$9:$A$13,C265,'قیمت‌ها و مفروضات'!$C$9:$C$13),SUMIF('قیمت‌ها و مفروضات'!$A$9:$A$13,C265,'قیمت‌ها و مفروضات'!$B$9:$B$13)),IF(SUMIF('قیمت‌ها و مفروضات'!$A$18:$A$63,O265,'قیمت‌ها و مفروضات'!$C$18:$C$63)&lt;&gt;0,SUMIF('قیمت‌ها و مفروضات'!$A$18:$A$63,O265,'قیمت‌ها و مفروضات'!$C$18:$C$63),SUMIF('قیمت‌ها و مفروضات'!$A$18:$A$63,O265,'قیمت‌ها و مفروضات'!$B$18:$B$63)))</f>
        <v/>
      </c>
      <c r="S265" s="178">
        <f>'قیمت‌ها و مفروضات'!$B$3+'قیمت‌ها و مفروضات'!$B$4</f>
        <v/>
      </c>
      <c r="T265" s="178">
        <f>R265+S265</f>
        <v/>
      </c>
      <c r="U265" s="178">
        <f>IF(COUNTIF($E$2:E265,E265)&gt;1,"بله (تکراری)","خیر")</f>
        <v/>
      </c>
      <c r="V265" s="176">
        <f>IF(U265="بله (تکراری)",S265,0)</f>
        <v/>
      </c>
      <c r="W265" s="176" t="inlineStr">
        <is>
          <t>حسين حسني /کد 1717</t>
        </is>
      </c>
      <c r="X265" s="176" t="inlineStr">
        <is>
          <t>قرچک</t>
        </is>
      </c>
    </row>
    <row r="266" ht="58.5" customHeight="1" s="151">
      <c r="A266" s="176" t="n">
        <v>130009640</v>
      </c>
      <c r="B266" s="124">
        <f>CHOOSE(_xlfn.NUMBERVALUE(MID(H266,6,2)),"فروردین","اردیبهشت","خرداد","تیر","مرداد","شهریور","مهر","آبان","آذر","دی","بهمن","اسفند")</f>
        <v/>
      </c>
      <c r="C266" s="176" t="inlineStr">
        <is>
          <t>یخچال ساید‌بای‌ساید</t>
        </is>
      </c>
      <c r="D266" s="176" t="inlineStr">
        <is>
          <t>C2S-29HS1</t>
        </is>
      </c>
      <c r="E266" s="176" t="inlineStr">
        <is>
          <t>52240001N01358</t>
        </is>
      </c>
      <c r="F266" s="173" t="inlineStr">
        <is>
          <t>ترک وان ** اياب و ذهاب به عهده مشتري</t>
        </is>
      </c>
      <c r="G266" s="173" t="inlineStr">
        <is>
          <t>ترک وان</t>
        </is>
      </c>
      <c r="H266" s="176" t="inlineStr">
        <is>
          <t>1405/05/17</t>
        </is>
      </c>
      <c r="I266" s="176" t="inlineStr">
        <is>
          <t>1403/06/05</t>
        </is>
      </c>
      <c r="J266" s="176" t="inlineStr">
        <is>
          <t>1403/11/20</t>
        </is>
      </c>
      <c r="K266" s="177">
        <f>IFERROR(VLOOKUP(LEFT(H266,7),'تبدیل تاریخ'!$A$2:$B$73,2,FALSE())+VALUE(RIGHT(H266,2))-1,"")</f>
        <v/>
      </c>
      <c r="L266" s="177">
        <f>IFERROR(VLOOKUP(LEFT(I266,7),'تبدیل تاریخ'!$A$2:$B$73,2,FALSE())+VALUE(RIGHT(I266,2))-1,"")</f>
        <v/>
      </c>
      <c r="M266" s="177">
        <f>IF(J266="","",IFERROR(VLOOKUP(LEFT(J266,7),'تبدیل تاریخ'!$A$2:$B$73,2,FALSE())+VALUE(RIGHT(J266,2))-1,""))</f>
        <v/>
      </c>
      <c r="N266" s="124">
        <f>IF(OR(K266="",M266=""),"",CEILING((K266-M266)/30,1))</f>
        <v/>
      </c>
      <c r="O266" s="233" t="inlineStr">
        <is>
          <t>سایر (نیازمند بررسی دستی)</t>
        </is>
      </c>
      <c r="P266" s="124" t="inlineStr">
        <is>
          <t>*</t>
        </is>
      </c>
      <c r="Q266" s="124" t="n"/>
      <c r="R266" s="178">
        <f>IF(O266="تعویض کامل دستگاه (Replacement)",IF(SUMIF('قیمت‌ها و مفروضات'!$A$9:$A$13,C266,'قیمت‌ها و مفروضات'!$C$9:$C$13)&lt;&gt;0,SUMIF('قیمت‌ها و مفروضات'!$A$9:$A$13,C266,'قیمت‌ها و مفروضات'!$C$9:$C$13),SUMIF('قیمت‌ها و مفروضات'!$A$9:$A$13,C266,'قیمت‌ها و مفروضات'!$B$9:$B$13)),IF(SUMIF('قیمت‌ها و مفروضات'!$A$18:$A$63,O266,'قیمت‌ها و مفروضات'!$C$18:$C$63)&lt;&gt;0,SUMIF('قیمت‌ها و مفروضات'!$A$18:$A$63,O266,'قیمت‌ها و مفروضات'!$C$18:$C$63),SUMIF('قیمت‌ها و مفروضات'!$A$18:$A$63,O266,'قیمت‌ها و مفروضات'!$B$18:$B$63)))</f>
        <v/>
      </c>
      <c r="S266" s="178">
        <f>'قیمت‌ها و مفروضات'!$B$3+'قیمت‌ها و مفروضات'!$B$4</f>
        <v/>
      </c>
      <c r="T266" s="178">
        <f>R266+S266</f>
        <v/>
      </c>
      <c r="U266" s="178">
        <f>IF(COUNTIF($E$2:E266,E266)&gt;1,"بله (تکراری)","خیر")</f>
        <v/>
      </c>
      <c r="V266" s="176">
        <f>IF(U266="بله (تکراری)",S266,0)</f>
        <v/>
      </c>
      <c r="W266" s="176" t="inlineStr">
        <is>
          <t>عباس ظفري چوکامي/کد3468</t>
        </is>
      </c>
      <c r="X266" s="176" t="inlineStr">
        <is>
          <t>خمام</t>
        </is>
      </c>
    </row>
    <row r="267" ht="58.5" customHeight="1" s="151">
      <c r="A267" s="176" t="n">
        <v>510023639</v>
      </c>
      <c r="B267" s="124">
        <f>CHOOSE(_xlfn.NUMBERVALUE(MID(H267,6,2)),"فروردین","اردیبهشت","خرداد","تیر","مرداد","شهریور","مهر","آبان","آذر","دی","بهمن","اسفند")</f>
        <v/>
      </c>
      <c r="C267" s="176" t="inlineStr">
        <is>
          <t>یخچال ساید‌بای‌ساید</t>
        </is>
      </c>
      <c r="D267" s="176" t="inlineStr">
        <is>
          <t>C2S-29HS1</t>
        </is>
      </c>
      <c r="E267" s="176" t="inlineStr">
        <is>
          <t>52240001N01417</t>
        </is>
      </c>
      <c r="F267" s="173" t="inlineStr">
        <is>
          <t>عدم کارکرد يخساز**اياب و ذهاب به عهده مشتري</t>
        </is>
      </c>
      <c r="G267" s="173" t="inlineStr">
        <is>
          <t xml:space="preserve">خرابي موتور يخساز </t>
        </is>
      </c>
      <c r="H267" s="176" t="inlineStr">
        <is>
          <t>1405/05/15</t>
        </is>
      </c>
      <c r="I267" s="176" t="inlineStr">
        <is>
          <t>1403/05/29</t>
        </is>
      </c>
      <c r="J267" s="176" t="inlineStr">
        <is>
          <t>1403/11/23</t>
        </is>
      </c>
      <c r="K267" s="177">
        <f>IFERROR(VLOOKUP(LEFT(H267,7),'تبدیل تاریخ'!$A$2:$B$73,2,FALSE())+VALUE(RIGHT(H267,2))-1,"")</f>
        <v/>
      </c>
      <c r="L267" s="177">
        <f>IFERROR(VLOOKUP(LEFT(I267,7),'تبدیل تاریخ'!$A$2:$B$73,2,FALSE())+VALUE(RIGHT(I267,2))-1,"")</f>
        <v/>
      </c>
      <c r="M267" s="177">
        <f>IF(J267="","",IFERROR(VLOOKUP(LEFT(J267,7),'تبدیل تاریخ'!$A$2:$B$73,2,FALSE())+VALUE(RIGHT(J267,2))-1,""))</f>
        <v/>
      </c>
      <c r="N267" s="124">
        <f>IF(OR(K267="",M267=""),"",CEILING((K267-M267)/30,1))</f>
        <v/>
      </c>
      <c r="O267" s="124" t="inlineStr">
        <is>
          <t>یخساز - خرابی موتور/سنسور/برد (تعویض)</t>
        </is>
      </c>
      <c r="P267" s="124" t="inlineStr">
        <is>
          <t>C2S-29HS1 موتور يخساز سايد باي سايد</t>
        </is>
      </c>
      <c r="Q267" s="124" t="n"/>
      <c r="R267" s="178">
        <f>IF(O267="تعویض کامل دستگاه (Replacement)",IF(SUMIF('قیمت‌ها و مفروضات'!$A$9:$A$13,C267,'قیمت‌ها و مفروضات'!$C$9:$C$13)&lt;&gt;0,SUMIF('قیمت‌ها و مفروضات'!$A$9:$A$13,C267,'قیمت‌ها و مفروضات'!$C$9:$C$13),SUMIF('قیمت‌ها و مفروضات'!$A$9:$A$13,C267,'قیمت‌ها و مفروضات'!$B$9:$B$13)),IF(SUMIF('قیمت‌ها و مفروضات'!$A$18:$A$63,O267,'قیمت‌ها و مفروضات'!$C$18:$C$63)&lt;&gt;0,SUMIF('قیمت‌ها و مفروضات'!$A$18:$A$63,O267,'قیمت‌ها و مفروضات'!$C$18:$C$63),SUMIF('قیمت‌ها و مفروضات'!$A$18:$A$63,O267,'قیمت‌ها و مفروضات'!$B$18:$B$63)))</f>
        <v/>
      </c>
      <c r="S267" s="178">
        <f>'قیمت‌ها و مفروضات'!$B$3+'قیمت‌ها و مفروضات'!$B$4</f>
        <v/>
      </c>
      <c r="T267" s="178">
        <f>R267+S267</f>
        <v/>
      </c>
      <c r="U267" s="178">
        <f>IF(COUNTIF($E$2:E267,E267)&gt;1,"بله (تکراری)","خیر")</f>
        <v/>
      </c>
      <c r="V267" s="176">
        <f>IF(U267="بله (تکراری)",S267,0)</f>
        <v/>
      </c>
      <c r="W267" s="176" t="inlineStr">
        <is>
          <t>مصطفي حسيني/کد 51004T</t>
        </is>
      </c>
      <c r="X267" s="176" t="inlineStr">
        <is>
          <t>مشهد</t>
        </is>
      </c>
    </row>
    <row r="268" ht="58.5" customHeight="1" s="151">
      <c r="A268" s="176" t="n">
        <v>810050</v>
      </c>
      <c r="B268" s="124">
        <f>CHOOSE(_xlfn.NUMBERVALUE(MID(H268,6,2)),"فروردین","اردیبهشت","خرداد","تیر","مرداد","شهریور","مهر","آبان","آذر","دی","بهمن","اسفند")</f>
        <v/>
      </c>
      <c r="C268" s="176" t="inlineStr">
        <is>
          <t>ماشين ظرفشويي</t>
        </is>
      </c>
      <c r="D268" s="176" t="inlineStr">
        <is>
          <t>CDW-H16TW1</t>
        </is>
      </c>
      <c r="E268" s="176" t="inlineStr">
        <is>
          <t>52220005N00126</t>
        </is>
      </c>
      <c r="F268" s="173" t="inlineStr">
        <is>
          <t>بسته نشدن درب**اياب و ذهاب به عهده شرکت</t>
        </is>
      </c>
      <c r="G268" s="173" t="inlineStr">
        <is>
          <t>پايين بودن میکروسوئیچ درب</t>
        </is>
      </c>
      <c r="H268" s="176" t="inlineStr">
        <is>
          <t>1405/05/20</t>
        </is>
      </c>
      <c r="I268" s="176" t="inlineStr">
        <is>
          <t>1403/07/12</t>
        </is>
      </c>
      <c r="J268" s="176" t="inlineStr">
        <is>
          <t>1404/06/04</t>
        </is>
      </c>
      <c r="K268" s="177">
        <f>IFERROR(VLOOKUP(LEFT(H268,7),'تبدیل تاریخ'!$A$2:$B$73,2,FALSE())+VALUE(RIGHT(H268,2))-1,"")</f>
        <v/>
      </c>
      <c r="L268" s="177">
        <f>IFERROR(VLOOKUP(LEFT(I268,7),'تبدیل تاریخ'!$A$2:$B$73,2,FALSE())+VALUE(RIGHT(I268,2))-1,"")</f>
        <v/>
      </c>
      <c r="M268" s="177">
        <f>IF(J268="","",IFERROR(VLOOKUP(LEFT(J268,7),'تبدیل تاریخ'!$A$2:$B$73,2,FALSE())+VALUE(RIGHT(J268,2))-1,""))</f>
        <v/>
      </c>
      <c r="N268" s="124">
        <f>IF(OR(K268="",M268=""),"",CEILING((K268-M268)/30,1))</f>
        <v/>
      </c>
      <c r="O268" s="124" t="inlineStr">
        <is>
          <t>مکانیزم درب - میکروسوئیچ/قلاب (تعویض/تنظیم)</t>
        </is>
      </c>
      <c r="P268" s="124" t="inlineStr">
        <is>
          <t>*</t>
        </is>
      </c>
      <c r="Q268" s="124" t="n"/>
      <c r="R268" s="178">
        <f>IF(O268="تعویض کامل دستگاه (Replacement)",IF(SUMIF('قیمت‌ها و مفروضات'!$A$9:$A$13,C268,'قیمت‌ها و مفروضات'!$C$9:$C$13)&lt;&gt;0,SUMIF('قیمت‌ها و مفروضات'!$A$9:$A$13,C268,'قیمت‌ها و مفروضات'!$C$9:$C$13),SUMIF('قیمت‌ها و مفروضات'!$A$9:$A$13,C268,'قیمت‌ها و مفروضات'!$B$9:$B$13)),IF(SUMIF('قیمت‌ها و مفروضات'!$A$18:$A$63,O268,'قیمت‌ها و مفروضات'!$C$18:$C$63)&lt;&gt;0,SUMIF('قیمت‌ها و مفروضات'!$A$18:$A$63,O268,'قیمت‌ها و مفروضات'!$C$18:$C$63),SUMIF('قیمت‌ها و مفروضات'!$A$18:$A$63,O268,'قیمت‌ها و مفروضات'!$B$18:$B$63)))</f>
        <v/>
      </c>
      <c r="S268" s="178">
        <f>'قیمت‌ها و مفروضات'!$B$3+'قیمت‌ها و مفروضات'!$B$4</f>
        <v/>
      </c>
      <c r="T268" s="178">
        <f>R268+S268</f>
        <v/>
      </c>
      <c r="U268" s="178">
        <f>IF(COUNTIF($E$2:E268,E268)&gt;1,"بله (تکراری)","خیر")</f>
        <v/>
      </c>
      <c r="V268" s="176">
        <f>IF(U268="بله (تکراری)",S268,0)</f>
        <v/>
      </c>
      <c r="W268" s="176" t="inlineStr">
        <is>
          <t>حسين بابايي همت آبادي/ کد 1720</t>
        </is>
      </c>
      <c r="X268" s="176" t="inlineStr">
        <is>
          <t>تهران - منطقه 16</t>
        </is>
      </c>
    </row>
    <row r="269" ht="58.5" customHeight="1" s="151">
      <c r="A269" s="176" t="n">
        <v>310008150</v>
      </c>
      <c r="B269" s="124">
        <f>CHOOSE(_xlfn.NUMBERVALUE(MID(H269,6,2)),"فروردین","اردیبهشت","خرداد","تیر","مرداد","شهریور","مهر","آبان","آذر","دی","بهمن","اسفند")</f>
        <v/>
      </c>
      <c r="C269" s="176" t="inlineStr">
        <is>
          <t>ماشين ظرفشويي</t>
        </is>
      </c>
      <c r="D269" s="176" t="inlineStr">
        <is>
          <t>CDW-H16TS1</t>
        </is>
      </c>
      <c r="E269" s="176" t="inlineStr">
        <is>
          <t>52220004N00129</t>
        </is>
      </c>
      <c r="F269" s="173" t="inlineStr">
        <is>
          <t>عدم شست و شوي کامل ظروف ** اياب و ذهاب به عهده مشتري</t>
        </is>
      </c>
      <c r="G269" s="173" t="inlineStr">
        <is>
          <t>نشتي اورينگ مخزن نمک</t>
        </is>
      </c>
      <c r="H269" s="176" t="inlineStr">
        <is>
          <t>1405/05/20</t>
        </is>
      </c>
      <c r="I269" s="176" t="inlineStr">
        <is>
          <t>1403/07/15</t>
        </is>
      </c>
      <c r="J269" s="176" t="inlineStr">
        <is>
          <t>1404/03/11</t>
        </is>
      </c>
      <c r="K269" s="177">
        <f>IFERROR(VLOOKUP(LEFT(H269,7),'تبدیل تاریخ'!$A$2:$B$73,2,FALSE())+VALUE(RIGHT(H269,2))-1,"")</f>
        <v/>
      </c>
      <c r="L269" s="177">
        <f>IFERROR(VLOOKUP(LEFT(I269,7),'تبدیل تاریخ'!$A$2:$B$73,2,FALSE())+VALUE(RIGHT(I269,2))-1,"")</f>
        <v/>
      </c>
      <c r="M269" s="177">
        <f>IF(J269="","",IFERROR(VLOOKUP(LEFT(J269,7),'تبدیل تاریخ'!$A$2:$B$73,2,FALSE())+VALUE(RIGHT(J269,2))-1,""))</f>
        <v/>
      </c>
      <c r="N269" s="124">
        <f>IF(OR(K269="",M269=""),"",CEILING((K269-M269)/30,1))</f>
        <v/>
      </c>
      <c r="O269" s="124" t="inlineStr">
        <is>
          <t>نشتی - درب مخزن نمک (تعمیر/آب‌بندی)</t>
        </is>
      </c>
      <c r="P269" s="124" t="inlineStr">
        <is>
          <t>*</t>
        </is>
      </c>
      <c r="Q269" s="124" t="n"/>
      <c r="R269" s="178">
        <f>IF(O269="تعویض کامل دستگاه (Replacement)",IF(SUMIF('قیمت‌ها و مفروضات'!$A$9:$A$13,C269,'قیمت‌ها و مفروضات'!$C$9:$C$13)&lt;&gt;0,SUMIF('قیمت‌ها و مفروضات'!$A$9:$A$13,C269,'قیمت‌ها و مفروضات'!$C$9:$C$13),SUMIF('قیمت‌ها و مفروضات'!$A$9:$A$13,C269,'قیمت‌ها و مفروضات'!$B$9:$B$13)),IF(SUMIF('قیمت‌ها و مفروضات'!$A$18:$A$63,O269,'قیمت‌ها و مفروضات'!$C$18:$C$63)&lt;&gt;0,SUMIF('قیمت‌ها و مفروضات'!$A$18:$A$63,O269,'قیمت‌ها و مفروضات'!$C$18:$C$63),SUMIF('قیمت‌ها و مفروضات'!$A$18:$A$63,O269,'قیمت‌ها و مفروضات'!$B$18:$B$63)))</f>
        <v/>
      </c>
      <c r="S269" s="178">
        <f>'قیمت‌ها و مفروضات'!$B$3+'قیمت‌ها و مفروضات'!$B$4</f>
        <v/>
      </c>
      <c r="T269" s="178">
        <f>R269+S269</f>
        <v/>
      </c>
      <c r="U269" s="178">
        <f>IF(COUNTIF($E$2:E269,E269)&gt;1,"بله (تکراری)","خیر")</f>
        <v/>
      </c>
      <c r="V269" s="176">
        <f>IF(U269="بله (تکراری)",S269,0)</f>
        <v/>
      </c>
      <c r="W269" s="176" t="inlineStr">
        <is>
          <t>پيمان عشقي /کد1358 - شوينده</t>
        </is>
      </c>
      <c r="X269" s="176" t="inlineStr">
        <is>
          <t>اصفهان-منطقه5</t>
        </is>
      </c>
    </row>
    <row r="270" ht="58.5" customHeight="1" s="151">
      <c r="A270" s="176" t="n">
        <v>210018303</v>
      </c>
      <c r="B270" s="124">
        <f>CHOOSE(_xlfn.NUMBERVALUE(MID(H270,6,2)),"فروردین","اردیبهشت","خرداد","تیر","مرداد","شهریور","مهر","آبان","آذر","دی","بهمن","اسفند")</f>
        <v/>
      </c>
      <c r="C270" s="176" t="inlineStr">
        <is>
          <t>ماشين ظرفشويي</t>
        </is>
      </c>
      <c r="D270" s="176" t="inlineStr">
        <is>
          <t>CDW-H16TW1</t>
        </is>
      </c>
      <c r="E270" s="176" t="inlineStr">
        <is>
          <t>52220005N00261</t>
        </is>
      </c>
      <c r="F270" s="173" t="inlineStr">
        <is>
          <t>خطاي F54**اياب و ذهاب به عهده مشتري</t>
        </is>
      </c>
      <c r="G270" s="173" t="inlineStr">
        <is>
          <t>نشتي درب مخزن نمک</t>
        </is>
      </c>
      <c r="H270" s="176" t="inlineStr">
        <is>
          <t>1405/05/11</t>
        </is>
      </c>
      <c r="I270" s="176" t="inlineStr">
        <is>
          <t>1403/07/18</t>
        </is>
      </c>
      <c r="J270" s="176" t="inlineStr">
        <is>
          <t>1403/08/15</t>
        </is>
      </c>
      <c r="K270" s="177">
        <f>IFERROR(VLOOKUP(LEFT(H270,7),'تبدیل تاریخ'!$A$2:$B$73,2,FALSE())+VALUE(RIGHT(H270,2))-1,"")</f>
        <v/>
      </c>
      <c r="L270" s="177">
        <f>IFERROR(VLOOKUP(LEFT(I270,7),'تبدیل تاریخ'!$A$2:$B$73,2,FALSE())+VALUE(RIGHT(I270,2))-1,"")</f>
        <v/>
      </c>
      <c r="M270" s="177">
        <f>IF(J270="","",IFERROR(VLOOKUP(LEFT(J270,7),'تبدیل تاریخ'!$A$2:$B$73,2,FALSE())+VALUE(RIGHT(J270,2))-1,""))</f>
        <v/>
      </c>
      <c r="N270" s="124">
        <f>IF(OR(K270="",M270=""),"",CEILING((K270-M270)/30,1))</f>
        <v/>
      </c>
      <c r="O270" s="124" t="inlineStr">
        <is>
          <t>نشتی - درب مخزن نمک (تعمیر/آب‌بندی)</t>
        </is>
      </c>
      <c r="P270" s="124" t="inlineStr">
        <is>
          <t>*</t>
        </is>
      </c>
      <c r="Q270" s="124" t="n"/>
      <c r="R270" s="178">
        <f>IF(O270="تعویض کامل دستگاه (Replacement)",IF(SUMIF('قیمت‌ها و مفروضات'!$A$9:$A$13,C270,'قیمت‌ها و مفروضات'!$C$9:$C$13)&lt;&gt;0,SUMIF('قیمت‌ها و مفروضات'!$A$9:$A$13,C270,'قیمت‌ها و مفروضات'!$C$9:$C$13),SUMIF('قیمت‌ها و مفروضات'!$A$9:$A$13,C270,'قیمت‌ها و مفروضات'!$B$9:$B$13)),IF(SUMIF('قیمت‌ها و مفروضات'!$A$18:$A$63,O270,'قیمت‌ها و مفروضات'!$C$18:$C$63)&lt;&gt;0,SUMIF('قیمت‌ها و مفروضات'!$A$18:$A$63,O270,'قیمت‌ها و مفروضات'!$C$18:$C$63),SUMIF('قیمت‌ها و مفروضات'!$A$18:$A$63,O270,'قیمت‌ها و مفروضات'!$B$18:$B$63)))</f>
        <v/>
      </c>
      <c r="S270" s="178">
        <f>'قیمت‌ها و مفروضات'!$B$3+'قیمت‌ها و مفروضات'!$B$4</f>
        <v/>
      </c>
      <c r="T270" s="178">
        <f>R270+S270</f>
        <v/>
      </c>
      <c r="U270" s="178">
        <f>IF(COUNTIF($E$2:E270,E270)&gt;1,"بله (تکراری)","خیر")</f>
        <v/>
      </c>
      <c r="V270" s="176">
        <f>IF(U270="بله (تکراری)",S270,0)</f>
        <v/>
      </c>
      <c r="W270" s="176" t="inlineStr">
        <is>
          <t>حسين بابايي همت آبادي/ کد 1720</t>
        </is>
      </c>
      <c r="X270" s="176" t="inlineStr">
        <is>
          <t>تهران - منطقه 2</t>
        </is>
      </c>
    </row>
    <row r="271" ht="58.5" customHeight="1" s="151">
      <c r="A271" s="176" t="n">
        <v>310007778</v>
      </c>
      <c r="B271" s="124">
        <f>CHOOSE(_xlfn.NUMBERVALUE(MID(H271,6,2)),"فروردین","اردیبهشت","خرداد","تیر","مرداد","شهریور","مهر","آبان","آذر","دی","بهمن","اسفند")</f>
        <v/>
      </c>
      <c r="C271" s="176" t="inlineStr">
        <is>
          <t>ماشين ظرفشويي</t>
        </is>
      </c>
      <c r="D271" s="176" t="inlineStr">
        <is>
          <t>CDW-H16TS1</t>
        </is>
      </c>
      <c r="E271" s="176" t="inlineStr">
        <is>
          <t>52220004N00520</t>
        </is>
      </c>
      <c r="F271" s="173" t="inlineStr">
        <is>
          <t>خطاي F54 ** اياب و ذهاب به عهده شرکت</t>
        </is>
      </c>
      <c r="G271" s="173" t="inlineStr">
        <is>
          <t>نشتي شيلنگ تخليه</t>
        </is>
      </c>
      <c r="H271" s="176" t="inlineStr">
        <is>
          <t>1405/05/15</t>
        </is>
      </c>
      <c r="I271" s="176" t="inlineStr">
        <is>
          <t>1403/07/29</t>
        </is>
      </c>
      <c r="J271" s="176" t="inlineStr">
        <is>
          <t>1404/08/24</t>
        </is>
      </c>
      <c r="K271" s="177">
        <f>IFERROR(VLOOKUP(LEFT(H271,7),'تبدیل تاریخ'!$A$2:$B$73,2,FALSE())+VALUE(RIGHT(H271,2))-1,"")</f>
        <v/>
      </c>
      <c r="L271" s="177">
        <f>IFERROR(VLOOKUP(LEFT(I271,7),'تبدیل تاریخ'!$A$2:$B$73,2,FALSE())+VALUE(RIGHT(I271,2))-1,"")</f>
        <v/>
      </c>
      <c r="M271" s="177">
        <f>IF(J271="","",IFERROR(VLOOKUP(LEFT(J271,7),'تبدیل تاریخ'!$A$2:$B$73,2,FALSE())+VALUE(RIGHT(J271,2))-1,""))</f>
        <v/>
      </c>
      <c r="N271" s="124">
        <f>IF(OR(K271="",M271=""),"",CEILING((K271-M271)/30,1))</f>
        <v/>
      </c>
      <c r="O271" s="124" t="inlineStr">
        <is>
          <t>نشتی - شیلنگ (تعمیر/آب‌بندی)</t>
        </is>
      </c>
      <c r="P271" s="124" t="inlineStr">
        <is>
          <t>*</t>
        </is>
      </c>
      <c r="Q271" s="124" t="n"/>
      <c r="R271" s="178">
        <f>IF(O271="تعویض کامل دستگاه (Replacement)",IF(SUMIF('قیمت‌ها و مفروضات'!$A$9:$A$13,C271,'قیمت‌ها و مفروضات'!$C$9:$C$13)&lt;&gt;0,SUMIF('قیمت‌ها و مفروضات'!$A$9:$A$13,C271,'قیمت‌ها و مفروضات'!$C$9:$C$13),SUMIF('قیمت‌ها و مفروضات'!$A$9:$A$13,C271,'قیمت‌ها و مفروضات'!$B$9:$B$13)),IF(SUMIF('قیمت‌ها و مفروضات'!$A$18:$A$63,O271,'قیمت‌ها و مفروضات'!$C$18:$C$63)&lt;&gt;0,SUMIF('قیمت‌ها و مفروضات'!$A$18:$A$63,O271,'قیمت‌ها و مفروضات'!$C$18:$C$63),SUMIF('قیمت‌ها و مفروضات'!$A$18:$A$63,O271,'قیمت‌ها و مفروضات'!$B$18:$B$63)))</f>
        <v/>
      </c>
      <c r="S271" s="178">
        <f>'قیمت‌ها و مفروضات'!$B$3+'قیمت‌ها و مفروضات'!$B$4</f>
        <v/>
      </c>
      <c r="T271" s="178">
        <f>R271+S271</f>
        <v/>
      </c>
      <c r="U271" s="178">
        <f>IF(COUNTIF($E$2:E271,E271)&gt;1,"بله (تکراری)","خیر")</f>
        <v/>
      </c>
      <c r="V271" s="176">
        <f>IF(U271="بله (تکراری)",S271,0)</f>
        <v/>
      </c>
      <c r="W271" s="176" t="inlineStr">
        <is>
          <t>محمد علي غلامي/کد4110</t>
        </is>
      </c>
      <c r="X271" s="176" t="inlineStr">
        <is>
          <t>بهاباد</t>
        </is>
      </c>
    </row>
    <row r="272" ht="58.5" customHeight="1" s="151">
      <c r="A272" s="176" t="n">
        <v>210016686</v>
      </c>
      <c r="B272" s="124">
        <f>CHOOSE(_xlfn.NUMBERVALUE(MID(H272,6,2)),"فروردین","اردیبهشت","خرداد","تیر","مرداد","شهریور","مهر","آبان","آذر","دی","بهمن","اسفند")</f>
        <v/>
      </c>
      <c r="C272" s="176" t="inlineStr">
        <is>
          <t>ماشين ظرفشويي</t>
        </is>
      </c>
      <c r="D272" s="176" t="inlineStr">
        <is>
          <t>CDW-H16TS1</t>
        </is>
      </c>
      <c r="E272" s="176" t="inlineStr">
        <is>
          <t>52220004N00350</t>
        </is>
      </c>
      <c r="F272" s="173" t="inlineStr">
        <is>
          <t>بسته نشدن درب**اياب و ذهاب به عهده شرکت</t>
        </is>
      </c>
      <c r="G272" s="173" t="inlineStr">
        <is>
          <t>پايين بودن میکروسوئیچ درب</t>
        </is>
      </c>
      <c r="H272" s="176" t="inlineStr">
        <is>
          <t>1405/05/01</t>
        </is>
      </c>
      <c r="I272" s="176" t="inlineStr">
        <is>
          <t>1403/08/02</t>
        </is>
      </c>
      <c r="J272" s="176" t="inlineStr">
        <is>
          <t>1404/05/18</t>
        </is>
      </c>
      <c r="K272" s="177">
        <f>IFERROR(VLOOKUP(LEFT(H272,7),'تبدیل تاریخ'!$A$2:$B$73,2,FALSE())+VALUE(RIGHT(H272,2))-1,"")</f>
        <v/>
      </c>
      <c r="L272" s="177">
        <f>IFERROR(VLOOKUP(LEFT(I272,7),'تبدیل تاریخ'!$A$2:$B$73,2,FALSE())+VALUE(RIGHT(I272,2))-1,"")</f>
        <v/>
      </c>
      <c r="M272" s="177">
        <f>IF(J272="","",IFERROR(VLOOKUP(LEFT(J272,7),'تبدیل تاریخ'!$A$2:$B$73,2,FALSE())+VALUE(RIGHT(J272,2))-1,""))</f>
        <v/>
      </c>
      <c r="N272" s="124">
        <f>IF(OR(K272="",M272=""),"",CEILING((K272-M272)/30,1))</f>
        <v/>
      </c>
      <c r="O272" s="124" t="inlineStr">
        <is>
          <t>مکانیزم درب - میکروسوئیچ/قلاب (تعویض/تنظیم)</t>
        </is>
      </c>
      <c r="P272" s="124" t="inlineStr">
        <is>
          <t>*</t>
        </is>
      </c>
      <c r="Q272" s="124" t="n"/>
      <c r="R272" s="178">
        <f>IF(O272="تعویض کامل دستگاه (Replacement)",IF(SUMIF('قیمت‌ها و مفروضات'!$A$9:$A$13,C272,'قیمت‌ها و مفروضات'!$C$9:$C$13)&lt;&gt;0,SUMIF('قیمت‌ها و مفروضات'!$A$9:$A$13,C272,'قیمت‌ها و مفروضات'!$C$9:$C$13),SUMIF('قیمت‌ها و مفروضات'!$A$9:$A$13,C272,'قیمت‌ها و مفروضات'!$B$9:$B$13)),IF(SUMIF('قیمت‌ها و مفروضات'!$A$18:$A$63,O272,'قیمت‌ها و مفروضات'!$C$18:$C$63)&lt;&gt;0,SUMIF('قیمت‌ها و مفروضات'!$A$18:$A$63,O272,'قیمت‌ها و مفروضات'!$C$18:$C$63),SUMIF('قیمت‌ها و مفروضات'!$A$18:$A$63,O272,'قیمت‌ها و مفروضات'!$B$18:$B$63)))</f>
        <v/>
      </c>
      <c r="S272" s="178">
        <f>'قیمت‌ها و مفروضات'!$B$3+'قیمت‌ها و مفروضات'!$B$4</f>
        <v/>
      </c>
      <c r="T272" s="178">
        <f>R272+S272</f>
        <v/>
      </c>
      <c r="U272" s="178">
        <f>IF(COUNTIF($E$2:E272,E272)&gt;1,"بله (تکراری)","خیر")</f>
        <v/>
      </c>
      <c r="V272" s="176">
        <f>IF(U272="بله (تکراری)",S272,0)</f>
        <v/>
      </c>
      <c r="W272" s="176" t="inlineStr">
        <is>
          <t>اميد نوروزي کندلان/ کد 3645</t>
        </is>
      </c>
      <c r="X272" s="176" t="inlineStr">
        <is>
          <t>تنکابن</t>
        </is>
      </c>
    </row>
    <row r="273" ht="58.5" customHeight="1" s="151">
      <c r="A273" s="176" t="n">
        <v>130009877</v>
      </c>
      <c r="B273" s="124">
        <f>CHOOSE(_xlfn.NUMBERVALUE(MID(H273,6,2)),"فروردین","اردیبهشت","خرداد","تیر","مرداد","شهریور","مهر","آبان","آذر","دی","بهمن","اسفند")</f>
        <v/>
      </c>
      <c r="C273" s="176" t="inlineStr">
        <is>
          <t>ماشين ظرفشويي</t>
        </is>
      </c>
      <c r="D273" s="176" t="inlineStr">
        <is>
          <t>CDW-H16TS1</t>
        </is>
      </c>
      <c r="E273" s="176" t="inlineStr">
        <is>
          <t>52220004N00564</t>
        </is>
      </c>
      <c r="F273" s="173" t="inlineStr">
        <is>
          <t>بسته نشدن درب**اياب و ذهاب به عهده مشتري</t>
        </is>
      </c>
      <c r="G273" s="173" t="inlineStr">
        <is>
          <t>پايين بودن میکروسوئیچ درب</t>
        </is>
      </c>
      <c r="H273" s="176" t="inlineStr">
        <is>
          <t>1405/05/20</t>
        </is>
      </c>
      <c r="I273" s="176" t="inlineStr">
        <is>
          <t>1403/08/08</t>
        </is>
      </c>
      <c r="J273" s="176" t="inlineStr">
        <is>
          <t>1403/12/28</t>
        </is>
      </c>
      <c r="K273" s="177">
        <f>IFERROR(VLOOKUP(LEFT(H273,7),'تبدیل تاریخ'!$A$2:$B$73,2,FALSE())+VALUE(RIGHT(H273,2))-1,"")</f>
        <v/>
      </c>
      <c r="L273" s="177">
        <f>IFERROR(VLOOKUP(LEFT(I273,7),'تبدیل تاریخ'!$A$2:$B$73,2,FALSE())+VALUE(RIGHT(I273,2))-1,"")</f>
        <v/>
      </c>
      <c r="M273" s="177">
        <f>IF(J273="","",IFERROR(VLOOKUP(LEFT(J273,7),'تبدیل تاریخ'!$A$2:$B$73,2,FALSE())+VALUE(RIGHT(J273,2))-1,""))</f>
        <v/>
      </c>
      <c r="N273" s="124">
        <f>IF(OR(K273="",M273=""),"",CEILING((K273-M273)/30,1))</f>
        <v/>
      </c>
      <c r="O273" s="124" t="inlineStr">
        <is>
          <t>مکانیزم درب - میکروسوئیچ/قلاب (تعویض/تنظیم)</t>
        </is>
      </c>
      <c r="P273" s="124" t="inlineStr">
        <is>
          <t>*</t>
        </is>
      </c>
      <c r="Q273" s="124" t="n"/>
      <c r="R273" s="178">
        <f>IF(O273="تعویض کامل دستگاه (Replacement)",IF(SUMIF('قیمت‌ها و مفروضات'!$A$9:$A$13,C273,'قیمت‌ها و مفروضات'!$C$9:$C$13)&lt;&gt;0,SUMIF('قیمت‌ها و مفروضات'!$A$9:$A$13,C273,'قیمت‌ها و مفروضات'!$C$9:$C$13),SUMIF('قیمت‌ها و مفروضات'!$A$9:$A$13,C273,'قیمت‌ها و مفروضات'!$B$9:$B$13)),IF(SUMIF('قیمت‌ها و مفروضات'!$A$18:$A$63,O273,'قیمت‌ها و مفروضات'!$C$18:$C$63)&lt;&gt;0,SUMIF('قیمت‌ها و مفروضات'!$A$18:$A$63,O273,'قیمت‌ها و مفروضات'!$C$18:$C$63),SUMIF('قیمت‌ها و مفروضات'!$A$18:$A$63,O273,'قیمت‌ها و مفروضات'!$B$18:$B$63)))</f>
        <v/>
      </c>
      <c r="S273" s="178">
        <f>'قیمت‌ها و مفروضات'!$B$3+'قیمت‌ها و مفروضات'!$B$4</f>
        <v/>
      </c>
      <c r="T273" s="178">
        <f>R273+S273</f>
        <v/>
      </c>
      <c r="U273" s="178">
        <f>IF(COUNTIF($E$2:E273,E273)&gt;1,"بله (تکراری)","خیر")</f>
        <v/>
      </c>
      <c r="V273" s="176">
        <f>IF(U273="بله (تکراری)",S273,0)</f>
        <v/>
      </c>
      <c r="W273" s="176" t="inlineStr">
        <is>
          <t>مصطفي شعباني نژاد /کد 3430</t>
        </is>
      </c>
      <c r="X273" s="176" t="inlineStr">
        <is>
          <t>رشت</t>
        </is>
      </c>
    </row>
    <row r="274" ht="58.5" customHeight="1" s="151">
      <c r="A274" s="176" t="n">
        <v>210016804</v>
      </c>
      <c r="B274" s="124">
        <f>CHOOSE(_xlfn.NUMBERVALUE(MID(H274,6,2)),"فروردین","اردیبهشت","خرداد","تیر","مرداد","شهریور","مهر","آبان","آذر","دی","بهمن","اسفند")</f>
        <v/>
      </c>
      <c r="C274" s="176" t="inlineStr">
        <is>
          <t>ماشين ظرفشويي</t>
        </is>
      </c>
      <c r="D274" s="176" t="inlineStr">
        <is>
          <t>CDW-H16TW1</t>
        </is>
      </c>
      <c r="E274" s="176" t="inlineStr">
        <is>
          <t>52220005N00667</t>
        </is>
      </c>
      <c r="F274" s="173" t="inlineStr">
        <is>
          <t>افتادگي درب/ تنظيم درب**اياب و ذهاب به عهده مشتري</t>
        </is>
      </c>
      <c r="G274" s="173" t="inlineStr">
        <is>
          <t>خرابی قلاب میکروسوئیچ</t>
        </is>
      </c>
      <c r="H274" s="176" t="inlineStr">
        <is>
          <t>1405/05/01</t>
        </is>
      </c>
      <c r="I274" s="176" t="inlineStr">
        <is>
          <t>1403/08/10</t>
        </is>
      </c>
      <c r="J274" s="176" t="inlineStr">
        <is>
          <t>1403/12/21</t>
        </is>
      </c>
      <c r="K274" s="177">
        <f>IFERROR(VLOOKUP(LEFT(H274,7),'تبدیل تاریخ'!$A$2:$B$73,2,FALSE())+VALUE(RIGHT(H274,2))-1,"")</f>
        <v/>
      </c>
      <c r="L274" s="177">
        <f>IFERROR(VLOOKUP(LEFT(I274,7),'تبدیل تاریخ'!$A$2:$B$73,2,FALSE())+VALUE(RIGHT(I274,2))-1,"")</f>
        <v/>
      </c>
      <c r="M274" s="177">
        <f>IF(J274="","",IFERROR(VLOOKUP(LEFT(J274,7),'تبدیل تاریخ'!$A$2:$B$73,2,FALSE())+VALUE(RIGHT(J274,2))-1,""))</f>
        <v/>
      </c>
      <c r="N274" s="124">
        <f>IF(OR(K274="",M274=""),"",CEILING((K274-M274)/30,1))</f>
        <v/>
      </c>
      <c r="O274" s="124" t="inlineStr">
        <is>
          <t>مکانیزم درب - میکروسوئیچ/قلاب (تعویض/تنظیم)</t>
        </is>
      </c>
      <c r="P274" s="124" t="inlineStr">
        <is>
          <t>قلاب ميکروسوئيچ ماشين ظرفشويی     CDW-H13\CDW-H15\CDW-H16</t>
        </is>
      </c>
      <c r="Q274" s="124" t="n"/>
      <c r="R274" s="178">
        <f>IF(O274="تعویض کامل دستگاه (Replacement)",IF(SUMIF('قیمت‌ها و مفروضات'!$A$9:$A$13,C274,'قیمت‌ها و مفروضات'!$C$9:$C$13)&lt;&gt;0,SUMIF('قیمت‌ها و مفروضات'!$A$9:$A$13,C274,'قیمت‌ها و مفروضات'!$C$9:$C$13),SUMIF('قیمت‌ها و مفروضات'!$A$9:$A$13,C274,'قیمت‌ها و مفروضات'!$B$9:$B$13)),IF(SUMIF('قیمت‌ها و مفروضات'!$A$18:$A$63,O274,'قیمت‌ها و مفروضات'!$C$18:$C$63)&lt;&gt;0,SUMIF('قیمت‌ها و مفروضات'!$A$18:$A$63,O274,'قیمت‌ها و مفروضات'!$C$18:$C$63),SUMIF('قیمت‌ها و مفروضات'!$A$18:$A$63,O274,'قیمت‌ها و مفروضات'!$B$18:$B$63)))</f>
        <v/>
      </c>
      <c r="S274" s="178">
        <f>'قیمت‌ها و مفروضات'!$B$3+'قیمت‌ها و مفروضات'!$B$4</f>
        <v/>
      </c>
      <c r="T274" s="178">
        <f>R274+S274</f>
        <v/>
      </c>
      <c r="U274" s="178">
        <f>IF(COUNTIF($E$2:E274,E274)&gt;1,"بله (تکراری)","خیر")</f>
        <v/>
      </c>
      <c r="V274" s="176">
        <f>IF(U274="بله (تکراری)",S274,0)</f>
        <v/>
      </c>
      <c r="W274" s="176" t="inlineStr">
        <is>
          <t>احمدعلي خانلري المشيري/کد3641 -لوازم خانگي</t>
        </is>
      </c>
      <c r="X274" s="176" t="inlineStr">
        <is>
          <t>قائمشهر</t>
        </is>
      </c>
    </row>
    <row r="275" ht="58.5" customHeight="1" s="151">
      <c r="A275" s="176" t="n">
        <v>210017424</v>
      </c>
      <c r="B275" s="124">
        <f>CHOOSE(_xlfn.NUMBERVALUE(MID(H275,6,2)),"فروردین","اردیبهشت","خرداد","تیر","مرداد","شهریور","مهر","آبان","آذر","دی","بهمن","اسفند")</f>
        <v/>
      </c>
      <c r="C275" s="176" t="inlineStr">
        <is>
          <t>ماشين ظرفشويي</t>
        </is>
      </c>
      <c r="D275" s="176" t="inlineStr">
        <is>
          <t>CDW-H16TW1</t>
        </is>
      </c>
      <c r="E275" s="176" t="inlineStr">
        <is>
          <t>52220005N00799</t>
        </is>
      </c>
      <c r="F275" s="173" t="inlineStr">
        <is>
          <t>از کار افتادن محصول**اياب و ذهاب به عهده مشتري</t>
        </is>
      </c>
      <c r="G275" s="173" t="inlineStr">
        <is>
          <t>خرابی قلاب میکروسوئیچ</t>
        </is>
      </c>
      <c r="H275" s="176" t="inlineStr">
        <is>
          <t>1405/05/05</t>
        </is>
      </c>
      <c r="I275" s="176" t="inlineStr">
        <is>
          <t>1403/08/19</t>
        </is>
      </c>
      <c r="J275" s="176" t="inlineStr">
        <is>
          <t>1403/12/12</t>
        </is>
      </c>
      <c r="K275" s="177">
        <f>IFERROR(VLOOKUP(LEFT(H275,7),'تبدیل تاریخ'!$A$2:$B$73,2,FALSE())+VALUE(RIGHT(H275,2))-1,"")</f>
        <v/>
      </c>
      <c r="L275" s="177">
        <f>IFERROR(VLOOKUP(LEFT(I275,7),'تبدیل تاریخ'!$A$2:$B$73,2,FALSE())+VALUE(RIGHT(I275,2))-1,"")</f>
        <v/>
      </c>
      <c r="M275" s="177">
        <f>IF(J275="","",IFERROR(VLOOKUP(LEFT(J275,7),'تبدیل تاریخ'!$A$2:$B$73,2,FALSE())+VALUE(RIGHT(J275,2))-1,""))</f>
        <v/>
      </c>
      <c r="N275" s="124">
        <f>IF(OR(K275="",M275=""),"",CEILING((K275-M275)/30,1))</f>
        <v/>
      </c>
      <c r="O275" s="124" t="inlineStr">
        <is>
          <t>مکانیزم درب - میکروسوئیچ/قلاب (تعویض/تنظیم)</t>
        </is>
      </c>
      <c r="P275" s="124" t="inlineStr">
        <is>
          <t>قلاب ميکروسوئيچ ماشين ظرفشويی     CDW-H13\CDW-H15\CDW-H16</t>
        </is>
      </c>
      <c r="Q275" s="124" t="n"/>
      <c r="R275" s="178">
        <f>IF(O275="تعویض کامل دستگاه (Replacement)",IF(SUMIF('قیمت‌ها و مفروضات'!$A$9:$A$13,C275,'قیمت‌ها و مفروضات'!$C$9:$C$13)&lt;&gt;0,SUMIF('قیمت‌ها و مفروضات'!$A$9:$A$13,C275,'قیمت‌ها و مفروضات'!$C$9:$C$13),SUMIF('قیمت‌ها و مفروضات'!$A$9:$A$13,C275,'قیمت‌ها و مفروضات'!$B$9:$B$13)),IF(SUMIF('قیمت‌ها و مفروضات'!$A$18:$A$63,O275,'قیمت‌ها و مفروضات'!$C$18:$C$63)&lt;&gt;0,SUMIF('قیمت‌ها و مفروضات'!$A$18:$A$63,O275,'قیمت‌ها و مفروضات'!$C$18:$C$63),SUMIF('قیمت‌ها و مفروضات'!$A$18:$A$63,O275,'قیمت‌ها و مفروضات'!$B$18:$B$63)))</f>
        <v/>
      </c>
      <c r="S275" s="178">
        <f>'قیمت‌ها و مفروضات'!$B$3+'قیمت‌ها و مفروضات'!$B$4</f>
        <v/>
      </c>
      <c r="T275" s="178">
        <f>R275+S275</f>
        <v/>
      </c>
      <c r="U275" s="178">
        <f>IF(COUNTIF($E$2:E275,E275)&gt;1,"بله (تکراری)","خیر")</f>
        <v/>
      </c>
      <c r="V275" s="176">
        <f>IF(U275="بله (تکراری)",S275,0)</f>
        <v/>
      </c>
      <c r="W275" s="176" t="inlineStr">
        <is>
          <t>آرش سميعي بورخيلي /کد 3643</t>
        </is>
      </c>
      <c r="X275" s="176" t="inlineStr">
        <is>
          <t>ساري</t>
        </is>
      </c>
    </row>
    <row r="276" ht="58.5" customHeight="1" s="151">
      <c r="A276" s="176" t="n">
        <v>210017385</v>
      </c>
      <c r="B276" s="124">
        <f>CHOOSE(_xlfn.NUMBERVALUE(MID(H276,6,2)),"فروردین","اردیبهشت","خرداد","تیر","مرداد","شهریور","مهر","آبان","آذر","دی","بهمن","اسفند")</f>
        <v/>
      </c>
      <c r="C276" s="176" t="inlineStr">
        <is>
          <t>ماشين ظرفشويي</t>
        </is>
      </c>
      <c r="D276" s="176" t="inlineStr">
        <is>
          <t>CDW-H16TW1</t>
        </is>
      </c>
      <c r="E276" s="176" t="inlineStr">
        <is>
          <t>52220005N00939</t>
        </is>
      </c>
      <c r="F276" s="173" t="inlineStr">
        <is>
          <t>مشاهده لکه روي ظروف**اياب و ذهاب به عهده مشتري</t>
        </is>
      </c>
      <c r="G276" s="173" t="inlineStr">
        <is>
          <t>پايين بودن میکروسوئیچ درب</t>
        </is>
      </c>
      <c r="H276" s="176" t="inlineStr">
        <is>
          <t>1405/05/05</t>
        </is>
      </c>
      <c r="I276" s="176" t="inlineStr">
        <is>
          <t>1403/09/07</t>
        </is>
      </c>
      <c r="J276" s="176" t="inlineStr">
        <is>
          <t>1403/11/08</t>
        </is>
      </c>
      <c r="K276" s="177">
        <f>IFERROR(VLOOKUP(LEFT(H276,7),'تبدیل تاریخ'!$A$2:$B$73,2,FALSE())+VALUE(RIGHT(H276,2))-1,"")</f>
        <v/>
      </c>
      <c r="L276" s="177">
        <f>IFERROR(VLOOKUP(LEFT(I276,7),'تبدیل تاریخ'!$A$2:$B$73,2,FALSE())+VALUE(RIGHT(I276,2))-1,"")</f>
        <v/>
      </c>
      <c r="M276" s="177">
        <f>IF(J276="","",IFERROR(VLOOKUP(LEFT(J276,7),'تبدیل تاریخ'!$A$2:$B$73,2,FALSE())+VALUE(RIGHT(J276,2))-1,""))</f>
        <v/>
      </c>
      <c r="N276" s="124">
        <f>IF(OR(K276="",M276=""),"",CEILING((K276-M276)/30,1))</f>
        <v/>
      </c>
      <c r="O276" s="124" t="inlineStr">
        <is>
          <t>مکانیزم درب - میکروسوئیچ/قلاب (تعویض/تنظیم)</t>
        </is>
      </c>
      <c r="P276" s="124" t="inlineStr">
        <is>
          <t>*</t>
        </is>
      </c>
      <c r="Q276" s="124" t="n"/>
      <c r="R276" s="178">
        <f>IF(O276="تعویض کامل دستگاه (Replacement)",IF(SUMIF('قیمت‌ها و مفروضات'!$A$9:$A$13,C276,'قیمت‌ها و مفروضات'!$C$9:$C$13)&lt;&gt;0,SUMIF('قیمت‌ها و مفروضات'!$A$9:$A$13,C276,'قیمت‌ها و مفروضات'!$C$9:$C$13),SUMIF('قیمت‌ها و مفروضات'!$A$9:$A$13,C276,'قیمت‌ها و مفروضات'!$B$9:$B$13)),IF(SUMIF('قیمت‌ها و مفروضات'!$A$18:$A$63,O276,'قیمت‌ها و مفروضات'!$C$18:$C$63)&lt;&gt;0,SUMIF('قیمت‌ها و مفروضات'!$A$18:$A$63,O276,'قیمت‌ها و مفروضات'!$C$18:$C$63),SUMIF('قیمت‌ها و مفروضات'!$A$18:$A$63,O276,'قیمت‌ها و مفروضات'!$B$18:$B$63)))</f>
        <v/>
      </c>
      <c r="S276" s="178">
        <f>'قیمت‌ها و مفروضات'!$B$3+'قیمت‌ها و مفروضات'!$B$4</f>
        <v/>
      </c>
      <c r="T276" s="178">
        <f>R276+S276</f>
        <v/>
      </c>
      <c r="U276" s="178">
        <f>IF(COUNTIF($E$2:E276,E276)&gt;1,"بله (تکراری)","خیر")</f>
        <v/>
      </c>
      <c r="V276" s="176">
        <f>IF(U276="بله (تکراری)",S276,0)</f>
        <v/>
      </c>
      <c r="W276" s="176" t="inlineStr">
        <is>
          <t>مسعود بابايي /کد1734 - لوازم خانگي</t>
        </is>
      </c>
      <c r="X276" s="176" t="inlineStr">
        <is>
          <t>کرج</t>
        </is>
      </c>
    </row>
    <row r="277" ht="58.5" customHeight="1" s="151">
      <c r="A277" s="176" t="n">
        <v>130009673</v>
      </c>
      <c r="B277" s="124">
        <f>CHOOSE(_xlfn.NUMBERVALUE(MID(H277,6,2)),"فروردین","اردیبهشت","خرداد","تیر","مرداد","شهریور","مهر","آبان","آذر","دی","بهمن","اسفند")</f>
        <v/>
      </c>
      <c r="C277" s="176" t="inlineStr">
        <is>
          <t>یخچال ساید‌بای‌ساید</t>
        </is>
      </c>
      <c r="D277" s="176" t="inlineStr">
        <is>
          <t>C2S-29HS1</t>
        </is>
      </c>
      <c r="E277" s="176" t="inlineStr">
        <is>
          <t>52240001N01862</t>
        </is>
      </c>
      <c r="F277" s="173" t="inlineStr">
        <is>
          <t>عدم کارکرد يخساز ** اياب و ذهاب به عهده شرکت</t>
        </is>
      </c>
      <c r="G277" s="173" t="inlineStr">
        <is>
          <t xml:space="preserve">پارگي سنسور يخساز </t>
        </is>
      </c>
      <c r="H277" s="176" t="inlineStr">
        <is>
          <t>1405/05/17</t>
        </is>
      </c>
      <c r="I277" s="176" t="inlineStr">
        <is>
          <t>1403/09/03</t>
        </is>
      </c>
      <c r="J277" s="176" t="inlineStr">
        <is>
          <t>1404/11/30</t>
        </is>
      </c>
      <c r="K277" s="177">
        <f>IFERROR(VLOOKUP(LEFT(H277,7),'تبدیل تاریخ'!$A$2:$B$73,2,FALSE())+VALUE(RIGHT(H277,2))-1,"")</f>
        <v/>
      </c>
      <c r="L277" s="177">
        <f>IFERROR(VLOOKUP(LEFT(I277,7),'تبدیل تاریخ'!$A$2:$B$73,2,FALSE())+VALUE(RIGHT(I277,2))-1,"")</f>
        <v/>
      </c>
      <c r="M277" s="177">
        <f>IF(J277="","",IFERROR(VLOOKUP(LEFT(J277,7),'تبدیل تاریخ'!$A$2:$B$73,2,FALSE())+VALUE(RIGHT(J277,2))-1,""))</f>
        <v/>
      </c>
      <c r="N277" s="124">
        <f>IF(OR(K277="",M277=""),"",CEILING((K277-M277)/30,1))</f>
        <v/>
      </c>
      <c r="O277" s="124" t="inlineStr">
        <is>
          <t>یخساز - خرابی موتور/سنسور/برد (تعویض)</t>
        </is>
      </c>
      <c r="P277" s="124" t="inlineStr">
        <is>
          <t>*</t>
        </is>
      </c>
      <c r="Q277" s="124" t="n"/>
      <c r="R277" s="178">
        <f>IF(O277="تعویض کامل دستگاه (Replacement)",IF(SUMIF('قیمت‌ها و مفروضات'!$A$9:$A$13,C277,'قیمت‌ها و مفروضات'!$C$9:$C$13)&lt;&gt;0,SUMIF('قیمت‌ها و مفروضات'!$A$9:$A$13,C277,'قیمت‌ها و مفروضات'!$C$9:$C$13),SUMIF('قیمت‌ها و مفروضات'!$A$9:$A$13,C277,'قیمت‌ها و مفروضات'!$B$9:$B$13)),IF(SUMIF('قیمت‌ها و مفروضات'!$A$18:$A$63,O277,'قیمت‌ها و مفروضات'!$C$18:$C$63)&lt;&gt;0,SUMIF('قیمت‌ها و مفروضات'!$A$18:$A$63,O277,'قیمت‌ها و مفروضات'!$C$18:$C$63),SUMIF('قیمت‌ها و مفروضات'!$A$18:$A$63,O277,'قیمت‌ها و مفروضات'!$B$18:$B$63)))</f>
        <v/>
      </c>
      <c r="S277" s="178">
        <f>'قیمت‌ها و مفروضات'!$B$3+'قیمت‌ها و مفروضات'!$B$4</f>
        <v/>
      </c>
      <c r="T277" s="178">
        <f>R277+S277</f>
        <v/>
      </c>
      <c r="U277" s="178">
        <f>IF(COUNTIF($E$2:E277,E277)&gt;1,"بله (تکراری)","خیر")</f>
        <v/>
      </c>
      <c r="V277" s="176">
        <f>IF(U277="بله (تکراری)",S277,0)</f>
        <v/>
      </c>
      <c r="W277" s="176" t="inlineStr">
        <is>
          <t>مسعود طريقي خسمخي/3412</t>
        </is>
      </c>
      <c r="X277" s="176" t="inlineStr">
        <is>
          <t>شفت</t>
        </is>
      </c>
    </row>
    <row r="278" ht="58.5" customHeight="1" s="151">
      <c r="A278" s="176" t="n">
        <v>210018575</v>
      </c>
      <c r="B278" s="124">
        <f>CHOOSE(_xlfn.NUMBERVALUE(MID(H278,6,2)),"فروردین","اردیبهشت","خرداد","تیر","مرداد","شهریور","مهر","آبان","آذر","دی","بهمن","اسفند")</f>
        <v/>
      </c>
      <c r="C278" s="176" t="inlineStr">
        <is>
          <t>یخچال ساید‌بای‌ساید</t>
        </is>
      </c>
      <c r="D278" s="176" t="inlineStr">
        <is>
          <t>C2S-29HS1</t>
        </is>
      </c>
      <c r="E278" s="176" t="inlineStr">
        <is>
          <t>52240001N01880</t>
        </is>
      </c>
      <c r="F278" s="173" t="inlineStr">
        <is>
          <t>عدم کارکرد يخساز**اياب و ذهاب به عهده مشتري</t>
        </is>
      </c>
      <c r="G278" s="173" t="inlineStr">
        <is>
          <t>خرابي سنسور يخساز - سايد باي سايد</t>
        </is>
      </c>
      <c r="H278" s="176" t="inlineStr">
        <is>
          <t>1405/05/13</t>
        </is>
      </c>
      <c r="I278" s="176" t="inlineStr">
        <is>
          <t>1403/09/04</t>
        </is>
      </c>
      <c r="J278" s="176" t="inlineStr">
        <is>
          <t>1404/04/16</t>
        </is>
      </c>
      <c r="K278" s="177">
        <f>IFERROR(VLOOKUP(LEFT(H278,7),'تبدیل تاریخ'!$A$2:$B$73,2,FALSE())+VALUE(RIGHT(H278,2))-1,"")</f>
        <v/>
      </c>
      <c r="L278" s="177">
        <f>IFERROR(VLOOKUP(LEFT(I278,7),'تبدیل تاریخ'!$A$2:$B$73,2,FALSE())+VALUE(RIGHT(I278,2))-1,"")</f>
        <v/>
      </c>
      <c r="M278" s="177">
        <f>IF(J278="","",IFERROR(VLOOKUP(LEFT(J278,7),'تبدیل تاریخ'!$A$2:$B$73,2,FALSE())+VALUE(RIGHT(J278,2))-1,""))</f>
        <v/>
      </c>
      <c r="N278" s="124">
        <f>IF(OR(K278="",M278=""),"",CEILING((K278-M278)/30,1))</f>
        <v/>
      </c>
      <c r="O278" s="124" t="inlineStr">
        <is>
          <t>یخساز - خرابی موتور/سنسور/برد (تعویض)</t>
        </is>
      </c>
      <c r="P278" s="124" t="inlineStr">
        <is>
          <t>C2S-29HS1 سنسور يخساز سايد باي سايد</t>
        </is>
      </c>
      <c r="Q278" s="124" t="n"/>
      <c r="R278" s="178">
        <f>IF(O278="تعویض کامل دستگاه (Replacement)",IF(SUMIF('قیمت‌ها و مفروضات'!$A$9:$A$13,C278,'قیمت‌ها و مفروضات'!$C$9:$C$13)&lt;&gt;0,SUMIF('قیمت‌ها و مفروضات'!$A$9:$A$13,C278,'قیمت‌ها و مفروضات'!$C$9:$C$13),SUMIF('قیمت‌ها و مفروضات'!$A$9:$A$13,C278,'قیمت‌ها و مفروضات'!$B$9:$B$13)),IF(SUMIF('قیمت‌ها و مفروضات'!$A$18:$A$63,O278,'قیمت‌ها و مفروضات'!$C$18:$C$63)&lt;&gt;0,SUMIF('قیمت‌ها و مفروضات'!$A$18:$A$63,O278,'قیمت‌ها و مفروضات'!$C$18:$C$63),SUMIF('قیمت‌ها و مفروضات'!$A$18:$A$63,O278,'قیمت‌ها و مفروضات'!$B$18:$B$63)))</f>
        <v/>
      </c>
      <c r="S278" s="178">
        <f>'قیمت‌ها و مفروضات'!$B$3+'قیمت‌ها و مفروضات'!$B$4</f>
        <v/>
      </c>
      <c r="T278" s="178">
        <f>R278+S278</f>
        <v/>
      </c>
      <c r="U278" s="178">
        <f>IF(COUNTIF($E$2:E278,E278)&gt;1,"بله (تکراری)","خیر")</f>
        <v/>
      </c>
      <c r="V278" s="176">
        <f>IF(U278="بله (تکراری)",S278,0)</f>
        <v/>
      </c>
      <c r="W278" s="176" t="inlineStr">
        <is>
          <t>صالح غفاري توران /کد 1708</t>
        </is>
      </c>
      <c r="X278" s="176" t="inlineStr">
        <is>
          <t>رودهن</t>
        </is>
      </c>
    </row>
    <row r="279" ht="58.5" customHeight="1" s="151">
      <c r="A279" s="176" t="n">
        <v>210017912</v>
      </c>
      <c r="B279" s="124">
        <f>CHOOSE(_xlfn.NUMBERVALUE(MID(H279,6,2)),"فروردین","اردیبهشت","خرداد","تیر","مرداد","شهریور","مهر","آبان","آذر","دی","بهمن","اسفند")</f>
        <v/>
      </c>
      <c r="C279" s="176" t="inlineStr">
        <is>
          <t>یخچال ساید‌بای‌ساید</t>
        </is>
      </c>
      <c r="D279" s="176" t="inlineStr">
        <is>
          <t>C2S-29HS1</t>
        </is>
      </c>
      <c r="E279" s="176" t="inlineStr">
        <is>
          <t>52240001N01918</t>
        </is>
      </c>
      <c r="F279" s="173" t="inlineStr">
        <is>
          <t>بسته نشدن درب**اياب و ذهاب به عهده شرکت</t>
        </is>
      </c>
      <c r="G279" s="173" t="inlineStr">
        <is>
          <t>فاصله درب از کابين</t>
        </is>
      </c>
      <c r="H279" s="176" t="inlineStr">
        <is>
          <t>1405/05/08</t>
        </is>
      </c>
      <c r="I279" s="176" t="inlineStr">
        <is>
          <t>1403/09/06</t>
        </is>
      </c>
      <c r="J279" s="176" t="inlineStr">
        <is>
          <t>1404/05/14</t>
        </is>
      </c>
      <c r="K279" s="177">
        <f>IFERROR(VLOOKUP(LEFT(H279,7),'تبدیل تاریخ'!$A$2:$B$73,2,FALSE())+VALUE(RIGHT(H279,2))-1,"")</f>
        <v/>
      </c>
      <c r="L279" s="177">
        <f>IFERROR(VLOOKUP(LEFT(I279,7),'تبدیل تاریخ'!$A$2:$B$73,2,FALSE())+VALUE(RIGHT(I279,2))-1,"")</f>
        <v/>
      </c>
      <c r="M279" s="177">
        <f>IF(J279="","",IFERROR(VLOOKUP(LEFT(J279,7),'تبدیل تاریخ'!$A$2:$B$73,2,FALSE())+VALUE(RIGHT(J279,2))-1,""))</f>
        <v/>
      </c>
      <c r="N279" s="124">
        <f>IF(OR(K279="",M279=""),"",CEILING((K279-M279)/30,1))</f>
        <v/>
      </c>
      <c r="O279" s="124" t="inlineStr">
        <is>
          <t>سایر اجزای درب (بازبینی)</t>
        </is>
      </c>
      <c r="P279" s="124" t="inlineStr">
        <is>
          <t>*</t>
        </is>
      </c>
      <c r="Q279" s="124" t="n"/>
      <c r="R279" s="178">
        <f>IF(O279="تعویض کامل دستگاه (Replacement)",IF(SUMIF('قیمت‌ها و مفروضات'!$A$9:$A$13,C279,'قیمت‌ها و مفروضات'!$C$9:$C$13)&lt;&gt;0,SUMIF('قیمت‌ها و مفروضات'!$A$9:$A$13,C279,'قیمت‌ها و مفروضات'!$C$9:$C$13),SUMIF('قیمت‌ها و مفروضات'!$A$9:$A$13,C279,'قیمت‌ها و مفروضات'!$B$9:$B$13)),IF(SUMIF('قیمت‌ها و مفروضات'!$A$18:$A$63,O279,'قیمت‌ها و مفروضات'!$C$18:$C$63)&lt;&gt;0,SUMIF('قیمت‌ها و مفروضات'!$A$18:$A$63,O279,'قیمت‌ها و مفروضات'!$C$18:$C$63),SUMIF('قیمت‌ها و مفروضات'!$A$18:$A$63,O279,'قیمت‌ها و مفروضات'!$B$18:$B$63)))</f>
        <v/>
      </c>
      <c r="S279" s="178">
        <f>'قیمت‌ها و مفروضات'!$B$3+'قیمت‌ها و مفروضات'!$B$4</f>
        <v/>
      </c>
      <c r="T279" s="178">
        <f>R279+S279</f>
        <v/>
      </c>
      <c r="U279" s="178">
        <f>IF(COUNTIF($E$2:E279,E279)&gt;1,"بله (تکراری)","خیر")</f>
        <v/>
      </c>
      <c r="V279" s="176">
        <f>IF(U279="بله (تکراری)",S279,0)</f>
        <v/>
      </c>
      <c r="W279" s="176" t="inlineStr">
        <is>
          <t>حسين بابايي همت آبادي/ کد 1720</t>
        </is>
      </c>
      <c r="X279" s="176" t="inlineStr">
        <is>
          <t>تهران - منطقه 18</t>
        </is>
      </c>
    </row>
    <row r="280" ht="58.5" customHeight="1" s="151">
      <c r="A280" s="176" t="n">
        <v>210016956</v>
      </c>
      <c r="B280" s="124">
        <f>CHOOSE(_xlfn.NUMBERVALUE(MID(H280,6,2)),"فروردین","اردیبهشت","خرداد","تیر","مرداد","شهریور","مهر","آبان","آذر","دی","بهمن","اسفند")</f>
        <v/>
      </c>
      <c r="C280" s="176" t="inlineStr">
        <is>
          <t>یخچال ساید‌بای‌ساید</t>
        </is>
      </c>
      <c r="D280" s="176" t="inlineStr">
        <is>
          <t>C2S-29HS1</t>
        </is>
      </c>
      <c r="E280" s="176" t="inlineStr">
        <is>
          <t>52240001N01982</t>
        </is>
      </c>
      <c r="F280" s="173" t="inlineStr">
        <is>
          <t>شکستگي قالب يخساز**اياب و ذهاب به عهده مشتري</t>
        </is>
      </c>
      <c r="G280" s="173" t="inlineStr">
        <is>
          <t>شکستگي قالب يخساز - سايد باي سايد</t>
        </is>
      </c>
      <c r="H280" s="176" t="inlineStr">
        <is>
          <t>1405/05/03</t>
        </is>
      </c>
      <c r="I280" s="176" t="inlineStr">
        <is>
          <t>1403/09/11</t>
        </is>
      </c>
      <c r="J280" s="176" t="inlineStr"/>
      <c r="K280" s="177">
        <f>IFERROR(VLOOKUP(LEFT(H280,7),'تبدیل تاریخ'!$A$2:$B$73,2,FALSE())+VALUE(RIGHT(H280,2))-1,"")</f>
        <v/>
      </c>
      <c r="L280" s="177">
        <f>IFERROR(VLOOKUP(LEFT(I280,7),'تبدیل تاریخ'!$A$2:$B$73,2,FALSE())+VALUE(RIGHT(I280,2))-1,"")</f>
        <v/>
      </c>
      <c r="M280" s="177">
        <f>IF(J280="","",IFERROR(VLOOKUP(LEFT(J280,7),'تبدیل تاریخ'!$A$2:$B$73,2,FALSE())+VALUE(RIGHT(J280,2))-1,""))</f>
        <v/>
      </c>
      <c r="N280" s="124">
        <f>IF(OR(K280="",M280=""),"",CEILING((K280-M280)/30,1))</f>
        <v/>
      </c>
      <c r="O280" s="124" t="inlineStr">
        <is>
          <t>یخساز - تنظیم/عایق (تعمیر)</t>
        </is>
      </c>
      <c r="P280" s="124" t="inlineStr">
        <is>
          <t>C2S-29HS1 قالب یخ ساید بای ساید</t>
        </is>
      </c>
      <c r="Q280" s="124" t="n"/>
      <c r="R280" s="178">
        <f>IF(O280="تعویض کامل دستگاه (Replacement)",IF(SUMIF('قیمت‌ها و مفروضات'!$A$9:$A$13,C280,'قیمت‌ها و مفروضات'!$C$9:$C$13)&lt;&gt;0,SUMIF('قیمت‌ها و مفروضات'!$A$9:$A$13,C280,'قیمت‌ها و مفروضات'!$C$9:$C$13),SUMIF('قیمت‌ها و مفروضات'!$A$9:$A$13,C280,'قیمت‌ها و مفروضات'!$B$9:$B$13)),IF(SUMIF('قیمت‌ها و مفروضات'!$A$18:$A$63,O280,'قیمت‌ها و مفروضات'!$C$18:$C$63)&lt;&gt;0,SUMIF('قیمت‌ها و مفروضات'!$A$18:$A$63,O280,'قیمت‌ها و مفروضات'!$C$18:$C$63),SUMIF('قیمت‌ها و مفروضات'!$A$18:$A$63,O280,'قیمت‌ها و مفروضات'!$B$18:$B$63)))</f>
        <v/>
      </c>
      <c r="S280" s="178">
        <f>'قیمت‌ها و مفروضات'!$B$3+'قیمت‌ها و مفروضات'!$B$4</f>
        <v/>
      </c>
      <c r="T280" s="178">
        <f>R280+S280</f>
        <v/>
      </c>
      <c r="U280" s="178">
        <f>IF(COUNTIF($E$2:E280,E280)&gt;1,"بله (تکراری)","خیر")</f>
        <v/>
      </c>
      <c r="V280" s="176">
        <f>IF(U280="بله (تکراری)",S280,0)</f>
        <v/>
      </c>
      <c r="W280" s="176" t="inlineStr">
        <is>
          <t>حسين بابايي همت آبادي/ کد 1720</t>
        </is>
      </c>
      <c r="X280" s="176" t="inlineStr">
        <is>
          <t>تهران - منطقه 10</t>
        </is>
      </c>
    </row>
    <row r="281" ht="58.5" customHeight="1" s="151">
      <c r="A281" s="176" t="n">
        <v>510023485</v>
      </c>
      <c r="B281" s="124">
        <f>CHOOSE(_xlfn.NUMBERVALUE(MID(H281,6,2)),"فروردین","اردیبهشت","خرداد","تیر","مرداد","شهریور","مهر","آبان","آذر","دی","بهمن","اسفند")</f>
        <v/>
      </c>
      <c r="C281" s="176" t="inlineStr">
        <is>
          <t>یخچال ساید‌بای‌ساید</t>
        </is>
      </c>
      <c r="D281" s="176" t="inlineStr">
        <is>
          <t>C2S-29HS1</t>
        </is>
      </c>
      <c r="E281" s="176" t="inlineStr">
        <is>
          <t>52240001N02015</t>
        </is>
      </c>
      <c r="F281" s="173" t="inlineStr">
        <is>
          <t>عدم کارکرد يخساز**اياب و ذهاب به عهده مشتري</t>
        </is>
      </c>
      <c r="G281" s="173" t="inlineStr">
        <is>
          <t>خرابي شيربرقي</t>
        </is>
      </c>
      <c r="H281" s="176" t="inlineStr">
        <is>
          <t>1405/05/14</t>
        </is>
      </c>
      <c r="I281" s="176" t="inlineStr">
        <is>
          <t>1403/09/12</t>
        </is>
      </c>
      <c r="J281" s="176" t="inlineStr">
        <is>
          <t>1404/02/21</t>
        </is>
      </c>
      <c r="K281" s="177">
        <f>IFERROR(VLOOKUP(LEFT(H281,7),'تبدیل تاریخ'!$A$2:$B$73,2,FALSE())+VALUE(RIGHT(H281,2))-1,"")</f>
        <v/>
      </c>
      <c r="L281" s="177">
        <f>IFERROR(VLOOKUP(LEFT(I281,7),'تبدیل تاریخ'!$A$2:$B$73,2,FALSE())+VALUE(RIGHT(I281,2))-1,"")</f>
        <v/>
      </c>
      <c r="M281" s="177">
        <f>IF(J281="","",IFERROR(VLOOKUP(LEFT(J281,7),'تبدیل تاریخ'!$A$2:$B$73,2,FALSE())+VALUE(RIGHT(J281,2))-1,""))</f>
        <v/>
      </c>
      <c r="N281" s="124">
        <f>IF(OR(K281="",M281=""),"",CEILING((K281-M281)/30,1))</f>
        <v/>
      </c>
      <c r="O281" s="124" t="inlineStr">
        <is>
          <t>خرابی - شیربرقی (تعویض)</t>
        </is>
      </c>
      <c r="P281" s="124" t="inlineStr">
        <is>
          <t>C2S-29HS1 شيربرقي سايد باي سايد</t>
        </is>
      </c>
      <c r="Q281" s="124" t="n"/>
      <c r="R281" s="178">
        <f>IF(O281="تعویض کامل دستگاه (Replacement)",IF(SUMIF('قیمت‌ها و مفروضات'!$A$9:$A$13,C281,'قیمت‌ها و مفروضات'!$C$9:$C$13)&lt;&gt;0,SUMIF('قیمت‌ها و مفروضات'!$A$9:$A$13,C281,'قیمت‌ها و مفروضات'!$C$9:$C$13),SUMIF('قیمت‌ها و مفروضات'!$A$9:$A$13,C281,'قیمت‌ها و مفروضات'!$B$9:$B$13)),IF(SUMIF('قیمت‌ها و مفروضات'!$A$18:$A$63,O281,'قیمت‌ها و مفروضات'!$C$18:$C$63)&lt;&gt;0,SUMIF('قیمت‌ها و مفروضات'!$A$18:$A$63,O281,'قیمت‌ها و مفروضات'!$C$18:$C$63),SUMIF('قیمت‌ها و مفروضات'!$A$18:$A$63,O281,'قیمت‌ها و مفروضات'!$B$18:$B$63)))</f>
        <v/>
      </c>
      <c r="S281" s="178">
        <f>'قیمت‌ها و مفروضات'!$B$3+'قیمت‌ها و مفروضات'!$B$4</f>
        <v/>
      </c>
      <c r="T281" s="178">
        <f>R281+S281</f>
        <v/>
      </c>
      <c r="U281" s="178">
        <f>IF(COUNTIF($E$2:E281,E281)&gt;1,"بله (تکراری)","خیر")</f>
        <v/>
      </c>
      <c r="V281" s="176">
        <f>IF(U281="بله (تکراری)",S281,0)</f>
        <v/>
      </c>
      <c r="W281" s="176" t="inlineStr">
        <is>
          <t>محمدرضا آريا منش/ کد 2038</t>
        </is>
      </c>
      <c r="X281" s="176" t="inlineStr">
        <is>
          <t>تربت جام</t>
        </is>
      </c>
    </row>
    <row r="282" ht="58.5" customHeight="1" s="151">
      <c r="A282" s="176" t="n">
        <v>210018344</v>
      </c>
      <c r="B282" s="124">
        <f>CHOOSE(_xlfn.NUMBERVALUE(MID(H282,6,2)),"فروردین","اردیبهشت","خرداد","تیر","مرداد","شهریور","مهر","آبان","آذر","دی","بهمن","اسفند")</f>
        <v/>
      </c>
      <c r="C282" s="176" t="inlineStr">
        <is>
          <t>یخچال ساید‌بای‌ساید</t>
        </is>
      </c>
      <c r="D282" s="176" t="inlineStr">
        <is>
          <t>C2S-29HS1</t>
        </is>
      </c>
      <c r="E282" s="176" t="inlineStr">
        <is>
          <t>52240001N02070</t>
        </is>
      </c>
      <c r="F282" s="173" t="inlineStr">
        <is>
          <t>عدم کارکرد يخساز**اياب و ذهاب به عهده مشتري</t>
        </is>
      </c>
      <c r="G282" s="173" t="inlineStr">
        <is>
          <t>اصلاح دمپر پلاستيکي</t>
        </is>
      </c>
      <c r="H282" s="176" t="inlineStr">
        <is>
          <t>1405/05/11</t>
        </is>
      </c>
      <c r="I282" s="176" t="inlineStr">
        <is>
          <t>1403/09/17</t>
        </is>
      </c>
      <c r="J282" s="176" t="inlineStr">
        <is>
          <t>1404/02/06</t>
        </is>
      </c>
      <c r="K282" s="177">
        <f>IFERROR(VLOOKUP(LEFT(H282,7),'تبدیل تاریخ'!$A$2:$B$73,2,FALSE())+VALUE(RIGHT(H282,2))-1,"")</f>
        <v/>
      </c>
      <c r="L282" s="177">
        <f>IFERROR(VLOOKUP(LEFT(I282,7),'تبدیل تاریخ'!$A$2:$B$73,2,FALSE())+VALUE(RIGHT(I282,2))-1,"")</f>
        <v/>
      </c>
      <c r="M282" s="177">
        <f>IF(J282="","",IFERROR(VLOOKUP(LEFT(J282,7),'تبدیل تاریخ'!$A$2:$B$73,2,FALSE())+VALUE(RIGHT(J282,2))-1,""))</f>
        <v/>
      </c>
      <c r="N282" s="124">
        <f>IF(OR(K282="",M282=""),"",CEILING((K282-M282)/30,1))</f>
        <v/>
      </c>
      <c r="O282" s="124" t="inlineStr">
        <is>
          <t>یخساز - تنظیم/عایق (تعمیر)</t>
        </is>
      </c>
      <c r="P282" s="124" t="inlineStr">
        <is>
          <t>*</t>
        </is>
      </c>
      <c r="Q282" s="124" t="n"/>
      <c r="R282" s="178">
        <f>IF(O282="تعویض کامل دستگاه (Replacement)",IF(SUMIF('قیمت‌ها و مفروضات'!$A$9:$A$13,C282,'قیمت‌ها و مفروضات'!$C$9:$C$13)&lt;&gt;0,SUMIF('قیمت‌ها و مفروضات'!$A$9:$A$13,C282,'قیمت‌ها و مفروضات'!$C$9:$C$13),SUMIF('قیمت‌ها و مفروضات'!$A$9:$A$13,C282,'قیمت‌ها و مفروضات'!$B$9:$B$13)),IF(SUMIF('قیمت‌ها و مفروضات'!$A$18:$A$63,O282,'قیمت‌ها و مفروضات'!$C$18:$C$63)&lt;&gt;0,SUMIF('قیمت‌ها و مفروضات'!$A$18:$A$63,O282,'قیمت‌ها و مفروضات'!$C$18:$C$63),SUMIF('قیمت‌ها و مفروضات'!$A$18:$A$63,O282,'قیمت‌ها و مفروضات'!$B$18:$B$63)))</f>
        <v/>
      </c>
      <c r="S282" s="178">
        <f>'قیمت‌ها و مفروضات'!$B$3+'قیمت‌ها و مفروضات'!$B$4</f>
        <v/>
      </c>
      <c r="T282" s="178">
        <f>R282+S282</f>
        <v/>
      </c>
      <c r="U282" s="178">
        <f>IF(COUNTIF($E$2:E282,E282)&gt;1,"بله (تکراری)","خیر")</f>
        <v/>
      </c>
      <c r="V282" s="176">
        <f>IF(U282="بله (تکراری)",S282,0)</f>
        <v/>
      </c>
      <c r="W282" s="176" t="inlineStr">
        <is>
          <t>محمدرضا اسداللهي/کد2404</t>
        </is>
      </c>
      <c r="X282" s="176" t="inlineStr">
        <is>
          <t>شاهرود</t>
        </is>
      </c>
    </row>
    <row r="283" ht="58.5" customHeight="1" s="151">
      <c r="A283" s="176" t="n">
        <v>210017702</v>
      </c>
      <c r="B283" s="124">
        <f>CHOOSE(_xlfn.NUMBERVALUE(MID(H283,6,2)),"فروردین","اردیبهشت","خرداد","تیر","مرداد","شهریور","مهر","آبان","آذر","دی","بهمن","اسفند")</f>
        <v/>
      </c>
      <c r="C283" s="176" t="inlineStr">
        <is>
          <t>یخچال ساید‌بای‌ساید</t>
        </is>
      </c>
      <c r="D283" s="176" t="inlineStr">
        <is>
          <t>C2S-29HS1</t>
        </is>
      </c>
      <c r="E283" s="176" t="inlineStr">
        <is>
          <t>52240001N02072</t>
        </is>
      </c>
      <c r="F283" s="173" t="inlineStr">
        <is>
          <t>عدم کارکرد يخساز**اياب و ذهاب به عهده مشتري</t>
        </is>
      </c>
      <c r="G283" s="173" t="inlineStr">
        <is>
          <t>اصلاح دمپر پلاستيکي</t>
        </is>
      </c>
      <c r="H283" s="176" t="inlineStr">
        <is>
          <t>1405/05/07</t>
        </is>
      </c>
      <c r="I283" s="176" t="inlineStr">
        <is>
          <t>1403/09/19</t>
        </is>
      </c>
      <c r="J283" s="176" t="inlineStr">
        <is>
          <t>1404/05/02</t>
        </is>
      </c>
      <c r="K283" s="177">
        <f>IFERROR(VLOOKUP(LEFT(H283,7),'تبدیل تاریخ'!$A$2:$B$73,2,FALSE())+VALUE(RIGHT(H283,2))-1,"")</f>
        <v/>
      </c>
      <c r="L283" s="177">
        <f>IFERROR(VLOOKUP(LEFT(I283,7),'تبدیل تاریخ'!$A$2:$B$73,2,FALSE())+VALUE(RIGHT(I283,2))-1,"")</f>
        <v/>
      </c>
      <c r="M283" s="177">
        <f>IF(J283="","",IFERROR(VLOOKUP(LEFT(J283,7),'تبدیل تاریخ'!$A$2:$B$73,2,FALSE())+VALUE(RIGHT(J283,2))-1,""))</f>
        <v/>
      </c>
      <c r="N283" s="124">
        <f>IF(OR(K283="",M283=""),"",CEILING((K283-M283)/30,1))</f>
        <v/>
      </c>
      <c r="O283" s="124" t="inlineStr">
        <is>
          <t>یخساز - تنظیم/عایق (تعمیر)</t>
        </is>
      </c>
      <c r="P283" s="124" t="inlineStr">
        <is>
          <t>دمپر پلاستيکي گرد سايد باي سايد C2S-29HS1</t>
        </is>
      </c>
      <c r="Q283" s="124" t="n"/>
      <c r="R283" s="178">
        <f>IF(O283="تعویض کامل دستگاه (Replacement)",IF(SUMIF('قیمت‌ها و مفروضات'!$A$9:$A$13,C283,'قیمت‌ها و مفروضات'!$C$9:$C$13)&lt;&gt;0,SUMIF('قیمت‌ها و مفروضات'!$A$9:$A$13,C283,'قیمت‌ها و مفروضات'!$C$9:$C$13),SUMIF('قیمت‌ها و مفروضات'!$A$9:$A$13,C283,'قیمت‌ها و مفروضات'!$B$9:$B$13)),IF(SUMIF('قیمت‌ها و مفروضات'!$A$18:$A$63,O283,'قیمت‌ها و مفروضات'!$C$18:$C$63)&lt;&gt;0,SUMIF('قیمت‌ها و مفروضات'!$A$18:$A$63,O283,'قیمت‌ها و مفروضات'!$C$18:$C$63),SUMIF('قیمت‌ها و مفروضات'!$A$18:$A$63,O283,'قیمت‌ها و مفروضات'!$B$18:$B$63)))</f>
        <v/>
      </c>
      <c r="S283" s="178">
        <f>'قیمت‌ها و مفروضات'!$B$3+'قیمت‌ها و مفروضات'!$B$4</f>
        <v/>
      </c>
      <c r="T283" s="178">
        <f>R283+S283</f>
        <v/>
      </c>
      <c r="U283" s="178">
        <f>IF(COUNTIF($E$2:E283,E283)&gt;1,"بله (تکراری)","خیر")</f>
        <v/>
      </c>
      <c r="V283" s="176">
        <f>IF(U283="بله (تکراری)",S283,0)</f>
        <v/>
      </c>
      <c r="W283" s="176" t="inlineStr">
        <is>
          <t>محمد علي سولقاني/ کد 51012T</t>
        </is>
      </c>
      <c r="X283" s="176" t="inlineStr">
        <is>
          <t>تهران - منطقه 2</t>
        </is>
      </c>
    </row>
    <row r="284" ht="58.5" customHeight="1" s="151">
      <c r="A284" s="176" t="n">
        <v>210019555</v>
      </c>
      <c r="B284" s="124">
        <f>CHOOSE(_xlfn.NUMBERVALUE(MID(H284,6,2)),"فروردین","اردیبهشت","خرداد","تیر","مرداد","شهریور","مهر","آبان","آذر","دی","بهمن","اسفند")</f>
        <v/>
      </c>
      <c r="C284" s="176" t="inlineStr">
        <is>
          <t>ماشين ظرفشويي</t>
        </is>
      </c>
      <c r="D284" s="176" t="inlineStr">
        <is>
          <t>CDW-H16TS1</t>
        </is>
      </c>
      <c r="E284" s="176" t="inlineStr">
        <is>
          <t>52220004N01295</t>
        </is>
      </c>
      <c r="F284" s="173" t="inlineStr">
        <is>
          <t>عدم شست و شوي کامل ظروف**اياب و ذهاب به عهده شرکت</t>
        </is>
      </c>
      <c r="G284" s="173" t="inlineStr">
        <is>
          <t>نشتي از مقسم آب</t>
        </is>
      </c>
      <c r="H284" s="176" t="inlineStr">
        <is>
          <t>1405/05/19</t>
        </is>
      </c>
      <c r="I284" s="176" t="inlineStr">
        <is>
          <t>1403/10/01</t>
        </is>
      </c>
      <c r="J284" s="176" t="inlineStr">
        <is>
          <t>1405/03/10</t>
        </is>
      </c>
      <c r="K284" s="177">
        <f>IFERROR(VLOOKUP(LEFT(H284,7),'تبدیل تاریخ'!$A$2:$B$73,2,FALSE())+VALUE(RIGHT(H284,2))-1,"")</f>
        <v/>
      </c>
      <c r="L284" s="177">
        <f>IFERROR(VLOOKUP(LEFT(I284,7),'تبدیل تاریخ'!$A$2:$B$73,2,FALSE())+VALUE(RIGHT(I284,2))-1,"")</f>
        <v/>
      </c>
      <c r="M284" s="177">
        <f>IF(J284="","",IFERROR(VLOOKUP(LEFT(J284,7),'تبدیل تاریخ'!$A$2:$B$73,2,FALSE())+VALUE(RIGHT(J284,2))-1,""))</f>
        <v/>
      </c>
      <c r="N284" s="124">
        <f>IF(OR(K284="",M284=""),"",CEILING((K284-M284)/30,1))</f>
        <v/>
      </c>
      <c r="O284" s="124" t="inlineStr">
        <is>
          <t>نشتی - مقسم آب (تعمیر/آب‌بندی)</t>
        </is>
      </c>
      <c r="P284" s="124" t="inlineStr">
        <is>
          <t>DW-HS مقسم حوضچه آب ماشين ظرفشويي</t>
        </is>
      </c>
      <c r="Q284" s="124" t="n"/>
      <c r="R284" s="178">
        <f>IF(O284="تعویض کامل دستگاه (Replacement)",IF(SUMIF('قیمت‌ها و مفروضات'!$A$9:$A$13,C284,'قیمت‌ها و مفروضات'!$C$9:$C$13)&lt;&gt;0,SUMIF('قیمت‌ها و مفروضات'!$A$9:$A$13,C284,'قیمت‌ها و مفروضات'!$C$9:$C$13),SUMIF('قیمت‌ها و مفروضات'!$A$9:$A$13,C284,'قیمت‌ها و مفروضات'!$B$9:$B$13)),IF(SUMIF('قیمت‌ها و مفروضات'!$A$18:$A$63,O284,'قیمت‌ها و مفروضات'!$C$18:$C$63)&lt;&gt;0,SUMIF('قیمت‌ها و مفروضات'!$A$18:$A$63,O284,'قیمت‌ها و مفروضات'!$C$18:$C$63),SUMIF('قیمت‌ها و مفروضات'!$A$18:$A$63,O284,'قیمت‌ها و مفروضات'!$B$18:$B$63)))</f>
        <v/>
      </c>
      <c r="S284" s="178">
        <f>'قیمت‌ها و مفروضات'!$B$3+'قیمت‌ها و مفروضات'!$B$4</f>
        <v/>
      </c>
      <c r="T284" s="178">
        <f>R284+S284</f>
        <v/>
      </c>
      <c r="U284" s="178">
        <f>IF(COUNTIF($E$2:E284,E284)&gt;1,"بله (تکراری)","خیر")</f>
        <v/>
      </c>
      <c r="V284" s="176">
        <f>IF(U284="بله (تکراری)",S284,0)</f>
        <v/>
      </c>
      <c r="W284" s="176" t="inlineStr">
        <is>
          <t>محمدرضا اسداللهي/کد2404</t>
        </is>
      </c>
      <c r="X284" s="176" t="inlineStr">
        <is>
          <t>شاهرود</t>
        </is>
      </c>
    </row>
    <row r="285" ht="58.5" customHeight="1" s="151">
      <c r="A285" s="176" t="n">
        <v>210018186</v>
      </c>
      <c r="B285" s="124">
        <f>CHOOSE(_xlfn.NUMBERVALUE(MID(H285,6,2)),"فروردین","اردیبهشت","خرداد","تیر","مرداد","شهریور","مهر","آبان","آذر","دی","بهمن","اسفند")</f>
        <v/>
      </c>
      <c r="C285" s="176" t="inlineStr">
        <is>
          <t>يخچال ميني</t>
        </is>
      </c>
      <c r="D285" s="176" t="inlineStr">
        <is>
          <t>MINI-R (RE01)</t>
        </is>
      </c>
      <c r="E285" s="176" t="inlineStr">
        <is>
          <t>52240003N00529</t>
        </is>
      </c>
      <c r="F285" s="173" t="inlineStr">
        <is>
          <t>خاموش بودن LED کاور / سقفي**اياب و ذهاب به عهده مشتري</t>
        </is>
      </c>
      <c r="G285" s="173" t="inlineStr">
        <is>
          <t>خرابی LED</t>
        </is>
      </c>
      <c r="H285" s="176" t="inlineStr">
        <is>
          <t>1405/05/10</t>
        </is>
      </c>
      <c r="I285" s="176" t="inlineStr">
        <is>
          <t>1403/10/22</t>
        </is>
      </c>
      <c r="J285" s="176" t="inlineStr">
        <is>
          <t>1404/01/26</t>
        </is>
      </c>
      <c r="K285" s="177">
        <f>IFERROR(VLOOKUP(LEFT(H285,7),'تبدیل تاریخ'!$A$2:$B$73,2,FALSE())+VALUE(RIGHT(H285,2))-1,"")</f>
        <v/>
      </c>
      <c r="L285" s="177">
        <f>IFERROR(VLOOKUP(LEFT(I285,7),'تبدیل تاریخ'!$A$2:$B$73,2,FALSE())+VALUE(RIGHT(I285,2))-1,"")</f>
        <v/>
      </c>
      <c r="M285" s="177">
        <f>IF(J285="","",IFERROR(VLOOKUP(LEFT(J285,7),'تبدیل تاریخ'!$A$2:$B$73,2,FALSE())+VALUE(RIGHT(J285,2))-1,""))</f>
        <v/>
      </c>
      <c r="N285" s="124">
        <f>IF(OR(K285="",M285=""),"",CEILING((K285-M285)/30,1))</f>
        <v/>
      </c>
      <c r="O285" s="124" t="inlineStr">
        <is>
          <t>خرابی - لامپ/LED داخلی (تعویض)</t>
        </is>
      </c>
      <c r="P285" s="124" t="inlineStr">
        <is>
          <t>MINI LED یخچال</t>
        </is>
      </c>
      <c r="Q285" s="124" t="n"/>
      <c r="R285" s="178">
        <f>IF(O285="تعویض کامل دستگاه (Replacement)",IF(SUMIF('قیمت‌ها و مفروضات'!$A$9:$A$13,C285,'قیمت‌ها و مفروضات'!$C$9:$C$13)&lt;&gt;0,SUMIF('قیمت‌ها و مفروضات'!$A$9:$A$13,C285,'قیمت‌ها و مفروضات'!$C$9:$C$13),SUMIF('قیمت‌ها و مفروضات'!$A$9:$A$13,C285,'قیمت‌ها و مفروضات'!$B$9:$B$13)),IF(SUMIF('قیمت‌ها و مفروضات'!$A$18:$A$63,O285,'قیمت‌ها و مفروضات'!$C$18:$C$63)&lt;&gt;0,SUMIF('قیمت‌ها و مفروضات'!$A$18:$A$63,O285,'قیمت‌ها و مفروضات'!$C$18:$C$63),SUMIF('قیمت‌ها و مفروضات'!$A$18:$A$63,O285,'قیمت‌ها و مفروضات'!$B$18:$B$63)))</f>
        <v/>
      </c>
      <c r="S285" s="178">
        <f>'قیمت‌ها و مفروضات'!$B$3+'قیمت‌ها و مفروضات'!$B$4</f>
        <v/>
      </c>
      <c r="T285" s="178">
        <f>R285+S285</f>
        <v/>
      </c>
      <c r="U285" s="178">
        <f>IF(COUNTIF($E$2:E285,E285)&gt;1,"بله (تکراری)","خیر")</f>
        <v/>
      </c>
      <c r="V285" s="176">
        <f>IF(U285="بله (تکراری)",S285,0)</f>
        <v/>
      </c>
      <c r="W285" s="176" t="inlineStr">
        <is>
          <t>حسين بابايي همت آبادي/ کد 1720</t>
        </is>
      </c>
      <c r="X285" s="176" t="inlineStr">
        <is>
          <t>تهران - منطقه 5</t>
        </is>
      </c>
    </row>
    <row r="286" ht="58.5" customHeight="1" s="151">
      <c r="A286" s="176" t="n">
        <v>310007559</v>
      </c>
      <c r="B286" s="124">
        <f>CHOOSE(_xlfn.NUMBERVALUE(MID(H286,6,2)),"فروردین","اردیبهشت","خرداد","تیر","مرداد","شهریور","مهر","آبان","آذر","دی","بهمن","اسفند")</f>
        <v/>
      </c>
      <c r="C286" s="176" t="inlineStr">
        <is>
          <t>يخچال ميني</t>
        </is>
      </c>
      <c r="D286" s="176" t="inlineStr">
        <is>
          <t>MINI-R (BK01)</t>
        </is>
      </c>
      <c r="E286" s="176" t="inlineStr">
        <is>
          <t>52240002N00398</t>
        </is>
      </c>
      <c r="F286" s="173" t="inlineStr">
        <is>
          <t>از کار افتادن محصول**اياب و ذهاب به عهده شرکت</t>
        </is>
      </c>
      <c r="G286" s="173" t="inlineStr">
        <is>
          <t xml:space="preserve">خرابی ترموستات </t>
        </is>
      </c>
      <c r="H286" s="176" t="inlineStr">
        <is>
          <t>1405/05/12</t>
        </is>
      </c>
      <c r="I286" s="176" t="inlineStr">
        <is>
          <t>1403/10/27</t>
        </is>
      </c>
      <c r="J286" s="176" t="inlineStr"/>
      <c r="K286" s="177">
        <f>IFERROR(VLOOKUP(LEFT(H286,7),'تبدیل تاریخ'!$A$2:$B$73,2,FALSE())+VALUE(RIGHT(H286,2))-1,"")</f>
        <v/>
      </c>
      <c r="L286" s="177">
        <f>IFERROR(VLOOKUP(LEFT(I286,7),'تبدیل تاریخ'!$A$2:$B$73,2,FALSE())+VALUE(RIGHT(I286,2))-1,"")</f>
        <v/>
      </c>
      <c r="M286" s="177">
        <f>IF(J286="","",IFERROR(VLOOKUP(LEFT(J286,7),'تبدیل تاریخ'!$A$2:$B$73,2,FALSE())+VALUE(RIGHT(J286,2))-1,""))</f>
        <v/>
      </c>
      <c r="N286" s="124">
        <f>IF(OR(K286="",M286=""),"",CEILING((K286-M286)/30,1))</f>
        <v/>
      </c>
      <c r="O286" s="124" t="inlineStr">
        <is>
          <t>خرابی - ترموستات (تعویض)</t>
        </is>
      </c>
      <c r="P286" s="124" t="inlineStr">
        <is>
          <t>MINI ترموستات يخچال</t>
        </is>
      </c>
      <c r="Q286" s="124" t="n"/>
      <c r="R286" s="178">
        <f>IF(O286="تعویض کامل دستگاه (Replacement)",IF(SUMIF('قیمت‌ها و مفروضات'!$A$9:$A$13,C286,'قیمت‌ها و مفروضات'!$C$9:$C$13)&lt;&gt;0,SUMIF('قیمت‌ها و مفروضات'!$A$9:$A$13,C286,'قیمت‌ها و مفروضات'!$C$9:$C$13),SUMIF('قیمت‌ها و مفروضات'!$A$9:$A$13,C286,'قیمت‌ها و مفروضات'!$B$9:$B$13)),IF(SUMIF('قیمت‌ها و مفروضات'!$A$18:$A$63,O286,'قیمت‌ها و مفروضات'!$C$18:$C$63)&lt;&gt;0,SUMIF('قیمت‌ها و مفروضات'!$A$18:$A$63,O286,'قیمت‌ها و مفروضات'!$C$18:$C$63),SUMIF('قیمت‌ها و مفروضات'!$A$18:$A$63,O286,'قیمت‌ها و مفروضات'!$B$18:$B$63)))</f>
        <v/>
      </c>
      <c r="S286" s="178">
        <f>'قیمت‌ها و مفروضات'!$B$3+'قیمت‌ها و مفروضات'!$B$4</f>
        <v/>
      </c>
      <c r="T286" s="178">
        <f>R286+S286</f>
        <v/>
      </c>
      <c r="U286" s="178">
        <f>IF(COUNTIF($E$2:E286,E286)&gt;1,"بله (تکراری)","خیر")</f>
        <v/>
      </c>
      <c r="V286" s="176">
        <f>IF(U286="بله (تکراری)",S286,0)</f>
        <v/>
      </c>
      <c r="W286" s="176" t="inlineStr">
        <is>
          <t>مهرداد جعفري/کد1379</t>
        </is>
      </c>
      <c r="X286" s="176" t="inlineStr">
        <is>
          <t>اصفهان-منطقه3</t>
        </is>
      </c>
    </row>
    <row r="287" ht="58.5" customHeight="1" s="151">
      <c r="A287" s="176" t="n">
        <v>210017281</v>
      </c>
      <c r="B287" s="124">
        <f>CHOOSE(_xlfn.NUMBERVALUE(MID(H287,6,2)),"فروردین","اردیبهشت","خرداد","تیر","مرداد","شهریور","مهر","آبان","آذر","دی","بهمن","اسفند")</f>
        <v/>
      </c>
      <c r="C287" s="176" t="inlineStr">
        <is>
          <t>ماشين ظرفشويي</t>
        </is>
      </c>
      <c r="D287" s="176" t="inlineStr">
        <is>
          <t>CDW-H15VW1</t>
        </is>
      </c>
      <c r="E287" s="176" t="inlineStr">
        <is>
          <t>52220003N01628</t>
        </is>
      </c>
      <c r="F287" s="173" t="inlineStr">
        <is>
          <t>باز شدن درب حين شست و شو**اياب و ذهاب به عهده مشتري</t>
        </is>
      </c>
      <c r="G287" s="173" t="inlineStr">
        <is>
          <t>خرابی قلاب میکروسوئیچ</t>
        </is>
      </c>
      <c r="H287" s="176" t="inlineStr">
        <is>
          <t>1405/05/05</t>
        </is>
      </c>
      <c r="I287" s="176" t="inlineStr">
        <is>
          <t>1403/10/27</t>
        </is>
      </c>
      <c r="J287" s="176" t="inlineStr">
        <is>
          <t>1404/04/06</t>
        </is>
      </c>
      <c r="K287" s="177">
        <f>IFERROR(VLOOKUP(LEFT(H287,7),'تبدیل تاریخ'!$A$2:$B$73,2,FALSE())+VALUE(RIGHT(H287,2))-1,"")</f>
        <v/>
      </c>
      <c r="L287" s="177">
        <f>IFERROR(VLOOKUP(LEFT(I287,7),'تبدیل تاریخ'!$A$2:$B$73,2,FALSE())+VALUE(RIGHT(I287,2))-1,"")</f>
        <v/>
      </c>
      <c r="M287" s="177">
        <f>IF(J287="","",IFERROR(VLOOKUP(LEFT(J287,7),'تبدیل تاریخ'!$A$2:$B$73,2,FALSE())+VALUE(RIGHT(J287,2))-1,""))</f>
        <v/>
      </c>
      <c r="N287" s="124">
        <f>IF(OR(K287="",M287=""),"",CEILING((K287-M287)/30,1))</f>
        <v/>
      </c>
      <c r="O287" s="124" t="inlineStr">
        <is>
          <t>مکانیزم درب - میکروسوئیچ/قلاب (تعویض/تنظیم)</t>
        </is>
      </c>
      <c r="P287" s="124" t="inlineStr">
        <is>
          <t>قلاب ميکروسوئيچ ماشين ظرفشويی     CDW-H13\CDW-H15\CDW-H16</t>
        </is>
      </c>
      <c r="Q287" s="124" t="n"/>
      <c r="R287" s="178">
        <f>IF(O287="تعویض کامل دستگاه (Replacement)",IF(SUMIF('قیمت‌ها و مفروضات'!$A$9:$A$13,C287,'قیمت‌ها و مفروضات'!$C$9:$C$13)&lt;&gt;0,SUMIF('قیمت‌ها و مفروضات'!$A$9:$A$13,C287,'قیمت‌ها و مفروضات'!$C$9:$C$13),SUMIF('قیمت‌ها و مفروضات'!$A$9:$A$13,C287,'قیمت‌ها و مفروضات'!$B$9:$B$13)),IF(SUMIF('قیمت‌ها و مفروضات'!$A$18:$A$63,O287,'قیمت‌ها و مفروضات'!$C$18:$C$63)&lt;&gt;0,SUMIF('قیمت‌ها و مفروضات'!$A$18:$A$63,O287,'قیمت‌ها و مفروضات'!$C$18:$C$63),SUMIF('قیمت‌ها و مفروضات'!$A$18:$A$63,O287,'قیمت‌ها و مفروضات'!$B$18:$B$63)))</f>
        <v/>
      </c>
      <c r="S287" s="178">
        <f>'قیمت‌ها و مفروضات'!$B$3+'قیمت‌ها و مفروضات'!$B$4</f>
        <v/>
      </c>
      <c r="T287" s="178">
        <f>R287+S287</f>
        <v/>
      </c>
      <c r="U287" s="178">
        <f>IF(COUNTIF($E$2:E287,E287)&gt;1,"بله (تکراری)","خیر")</f>
        <v/>
      </c>
      <c r="V287" s="176">
        <f>IF(U287="بله (تکراری)",S287,0)</f>
        <v/>
      </c>
      <c r="W287" s="176" t="inlineStr">
        <is>
          <t>عيسي داوودي/کد1437</t>
        </is>
      </c>
      <c r="X287" s="176" t="inlineStr">
        <is>
          <t>فرديس</t>
        </is>
      </c>
    </row>
    <row r="288" ht="58.5" customHeight="1" s="151">
      <c r="A288" s="176" t="n">
        <v>710004197</v>
      </c>
      <c r="B288" s="124">
        <f>CHOOSE(_xlfn.NUMBERVALUE(MID(H288,6,2)),"فروردین","اردیبهشت","خرداد","تیر","مرداد","شهریور","مهر","آبان","آذر","دی","بهمن","اسفند")</f>
        <v/>
      </c>
      <c r="C288" s="176" t="inlineStr">
        <is>
          <t>ماشين ظرفشويي</t>
        </is>
      </c>
      <c r="D288" s="176" t="inlineStr">
        <is>
          <t>CDW-H16TW1</t>
        </is>
      </c>
      <c r="E288" s="176" t="inlineStr">
        <is>
          <t>52220005N01584</t>
        </is>
      </c>
      <c r="F288" s="173" t="inlineStr">
        <is>
          <t>زنگ زدگي کابين**اياب و ذهاب به عهده مشتري</t>
        </is>
      </c>
      <c r="G288" s="173" t="inlineStr">
        <is>
          <t xml:space="preserve">زنگ زدگی سبد ظرفشویی </t>
        </is>
      </c>
      <c r="H288" s="176" t="inlineStr">
        <is>
          <t>1405/05/12</t>
        </is>
      </c>
      <c r="I288" s="176" t="inlineStr">
        <is>
          <t>1403/11/08</t>
        </is>
      </c>
      <c r="J288" s="176" t="inlineStr">
        <is>
          <t>1404/02/20</t>
        </is>
      </c>
      <c r="K288" s="177">
        <f>IFERROR(VLOOKUP(LEFT(H288,7),'تبدیل تاریخ'!$A$2:$B$73,2,FALSE())+VALUE(RIGHT(H288,2))-1,"")</f>
        <v/>
      </c>
      <c r="L288" s="177">
        <f>IFERROR(VLOOKUP(LEFT(I288,7),'تبدیل تاریخ'!$A$2:$B$73,2,FALSE())+VALUE(RIGHT(I288,2))-1,"")</f>
        <v/>
      </c>
      <c r="M288" s="177">
        <f>IF(J288="","",IFERROR(VLOOKUP(LEFT(J288,7),'تبدیل تاریخ'!$A$2:$B$73,2,FALSE())+VALUE(RIGHT(J288,2))-1,""))</f>
        <v/>
      </c>
      <c r="N288" s="124">
        <f>IF(OR(K288="",M288=""),"",CEILING((K288-M288)/30,1))</f>
        <v/>
      </c>
      <c r="O288" s="124" t="inlineStr">
        <is>
          <t>زنگ‌زدگی بدنه/قطعه (تعویض)</t>
        </is>
      </c>
      <c r="P288" s="124" t="inlineStr">
        <is>
          <t>DW-HS-16 سبد پايين ماشين ظرفشويي</t>
        </is>
      </c>
      <c r="Q288" s="124" t="n"/>
      <c r="R288" s="178">
        <f>IF(O288="تعویض کامل دستگاه (Replacement)",IF(SUMIF('قیمت‌ها و مفروضات'!$A$9:$A$13,C288,'قیمت‌ها و مفروضات'!$C$9:$C$13)&lt;&gt;0,SUMIF('قیمت‌ها و مفروضات'!$A$9:$A$13,C288,'قیمت‌ها و مفروضات'!$C$9:$C$13),SUMIF('قیمت‌ها و مفروضات'!$A$9:$A$13,C288,'قیمت‌ها و مفروضات'!$B$9:$B$13)),IF(SUMIF('قیمت‌ها و مفروضات'!$A$18:$A$63,O288,'قیمت‌ها و مفروضات'!$C$18:$C$63)&lt;&gt;0,SUMIF('قیمت‌ها و مفروضات'!$A$18:$A$63,O288,'قیمت‌ها و مفروضات'!$C$18:$C$63),SUMIF('قیمت‌ها و مفروضات'!$A$18:$A$63,O288,'قیمت‌ها و مفروضات'!$B$18:$B$63)))</f>
        <v/>
      </c>
      <c r="S288" s="178">
        <f>'قیمت‌ها و مفروضات'!$B$3+'قیمت‌ها و مفروضات'!$B$4</f>
        <v/>
      </c>
      <c r="T288" s="178">
        <f>R288+S288</f>
        <v/>
      </c>
      <c r="U288" s="178">
        <f>IF(COUNTIF($E$2:E288,E288)&gt;1,"بله (تکراری)","خیر")</f>
        <v/>
      </c>
      <c r="V288" s="176">
        <f>IF(U288="بله (تکراری)",S288,0)</f>
        <v/>
      </c>
      <c r="W288" s="176" t="inlineStr">
        <is>
          <t>حسن خالويي /کد 3019</t>
        </is>
      </c>
      <c r="X288" s="176" t="inlineStr">
        <is>
          <t>سيرجان</t>
        </is>
      </c>
    </row>
    <row r="289" ht="58.5" customHeight="1" s="151">
      <c r="A289" s="176" t="n">
        <v>510023047</v>
      </c>
      <c r="B289" s="124">
        <f>CHOOSE(_xlfn.NUMBERVALUE(MID(H289,6,2)),"فروردین","اردیبهشت","خرداد","تیر","مرداد","شهریور","مهر","آبان","آذر","دی","بهمن","اسفند")</f>
        <v/>
      </c>
      <c r="C289" s="176" t="inlineStr">
        <is>
          <t>ماشين ظرفشويي</t>
        </is>
      </c>
      <c r="D289" s="176" t="inlineStr">
        <is>
          <t>CDW-H16TW1</t>
        </is>
      </c>
      <c r="E289" s="176" t="inlineStr">
        <is>
          <t>52220005N01832</t>
        </is>
      </c>
      <c r="F289" s="173" t="inlineStr">
        <is>
          <t>بسته نشدن درب**اياب و ذهاب به عهده شرکت</t>
        </is>
      </c>
      <c r="G289" s="173" t="inlineStr">
        <is>
          <t>پايين بودن میکروسوئیچ درب</t>
        </is>
      </c>
      <c r="H289" s="176" t="inlineStr">
        <is>
          <t>1405/05/07</t>
        </is>
      </c>
      <c r="I289" s="176" t="inlineStr">
        <is>
          <t>1403/12/04</t>
        </is>
      </c>
      <c r="J289" s="176" t="inlineStr">
        <is>
          <t>1404/12/28</t>
        </is>
      </c>
      <c r="K289" s="177">
        <f>IFERROR(VLOOKUP(LEFT(H289,7),'تبدیل تاریخ'!$A$2:$B$73,2,FALSE())+VALUE(RIGHT(H289,2))-1,"")</f>
        <v/>
      </c>
      <c r="L289" s="177">
        <f>IFERROR(VLOOKUP(LEFT(I289,7),'تبدیل تاریخ'!$A$2:$B$73,2,FALSE())+VALUE(RIGHT(I289,2))-1,"")</f>
        <v/>
      </c>
      <c r="M289" s="177">
        <f>IF(J289="","",IFERROR(VLOOKUP(LEFT(J289,7),'تبدیل تاریخ'!$A$2:$B$73,2,FALSE())+VALUE(RIGHT(J289,2))-1,""))</f>
        <v/>
      </c>
      <c r="N289" s="124">
        <f>IF(OR(K289="",M289=""),"",CEILING((K289-M289)/30,1))</f>
        <v/>
      </c>
      <c r="O289" s="124" t="inlineStr">
        <is>
          <t>مکانیزم درب - میکروسوئیچ/قلاب (تعویض/تنظیم)</t>
        </is>
      </c>
      <c r="P289" s="124" t="inlineStr">
        <is>
          <t>*</t>
        </is>
      </c>
      <c r="Q289" s="124" t="n"/>
      <c r="R289" s="178">
        <f>IF(O289="تعویض کامل دستگاه (Replacement)",IF(SUMIF('قیمت‌ها و مفروضات'!$A$9:$A$13,C289,'قیمت‌ها و مفروضات'!$C$9:$C$13)&lt;&gt;0,SUMIF('قیمت‌ها و مفروضات'!$A$9:$A$13,C289,'قیمت‌ها و مفروضات'!$C$9:$C$13),SUMIF('قیمت‌ها و مفروضات'!$A$9:$A$13,C289,'قیمت‌ها و مفروضات'!$B$9:$B$13)),IF(SUMIF('قیمت‌ها و مفروضات'!$A$18:$A$63,O289,'قیمت‌ها و مفروضات'!$C$18:$C$63)&lt;&gt;0,SUMIF('قیمت‌ها و مفروضات'!$A$18:$A$63,O289,'قیمت‌ها و مفروضات'!$C$18:$C$63),SUMIF('قیمت‌ها و مفروضات'!$A$18:$A$63,O289,'قیمت‌ها و مفروضات'!$B$18:$B$63)))</f>
        <v/>
      </c>
      <c r="S289" s="178">
        <f>'قیمت‌ها و مفروضات'!$B$3+'قیمت‌ها و مفروضات'!$B$4</f>
        <v/>
      </c>
      <c r="T289" s="178">
        <f>R289+S289</f>
        <v/>
      </c>
      <c r="U289" s="178">
        <f>IF(COUNTIF($E$2:E289,E289)&gt;1,"بله (تکراری)","خیر")</f>
        <v/>
      </c>
      <c r="V289" s="176">
        <f>IF(U289="بله (تکراری)",S289,0)</f>
        <v/>
      </c>
      <c r="W289" s="176" t="inlineStr">
        <is>
          <t>مرتضي گلي/کد1970</t>
        </is>
      </c>
      <c r="X289" s="176" t="inlineStr">
        <is>
          <t>بيرجند</t>
        </is>
      </c>
    </row>
    <row r="290" ht="58.5" customHeight="1" s="151">
      <c r="A290" s="176" t="n">
        <v>130009846</v>
      </c>
      <c r="B290" s="124">
        <f>CHOOSE(_xlfn.NUMBERVALUE(MID(H290,6,2)),"فروردین","اردیبهشت","خرداد","تیر","مرداد","شهریور","مهر","آبان","آذر","دی","بهمن","اسفند")</f>
        <v/>
      </c>
      <c r="C290" s="176" t="inlineStr">
        <is>
          <t>يخچال ميني</t>
        </is>
      </c>
      <c r="D290" s="176" t="inlineStr">
        <is>
          <t>CM-RS5RE1</t>
        </is>
      </c>
      <c r="E290" s="176" t="inlineStr">
        <is>
          <t>52240003N00957</t>
        </is>
      </c>
      <c r="F290" s="173" t="inlineStr">
        <is>
          <t>خاموش بودن LED کاور / سقفي**اياب و ذهاب به عهده شرکت</t>
        </is>
      </c>
      <c r="G290" s="173" t="inlineStr">
        <is>
          <t>خرابی LED</t>
        </is>
      </c>
      <c r="H290" s="176" t="inlineStr">
        <is>
          <t>1405/05/19</t>
        </is>
      </c>
      <c r="I290" s="176" t="inlineStr">
        <is>
          <t>1403/12/10</t>
        </is>
      </c>
      <c r="J290" s="176" t="inlineStr">
        <is>
          <t>1404/07/03</t>
        </is>
      </c>
      <c r="K290" s="177">
        <f>IFERROR(VLOOKUP(LEFT(H290,7),'تبدیل تاریخ'!$A$2:$B$73,2,FALSE())+VALUE(RIGHT(H290,2))-1,"")</f>
        <v/>
      </c>
      <c r="L290" s="177">
        <f>IFERROR(VLOOKUP(LEFT(I290,7),'تبدیل تاریخ'!$A$2:$B$73,2,FALSE())+VALUE(RIGHT(I290,2))-1,"")</f>
        <v/>
      </c>
      <c r="M290" s="177">
        <f>IF(J290="","",IFERROR(VLOOKUP(LEFT(J290,7),'تبدیل تاریخ'!$A$2:$B$73,2,FALSE())+VALUE(RIGHT(J290,2))-1,""))</f>
        <v/>
      </c>
      <c r="N290" s="124">
        <f>IF(OR(K290="",M290=""),"",CEILING((K290-M290)/30,1))</f>
        <v/>
      </c>
      <c r="O290" s="124" t="inlineStr">
        <is>
          <t>خرابی - لامپ/LED داخلی (تعویض)</t>
        </is>
      </c>
      <c r="P290" s="124" t="inlineStr">
        <is>
          <t>MINI LED یخچال</t>
        </is>
      </c>
      <c r="Q290" s="124" t="n"/>
      <c r="R290" s="178">
        <f>IF(O290="تعویض کامل دستگاه (Replacement)",IF(SUMIF('قیمت‌ها و مفروضات'!$A$9:$A$13,C290,'قیمت‌ها و مفروضات'!$C$9:$C$13)&lt;&gt;0,SUMIF('قیمت‌ها و مفروضات'!$A$9:$A$13,C290,'قیمت‌ها و مفروضات'!$C$9:$C$13),SUMIF('قیمت‌ها و مفروضات'!$A$9:$A$13,C290,'قیمت‌ها و مفروضات'!$B$9:$B$13)),IF(SUMIF('قیمت‌ها و مفروضات'!$A$18:$A$63,O290,'قیمت‌ها و مفروضات'!$C$18:$C$63)&lt;&gt;0,SUMIF('قیمت‌ها و مفروضات'!$A$18:$A$63,O290,'قیمت‌ها و مفروضات'!$C$18:$C$63),SUMIF('قیمت‌ها و مفروضات'!$A$18:$A$63,O290,'قیمت‌ها و مفروضات'!$B$18:$B$63)))</f>
        <v/>
      </c>
      <c r="S290" s="178">
        <f>'قیمت‌ها و مفروضات'!$B$3+'قیمت‌ها و مفروضات'!$B$4</f>
        <v/>
      </c>
      <c r="T290" s="178">
        <f>R290+S290</f>
        <v/>
      </c>
      <c r="U290" s="178">
        <f>IF(COUNTIF($E$2:E290,E290)&gt;1,"بله (تکراری)","خیر")</f>
        <v/>
      </c>
      <c r="V290" s="176">
        <f>IF(U290="بله (تکراری)",S290,0)</f>
        <v/>
      </c>
      <c r="W290" s="176" t="inlineStr">
        <is>
          <t>مصطفي شعباني نژاد /کد 3430</t>
        </is>
      </c>
      <c r="X290" s="176" t="inlineStr">
        <is>
          <t>رشت</t>
        </is>
      </c>
    </row>
    <row r="291" ht="58.5" customHeight="1" s="151">
      <c r="A291" s="176" t="n">
        <v>210017169</v>
      </c>
      <c r="B291" s="124">
        <f>CHOOSE(_xlfn.NUMBERVALUE(MID(H291,6,2)),"فروردین","اردیبهشت","خرداد","تیر","مرداد","شهریور","مهر","آبان","آذر","دی","بهمن","اسفند")</f>
        <v/>
      </c>
      <c r="C291" s="176" t="inlineStr">
        <is>
          <t>يخچال ميني</t>
        </is>
      </c>
      <c r="D291" s="176" t="inlineStr">
        <is>
          <t>CM-RS5RE1</t>
        </is>
      </c>
      <c r="E291" s="176" t="inlineStr">
        <is>
          <t>52240003N00743</t>
        </is>
      </c>
      <c r="F291" s="173" t="inlineStr">
        <is>
          <t>خاموش بودن LED کاور / سقفي**اياب و ذهاب به عهده شرکت</t>
        </is>
      </c>
      <c r="G291" s="173" t="inlineStr">
        <is>
          <t>خرابی LED</t>
        </is>
      </c>
      <c r="H291" s="176" t="inlineStr">
        <is>
          <t>1405/05/04</t>
        </is>
      </c>
      <c r="I291" s="176" t="inlineStr">
        <is>
          <t>1403/12/14</t>
        </is>
      </c>
      <c r="J291" s="176" t="inlineStr">
        <is>
          <t>1404/08/29</t>
        </is>
      </c>
      <c r="K291" s="177">
        <f>IFERROR(VLOOKUP(LEFT(H291,7),'تبدیل تاریخ'!$A$2:$B$73,2,FALSE())+VALUE(RIGHT(H291,2))-1,"")</f>
        <v/>
      </c>
      <c r="L291" s="177">
        <f>IFERROR(VLOOKUP(LEFT(I291,7),'تبدیل تاریخ'!$A$2:$B$73,2,FALSE())+VALUE(RIGHT(I291,2))-1,"")</f>
        <v/>
      </c>
      <c r="M291" s="177">
        <f>IF(J291="","",IFERROR(VLOOKUP(LEFT(J291,7),'تبدیل تاریخ'!$A$2:$B$73,2,FALSE())+VALUE(RIGHT(J291,2))-1,""))</f>
        <v/>
      </c>
      <c r="N291" s="124">
        <f>IF(OR(K291="",M291=""),"",CEILING((K291-M291)/30,1))</f>
        <v/>
      </c>
      <c r="O291" s="124" t="inlineStr">
        <is>
          <t>خرابی - لامپ/LED داخلی (تعویض)</t>
        </is>
      </c>
      <c r="P291" s="124" t="inlineStr">
        <is>
          <t>MINI LED یخچال</t>
        </is>
      </c>
      <c r="Q291" s="124" t="n"/>
      <c r="R291" s="178">
        <f>IF(O291="تعویض کامل دستگاه (Replacement)",IF(SUMIF('قیمت‌ها و مفروضات'!$A$9:$A$13,C291,'قیمت‌ها و مفروضات'!$C$9:$C$13)&lt;&gt;0,SUMIF('قیمت‌ها و مفروضات'!$A$9:$A$13,C291,'قیمت‌ها و مفروضات'!$C$9:$C$13),SUMIF('قیمت‌ها و مفروضات'!$A$9:$A$13,C291,'قیمت‌ها و مفروضات'!$B$9:$B$13)),IF(SUMIF('قیمت‌ها و مفروضات'!$A$18:$A$63,O291,'قیمت‌ها و مفروضات'!$C$18:$C$63)&lt;&gt;0,SUMIF('قیمت‌ها و مفروضات'!$A$18:$A$63,O291,'قیمت‌ها و مفروضات'!$C$18:$C$63),SUMIF('قیمت‌ها و مفروضات'!$A$18:$A$63,O291,'قیمت‌ها و مفروضات'!$B$18:$B$63)))</f>
        <v/>
      </c>
      <c r="S291" s="178">
        <f>'قیمت‌ها و مفروضات'!$B$3+'قیمت‌ها و مفروضات'!$B$4</f>
        <v/>
      </c>
      <c r="T291" s="178">
        <f>R291+S291</f>
        <v/>
      </c>
      <c r="U291" s="178">
        <f>IF(COUNTIF($E$2:E291,E291)&gt;1,"بله (تکراری)","خیر")</f>
        <v/>
      </c>
      <c r="V291" s="176">
        <f>IF(U291="بله (تکراری)",S291,0)</f>
        <v/>
      </c>
      <c r="W291" s="176" t="inlineStr">
        <is>
          <t>موسي يامي / کد 1435</t>
        </is>
      </c>
      <c r="X291" s="176" t="inlineStr">
        <is>
          <t>کرج</t>
        </is>
      </c>
    </row>
    <row r="292" ht="58.5" customHeight="1" s="151">
      <c r="A292" s="176" t="n">
        <v>210018851</v>
      </c>
      <c r="B292" s="124">
        <f>CHOOSE(_xlfn.NUMBERVALUE(MID(H292,6,2)),"فروردین","اردیبهشت","خرداد","تیر","مرداد","شهریور","مهر","آبان","آذر","دی","بهمن","اسفند")</f>
        <v/>
      </c>
      <c r="C292" s="176" t="inlineStr">
        <is>
          <t>يخچال ميني</t>
        </is>
      </c>
      <c r="D292" s="176" t="inlineStr">
        <is>
          <t>CM-RS5BK1</t>
        </is>
      </c>
      <c r="E292" s="176" t="inlineStr">
        <is>
          <t>52240002N00908</t>
        </is>
      </c>
      <c r="F292" s="173" t="inlineStr">
        <is>
          <t>گرم شدن محصول**اياب و ذهاب به عهده شرکت</t>
        </is>
      </c>
      <c r="G292" s="173" t="inlineStr">
        <is>
          <t>خرابی کمپرسور</t>
        </is>
      </c>
      <c r="H292" s="176" t="inlineStr">
        <is>
          <t>1405/05/15</t>
        </is>
      </c>
      <c r="I292" s="176" t="inlineStr">
        <is>
          <t>1403/12/13</t>
        </is>
      </c>
      <c r="J292" s="176" t="inlineStr">
        <is>
          <t>1404/09/09</t>
        </is>
      </c>
      <c r="K292" s="177">
        <f>IFERROR(VLOOKUP(LEFT(H292,7),'تبدیل تاریخ'!$A$2:$B$73,2,FALSE())+VALUE(RIGHT(H292,2))-1,"")</f>
        <v/>
      </c>
      <c r="L292" s="177">
        <f>IFERROR(VLOOKUP(LEFT(I292,7),'تبدیل تاریخ'!$A$2:$B$73,2,FALSE())+VALUE(RIGHT(I292,2))-1,"")</f>
        <v/>
      </c>
      <c r="M292" s="177">
        <f>IF(J292="","",IFERROR(VLOOKUP(LEFT(J292,7),'تبدیل تاریخ'!$A$2:$B$73,2,FALSE())+VALUE(RIGHT(J292,2))-1,""))</f>
        <v/>
      </c>
      <c r="N292" s="124">
        <f>IF(OR(K292="",M292=""),"",CEILING((K292-M292)/30,1))</f>
        <v/>
      </c>
      <c r="O292" s="124" t="inlineStr">
        <is>
          <t>خرابی - کمپرسور (تعویض)</t>
        </is>
      </c>
      <c r="P292" s="124" t="inlineStr">
        <is>
          <t>کمپرسور EMX26 MINI</t>
        </is>
      </c>
      <c r="Q292" s="124" t="n"/>
      <c r="R292" s="178">
        <f>IF(O292="تعویض کامل دستگاه (Replacement)",IF(SUMIF('قیمت‌ها و مفروضات'!$A$9:$A$13,C292,'قیمت‌ها و مفروضات'!$C$9:$C$13)&lt;&gt;0,SUMIF('قیمت‌ها و مفروضات'!$A$9:$A$13,C292,'قیمت‌ها و مفروضات'!$C$9:$C$13),SUMIF('قیمت‌ها و مفروضات'!$A$9:$A$13,C292,'قیمت‌ها و مفروضات'!$B$9:$B$13)),IF(SUMIF('قیمت‌ها و مفروضات'!$A$18:$A$63,O292,'قیمت‌ها و مفروضات'!$C$18:$C$63)&lt;&gt;0,SUMIF('قیمت‌ها و مفروضات'!$A$18:$A$63,O292,'قیمت‌ها و مفروضات'!$C$18:$C$63),SUMIF('قیمت‌ها و مفروضات'!$A$18:$A$63,O292,'قیمت‌ها و مفروضات'!$B$18:$B$63)))</f>
        <v/>
      </c>
      <c r="S292" s="178">
        <f>'قیمت‌ها و مفروضات'!$B$3+'قیمت‌ها و مفروضات'!$B$4</f>
        <v/>
      </c>
      <c r="T292" s="178">
        <f>R292+S292</f>
        <v/>
      </c>
      <c r="U292" s="178">
        <f>IF(COUNTIF($E$2:E292,E292)&gt;1,"بله (تکراری)","خیر")</f>
        <v/>
      </c>
      <c r="V292" s="176">
        <f>IF(U292="بله (تکراری)",S292,0)</f>
        <v/>
      </c>
      <c r="W292" s="176" t="inlineStr">
        <is>
          <t>مصطفي شفيعي / کد 1732 - لوازم خانگي</t>
        </is>
      </c>
      <c r="X292" s="176" t="inlineStr">
        <is>
          <t>شهر ري</t>
        </is>
      </c>
    </row>
    <row r="293" ht="58.5" customHeight="1" s="151">
      <c r="A293" s="176" t="n">
        <v>210018913</v>
      </c>
      <c r="B293" s="124">
        <f>CHOOSE(_xlfn.NUMBERVALUE(MID(H293,6,2)),"فروردین","اردیبهشت","خرداد","تیر","مرداد","شهریور","مهر","آبان","آذر","دی","بهمن","اسفند")</f>
        <v/>
      </c>
      <c r="C293" s="176" t="inlineStr">
        <is>
          <t>تلویزیون</t>
        </is>
      </c>
      <c r="D293" s="176" t="inlineStr">
        <is>
          <t>CTV-55UHJS2</t>
        </is>
      </c>
      <c r="E293" s="176" t="inlineStr">
        <is>
          <t>52230003N00408</t>
        </is>
      </c>
      <c r="F293" s="173" t="inlineStr">
        <is>
          <t>عدم عملکرد ريموت کنترل ** اياب و ذهاب به عهده مشتري</t>
        </is>
      </c>
      <c r="G293" s="173" t="inlineStr">
        <is>
          <t>ايراد در ريموت کنترل</t>
        </is>
      </c>
      <c r="H293" s="176" t="inlineStr">
        <is>
          <t>1405/05/15</t>
        </is>
      </c>
      <c r="I293" s="176" t="inlineStr">
        <is>
          <t>1403/12/20</t>
        </is>
      </c>
      <c r="J293" s="176" t="inlineStr">
        <is>
          <t>1404/01/23</t>
        </is>
      </c>
      <c r="K293" s="177">
        <f>IFERROR(VLOOKUP(LEFT(H293,7),'تبدیل تاریخ'!$A$2:$B$73,2,FALSE())+VALUE(RIGHT(H293,2))-1,"")</f>
        <v/>
      </c>
      <c r="L293" s="177">
        <f>IFERROR(VLOOKUP(LEFT(I293,7),'تبدیل تاریخ'!$A$2:$B$73,2,FALSE())+VALUE(RIGHT(I293,2))-1,"")</f>
        <v/>
      </c>
      <c r="M293" s="177">
        <f>IF(J293="","",IFERROR(VLOOKUP(LEFT(J293,7),'تبدیل تاریخ'!$A$2:$B$73,2,FALSE())+VALUE(RIGHT(J293,2))-1,""))</f>
        <v/>
      </c>
      <c r="N293" s="124">
        <f>IF(OR(K293="",M293=""),"",CEILING((K293-M293)/30,1))</f>
        <v/>
      </c>
      <c r="O293" s="124" t="inlineStr">
        <is>
          <t>ریموت کنترل (تعویض/تعمیر)</t>
        </is>
      </c>
      <c r="P293" s="124" t="inlineStr">
        <is>
          <t>TV-HS-43&amp;50&amp;55 کنترل تلويزيون</t>
        </is>
      </c>
      <c r="Q293" s="124" t="n"/>
      <c r="R293" s="178">
        <f>IF(O293="تعویض کامل دستگاه (Replacement)",IF(SUMIF('قیمت‌ها و مفروضات'!$A$9:$A$13,C293,'قیمت‌ها و مفروضات'!$C$9:$C$13)&lt;&gt;0,SUMIF('قیمت‌ها و مفروضات'!$A$9:$A$13,C293,'قیمت‌ها و مفروضات'!$C$9:$C$13),SUMIF('قیمت‌ها و مفروضات'!$A$9:$A$13,C293,'قیمت‌ها و مفروضات'!$B$9:$B$13)),IF(SUMIF('قیمت‌ها و مفروضات'!$A$18:$A$63,O293,'قیمت‌ها و مفروضات'!$C$18:$C$63)&lt;&gt;0,SUMIF('قیمت‌ها و مفروضات'!$A$18:$A$63,O293,'قیمت‌ها و مفروضات'!$C$18:$C$63),SUMIF('قیمت‌ها و مفروضات'!$A$18:$A$63,O293,'قیمت‌ها و مفروضات'!$B$18:$B$63)))</f>
        <v/>
      </c>
      <c r="S293" s="178">
        <f>'قیمت‌ها و مفروضات'!$B$3+'قیمت‌ها و مفروضات'!$B$4</f>
        <v/>
      </c>
      <c r="T293" s="178">
        <f>R293+S293</f>
        <v/>
      </c>
      <c r="U293" s="178">
        <f>IF(COUNTIF($E$2:E293,E293)&gt;1,"بله (تکراری)","خیر")</f>
        <v/>
      </c>
      <c r="V293" s="176">
        <f>IF(U293="بله (تکراری)",S293,0)</f>
        <v/>
      </c>
      <c r="W293" s="176" t="inlineStr"/>
      <c r="X293" s="176" t="inlineStr">
        <is>
          <t>نيشابور</t>
        </is>
      </c>
    </row>
    <row r="294" ht="58.5" customHeight="1" s="151">
      <c r="A294" s="176" t="n">
        <v>810004918</v>
      </c>
      <c r="B294" s="124">
        <f>CHOOSE(_xlfn.NUMBERVALUE(MID(H294,6,2)),"فروردین","اردیبهشت","خرداد","تیر","مرداد","شهریور","مهر","آبان","آذر","دی","بهمن","اسفند")</f>
        <v/>
      </c>
      <c r="C294" s="176" t="inlineStr">
        <is>
          <t>يخچال ميني</t>
        </is>
      </c>
      <c r="D294" s="176" t="inlineStr">
        <is>
          <t>CM-RS5RE1</t>
        </is>
      </c>
      <c r="E294" s="176" t="inlineStr">
        <is>
          <t>52240003N00980</t>
        </is>
      </c>
      <c r="F294" s="173" t="inlineStr">
        <is>
          <t>خاموش بودن LED کاور / سقفي**اياب و ذهاب به عهده شرکت</t>
        </is>
      </c>
      <c r="G294" s="173" t="inlineStr">
        <is>
          <t xml:space="preserve">                             MINI کليد فشاري يخچال</t>
        </is>
      </c>
      <c r="H294" s="176" t="inlineStr">
        <is>
          <t>1405/05/04</t>
        </is>
      </c>
      <c r="I294" s="176" t="inlineStr">
        <is>
          <t>1403/12/27</t>
        </is>
      </c>
      <c r="J294" s="176" t="inlineStr">
        <is>
          <t>1405/04/30</t>
        </is>
      </c>
      <c r="K294" s="177">
        <f>IFERROR(VLOOKUP(LEFT(H294,7),'تبدیل تاریخ'!$A$2:$B$73,2,FALSE())+VALUE(RIGHT(H294,2))-1,"")</f>
        <v/>
      </c>
      <c r="L294" s="177">
        <f>IFERROR(VLOOKUP(LEFT(I294,7),'تبدیل تاریخ'!$A$2:$B$73,2,FALSE())+VALUE(RIGHT(I294,2))-1,"")</f>
        <v/>
      </c>
      <c r="M294" s="177">
        <f>IF(J294="","",IFERROR(VLOOKUP(LEFT(J294,7),'تبدیل تاریخ'!$A$2:$B$73,2,FALSE())+VALUE(RIGHT(J294,2))-1,""))</f>
        <v/>
      </c>
      <c r="N294" s="124">
        <f>IF(OR(K294="",M294=""),"",CEILING((K294-M294)/30,1))</f>
        <v/>
      </c>
      <c r="O294" s="124" t="inlineStr">
        <is>
          <t>تنظیم - پیچ ولوم/دکمه (تعمیر)</t>
        </is>
      </c>
      <c r="P294" s="124" t="inlineStr">
        <is>
          <t>MINI کليد فشاري يخچال</t>
        </is>
      </c>
      <c r="Q294" s="124" t="n"/>
      <c r="R294" s="178">
        <f>IF(O294="تعویض کامل دستگاه (Replacement)",IF(SUMIF('قیمت‌ها و مفروضات'!$A$9:$A$13,C294,'قیمت‌ها و مفروضات'!$C$9:$C$13)&lt;&gt;0,SUMIF('قیمت‌ها و مفروضات'!$A$9:$A$13,C294,'قیمت‌ها و مفروضات'!$C$9:$C$13),SUMIF('قیمت‌ها و مفروضات'!$A$9:$A$13,C294,'قیمت‌ها و مفروضات'!$B$9:$B$13)),IF(SUMIF('قیمت‌ها و مفروضات'!$A$18:$A$63,O294,'قیمت‌ها و مفروضات'!$C$18:$C$63)&lt;&gt;0,SUMIF('قیمت‌ها و مفروضات'!$A$18:$A$63,O294,'قیمت‌ها و مفروضات'!$C$18:$C$63),SUMIF('قیمت‌ها و مفروضات'!$A$18:$A$63,O294,'قیمت‌ها و مفروضات'!$B$18:$B$63)))</f>
        <v/>
      </c>
      <c r="S294" s="178">
        <f>'قیمت‌ها و مفروضات'!$B$3+'قیمت‌ها و مفروضات'!$B$4</f>
        <v/>
      </c>
      <c r="T294" s="178">
        <f>R294+S294</f>
        <v/>
      </c>
      <c r="U294" s="178">
        <f>IF(COUNTIF($E$2:E294,E294)&gt;1,"بله (تکراری)","خیر")</f>
        <v/>
      </c>
      <c r="V294" s="176">
        <f>IF(U294="بله (تکراری)",S294,0)</f>
        <v/>
      </c>
      <c r="W294" s="176" t="inlineStr">
        <is>
          <t>برزو اعظم پور/کد 3101</t>
        </is>
      </c>
      <c r="X294" s="176" t="inlineStr">
        <is>
          <t>کرمانشاه</t>
        </is>
      </c>
    </row>
    <row r="295" ht="58.5" customHeight="1" s="151">
      <c r="A295" s="176" t="n">
        <v>510022914</v>
      </c>
      <c r="B295" s="124">
        <f>CHOOSE(_xlfn.NUMBERVALUE(MID(H295,6,2)),"فروردین","اردیبهشت","خرداد","تیر","مرداد","شهریور","مهر","آبان","آذر","دی","بهمن","اسفند")</f>
        <v/>
      </c>
      <c r="C295" s="176" t="inlineStr">
        <is>
          <t>يخچال ميني</t>
        </is>
      </c>
      <c r="D295" s="176" t="inlineStr">
        <is>
          <t>CM-RS5RE1</t>
        </is>
      </c>
      <c r="E295" s="176" t="inlineStr">
        <is>
          <t>52240003N01043</t>
        </is>
      </c>
      <c r="F295" s="173" t="inlineStr">
        <is>
          <t>کسري قطعات پک بسته بندي - کد قطعه در ليست اقدامات درج مي گردد.**اياب و ذهاب به عهده شرکت</t>
        </is>
      </c>
      <c r="G295" s="173" t="inlineStr">
        <is>
          <t>کسري قطعات تزئيني پک قطعات داخلي</t>
        </is>
      </c>
      <c r="H295" s="176" t="inlineStr">
        <is>
          <t>1405/05/05</t>
        </is>
      </c>
      <c r="I295" s="176" t="inlineStr">
        <is>
          <t>1403/12/26</t>
        </is>
      </c>
      <c r="J295" s="176" t="inlineStr">
        <is>
          <t>1405/05/03</t>
        </is>
      </c>
      <c r="K295" s="177">
        <f>IFERROR(VLOOKUP(LEFT(H295,7),'تبدیل تاریخ'!$A$2:$B$73,2,FALSE())+VALUE(RIGHT(H295,2))-1,"")</f>
        <v/>
      </c>
      <c r="L295" s="177">
        <f>IFERROR(VLOOKUP(LEFT(I295,7),'تبدیل تاریخ'!$A$2:$B$73,2,FALSE())+VALUE(RIGHT(I295,2))-1,"")</f>
        <v/>
      </c>
      <c r="M295" s="177">
        <f>IF(J295="","",IFERROR(VLOOKUP(LEFT(J295,7),'تبدیل تاریخ'!$A$2:$B$73,2,FALSE())+VALUE(RIGHT(J295,2))-1,""))</f>
        <v/>
      </c>
      <c r="N295" s="124">
        <f>IF(OR(K295="",M295=""),"",CEILING((K295-M295)/30,1))</f>
        <v/>
      </c>
      <c r="O295" s="124" t="inlineStr">
        <is>
          <t>قطعات تزئینی - شکستگی/کسری (تعویض)</t>
        </is>
      </c>
      <c r="P295" s="124" t="inlineStr">
        <is>
          <t>MINI شلف بزرگ يخچال</t>
        </is>
      </c>
      <c r="Q295" s="124" t="n"/>
      <c r="R295" s="178">
        <f>IF(O295="تعویض کامل دستگاه (Replacement)",IF(SUMIF('قیمت‌ها و مفروضات'!$A$9:$A$13,C295,'قیمت‌ها و مفروضات'!$C$9:$C$13)&lt;&gt;0,SUMIF('قیمت‌ها و مفروضات'!$A$9:$A$13,C295,'قیمت‌ها و مفروضات'!$C$9:$C$13),SUMIF('قیمت‌ها و مفروضات'!$A$9:$A$13,C295,'قیمت‌ها و مفروضات'!$B$9:$B$13)),IF(SUMIF('قیمت‌ها و مفروضات'!$A$18:$A$63,O295,'قیمت‌ها و مفروضات'!$C$18:$C$63)&lt;&gt;0,SUMIF('قیمت‌ها و مفروضات'!$A$18:$A$63,O295,'قیمت‌ها و مفروضات'!$C$18:$C$63),SUMIF('قیمت‌ها و مفروضات'!$A$18:$A$63,O295,'قیمت‌ها و مفروضات'!$B$18:$B$63)))</f>
        <v/>
      </c>
      <c r="S295" s="178">
        <f>'قیمت‌ها و مفروضات'!$B$3+'قیمت‌ها و مفروضات'!$B$4</f>
        <v/>
      </c>
      <c r="T295" s="178">
        <f>R295+S295</f>
        <v/>
      </c>
      <c r="U295" s="178">
        <f>IF(COUNTIF($E$2:E295,E295)&gt;1,"بله (تکراری)","خیر")</f>
        <v/>
      </c>
      <c r="V295" s="176">
        <f>IF(U295="بله (تکراری)",S295,0)</f>
        <v/>
      </c>
      <c r="W295" s="176" t="inlineStr">
        <is>
          <t>مصطفي حسيني/کد 51004T</t>
        </is>
      </c>
      <c r="X295" s="176" t="inlineStr">
        <is>
          <t>مشهد</t>
        </is>
      </c>
    </row>
    <row r="296" ht="58.5" customHeight="1" s="151">
      <c r="A296" s="176" t="n">
        <v>130008765</v>
      </c>
      <c r="B296" s="124">
        <f>CHOOSE(_xlfn.NUMBERVALUE(MID(H296,6,2)),"فروردین","اردیبهشت","خرداد","تیر","مرداد","شهریور","مهر","آبان","آذر","دی","بهمن","اسفند")</f>
        <v/>
      </c>
      <c r="C296" s="176" t="inlineStr">
        <is>
          <t>ماشين لباسشويي</t>
        </is>
      </c>
      <c r="D296" s="176" t="inlineStr">
        <is>
          <t>CWM-BMW8VI1</t>
        </is>
      </c>
      <c r="E296" s="176" t="inlineStr">
        <is>
          <t>52210004N01019</t>
        </is>
      </c>
      <c r="F296" s="173" t="inlineStr">
        <is>
          <t>خطاي DE**اياب و ذهاب به عهده شرکت</t>
        </is>
      </c>
      <c r="G296" s="173" t="inlineStr">
        <is>
          <t>اصلاح سوکت قفل درب</t>
        </is>
      </c>
      <c r="H296" s="176" t="inlineStr">
        <is>
          <t>1405/05/01</t>
        </is>
      </c>
      <c r="I296" s="176" t="inlineStr">
        <is>
          <t>1403/12/26</t>
        </is>
      </c>
      <c r="J296" s="176" t="inlineStr">
        <is>
          <t>1404/12/19</t>
        </is>
      </c>
      <c r="K296" s="177">
        <f>IFERROR(VLOOKUP(LEFT(H296,7),'تبدیل تاریخ'!$A$2:$B$73,2,FALSE())+VALUE(RIGHT(H296,2))-1,"")</f>
        <v/>
      </c>
      <c r="L296" s="177">
        <f>IFERROR(VLOOKUP(LEFT(I296,7),'تبدیل تاریخ'!$A$2:$B$73,2,FALSE())+VALUE(RIGHT(I296,2))-1,"")</f>
        <v/>
      </c>
      <c r="M296" s="177">
        <f>IF(J296="","",IFERROR(VLOOKUP(LEFT(J296,7),'تبدیل تاریخ'!$A$2:$B$73,2,FALSE())+VALUE(RIGHT(J296,2))-1,""))</f>
        <v/>
      </c>
      <c r="N296" s="124">
        <f>IF(OR(K296="",M296=""),"",CEILING((K296-M296)/30,1))</f>
        <v/>
      </c>
      <c r="O296" s="124" t="inlineStr">
        <is>
          <t>مکانیزم درب - میکروسوئیچ/قلاب (تعویض/تنظیم)</t>
        </is>
      </c>
      <c r="P296" s="124" t="inlineStr">
        <is>
          <t>*</t>
        </is>
      </c>
      <c r="Q296" s="124" t="n"/>
      <c r="R296" s="178">
        <f>IF(O296="تعویض کامل دستگاه (Replacement)",IF(SUMIF('قیمت‌ها و مفروضات'!$A$9:$A$13,C296,'قیمت‌ها و مفروضات'!$C$9:$C$13)&lt;&gt;0,SUMIF('قیمت‌ها و مفروضات'!$A$9:$A$13,C296,'قیمت‌ها و مفروضات'!$C$9:$C$13),SUMIF('قیمت‌ها و مفروضات'!$A$9:$A$13,C296,'قیمت‌ها و مفروضات'!$B$9:$B$13)),IF(SUMIF('قیمت‌ها و مفروضات'!$A$18:$A$63,O296,'قیمت‌ها و مفروضات'!$C$18:$C$63)&lt;&gt;0,SUMIF('قیمت‌ها و مفروضات'!$A$18:$A$63,O296,'قیمت‌ها و مفروضات'!$C$18:$C$63),SUMIF('قیمت‌ها و مفروضات'!$A$18:$A$63,O296,'قیمت‌ها و مفروضات'!$B$18:$B$63)))</f>
        <v/>
      </c>
      <c r="S296" s="178">
        <f>'قیمت‌ها و مفروضات'!$B$3+'قیمت‌ها و مفروضات'!$B$4</f>
        <v/>
      </c>
      <c r="T296" s="178">
        <f>R296+S296</f>
        <v/>
      </c>
      <c r="U296" s="178">
        <f>IF(COUNTIF($E$2:E296,E296)&gt;1,"بله (تکراری)","خیر")</f>
        <v/>
      </c>
      <c r="V296" s="176">
        <f>IF(U296="بله (تکراری)",S296,0)</f>
        <v/>
      </c>
      <c r="W296" s="176" t="inlineStr">
        <is>
          <t>سعيد معرفتي گمچي/کد1112</t>
        </is>
      </c>
      <c r="X296" s="176" t="inlineStr">
        <is>
          <t>اروميه</t>
        </is>
      </c>
    </row>
    <row r="297" ht="58.5" customHeight="1" s="151">
      <c r="A297" s="176" t="n">
        <v>210016840</v>
      </c>
      <c r="B297" s="124">
        <f>CHOOSE(_xlfn.NUMBERVALUE(MID(H297,6,2)),"فروردین","اردیبهشت","خرداد","تیر","مرداد","شهریور","مهر","آبان","آذر","دی","بهمن","اسفند")</f>
        <v/>
      </c>
      <c r="C297" s="176" t="inlineStr">
        <is>
          <t>يخچال ميني</t>
        </is>
      </c>
      <c r="D297" s="176" t="inlineStr">
        <is>
          <t>CM-RS5RE1</t>
        </is>
      </c>
      <c r="E297" s="176" t="inlineStr">
        <is>
          <t>52240003N01005</t>
        </is>
      </c>
      <c r="F297" s="173" t="inlineStr">
        <is>
          <t>شکستگي دستگيره**اياب و ذهاب به عهده شرکت</t>
        </is>
      </c>
      <c r="G297" s="173" t="inlineStr">
        <is>
          <t>شکستگي دستگيره</t>
        </is>
      </c>
      <c r="H297" s="176" t="inlineStr">
        <is>
          <t>1405/05/02</t>
        </is>
      </c>
      <c r="I297" s="176" t="inlineStr">
        <is>
          <t>1404/01/14</t>
        </is>
      </c>
      <c r="J297" s="176" t="inlineStr"/>
      <c r="K297" s="177">
        <f>IFERROR(VLOOKUP(LEFT(H297,7),'تبدیل تاریخ'!$A$2:$B$73,2,FALSE())+VALUE(RIGHT(H297,2))-1,"")</f>
        <v/>
      </c>
      <c r="L297" s="177">
        <f>IFERROR(VLOOKUP(LEFT(I297,7),'تبدیل تاریخ'!$A$2:$B$73,2,FALSE())+VALUE(RIGHT(I297,2))-1,"")</f>
        <v/>
      </c>
      <c r="M297" s="177">
        <f>IF(J297="","",IFERROR(VLOOKUP(LEFT(J297,7),'تبدیل تاریخ'!$A$2:$B$73,2,FALSE())+VALUE(RIGHT(J297,2))-1,""))</f>
        <v/>
      </c>
      <c r="N297" s="124">
        <f>IF(OR(K297="",M297=""),"",CEILING((K297-M297)/30,1))</f>
        <v/>
      </c>
      <c r="O297" s="124" t="inlineStr">
        <is>
          <t>قطعات تزئینی - شکستگی/کسری (تعویض)</t>
        </is>
      </c>
      <c r="P297" s="124" t="inlineStr">
        <is>
          <t>MINI دستگيره درب يخچال</t>
        </is>
      </c>
      <c r="Q297" s="124" t="n"/>
      <c r="R297" s="178">
        <f>IF(O297="تعویض کامل دستگاه (Replacement)",IF(SUMIF('قیمت‌ها و مفروضات'!$A$9:$A$13,C297,'قیمت‌ها و مفروضات'!$C$9:$C$13)&lt;&gt;0,SUMIF('قیمت‌ها و مفروضات'!$A$9:$A$13,C297,'قیمت‌ها و مفروضات'!$C$9:$C$13),SUMIF('قیمت‌ها و مفروضات'!$A$9:$A$13,C297,'قیمت‌ها و مفروضات'!$B$9:$B$13)),IF(SUMIF('قیمت‌ها و مفروضات'!$A$18:$A$63,O297,'قیمت‌ها و مفروضات'!$C$18:$C$63)&lt;&gt;0,SUMIF('قیمت‌ها و مفروضات'!$A$18:$A$63,O297,'قیمت‌ها و مفروضات'!$C$18:$C$63),SUMIF('قیمت‌ها و مفروضات'!$A$18:$A$63,O297,'قیمت‌ها و مفروضات'!$B$18:$B$63)))</f>
        <v/>
      </c>
      <c r="S297" s="178">
        <f>'قیمت‌ها و مفروضات'!$B$3+'قیمت‌ها و مفروضات'!$B$4</f>
        <v/>
      </c>
      <c r="T297" s="178">
        <f>R297+S297</f>
        <v/>
      </c>
      <c r="U297" s="178">
        <f>IF(COUNTIF($E$2:E297,E297)&gt;1,"بله (تکراری)","خیر")</f>
        <v/>
      </c>
      <c r="V297" s="176">
        <f>IF(U297="بله (تکراری)",S297,0)</f>
        <v/>
      </c>
      <c r="W297" s="176" t="inlineStr">
        <is>
          <t>حسين بابايي همت آبادي/ کد 1720</t>
        </is>
      </c>
      <c r="X297" s="176" t="inlineStr">
        <is>
          <t>تهران - منطقه 5</t>
        </is>
      </c>
    </row>
    <row r="298" ht="58.5" customHeight="1" s="151">
      <c r="A298" s="176" t="n">
        <v>210017095</v>
      </c>
      <c r="B298" s="124">
        <f>CHOOSE(_xlfn.NUMBERVALUE(MID(H298,6,2)),"فروردین","اردیبهشت","خرداد","تیر","مرداد","شهریور","مهر","آبان","آذر","دی","بهمن","اسفند")</f>
        <v/>
      </c>
      <c r="C298" s="176" t="inlineStr">
        <is>
          <t>ماشين ظرفشويي</t>
        </is>
      </c>
      <c r="D298" s="176" t="inlineStr">
        <is>
          <t>CDW-H16TS1</t>
        </is>
      </c>
      <c r="E298" s="176" t="inlineStr">
        <is>
          <t>52220004N02221</t>
        </is>
      </c>
      <c r="F298" s="173" t="inlineStr">
        <is>
          <t>خطاي F1**اياب و ذهاب به عهده شرکت</t>
        </is>
      </c>
      <c r="G298" s="173" t="inlineStr">
        <is>
          <t xml:space="preserve">غیر گارانتی </t>
        </is>
      </c>
      <c r="H298" s="176" t="inlineStr">
        <is>
          <t>1405/05/04</t>
        </is>
      </c>
      <c r="I298" s="176" t="inlineStr">
        <is>
          <t>1404/01/21</t>
        </is>
      </c>
      <c r="J298" s="176" t="inlineStr">
        <is>
          <t>1404/05/11</t>
        </is>
      </c>
      <c r="K298" s="177">
        <f>IFERROR(VLOOKUP(LEFT(H298,7),'تبدیل تاریخ'!$A$2:$B$73,2,FALSE())+VALUE(RIGHT(H298,2))-1,"")</f>
        <v/>
      </c>
      <c r="L298" s="177">
        <f>IFERROR(VLOOKUP(LEFT(I298,7),'تبدیل تاریخ'!$A$2:$B$73,2,FALSE())+VALUE(RIGHT(I298,2))-1,"")</f>
        <v/>
      </c>
      <c r="M298" s="177">
        <f>IF(J298="","",IFERROR(VLOOKUP(LEFT(J298,7),'تبدیل تاریخ'!$A$2:$B$73,2,FALSE())+VALUE(RIGHT(J298,2))-1,""))</f>
        <v/>
      </c>
      <c r="N298" s="124">
        <f>IF(OR(K298="",M298=""),"",CEILING((K298-M298)/30,1))</f>
        <v/>
      </c>
      <c r="O298" s="124" t="inlineStr">
        <is>
          <t>غیرگارانتی/بدون قطعه</t>
        </is>
      </c>
      <c r="P298" s="124" t="inlineStr">
        <is>
          <t>*</t>
        </is>
      </c>
      <c r="Q298" s="124" t="n"/>
      <c r="R298" s="178">
        <f>IF(O298="تعویض کامل دستگاه (Replacement)",IF(SUMIF('قیمت‌ها و مفروضات'!$A$9:$A$13,C298,'قیمت‌ها و مفروضات'!$C$9:$C$13)&lt;&gt;0,SUMIF('قیمت‌ها و مفروضات'!$A$9:$A$13,C298,'قیمت‌ها و مفروضات'!$C$9:$C$13),SUMIF('قیمت‌ها و مفروضات'!$A$9:$A$13,C298,'قیمت‌ها و مفروضات'!$B$9:$B$13)),IF(SUMIF('قیمت‌ها و مفروضات'!$A$18:$A$63,O298,'قیمت‌ها و مفروضات'!$C$18:$C$63)&lt;&gt;0,SUMIF('قیمت‌ها و مفروضات'!$A$18:$A$63,O298,'قیمت‌ها و مفروضات'!$C$18:$C$63),SUMIF('قیمت‌ها و مفروضات'!$A$18:$A$63,O298,'قیمت‌ها و مفروضات'!$B$18:$B$63)))</f>
        <v/>
      </c>
      <c r="S298" s="178">
        <f>'قیمت‌ها و مفروضات'!$B$3+'قیمت‌ها و مفروضات'!$B$4</f>
        <v/>
      </c>
      <c r="T298" s="178">
        <f>R298+S298</f>
        <v/>
      </c>
      <c r="U298" s="178">
        <f>IF(COUNTIF($E$2:E298,E298)&gt;1,"بله (تکراری)","خیر")</f>
        <v/>
      </c>
      <c r="V298" s="176">
        <f>IF(U298="بله (تکراری)",S298,0)</f>
        <v/>
      </c>
      <c r="W298" s="176" t="inlineStr">
        <is>
          <t>صالح غفاري توران /کد 1708</t>
        </is>
      </c>
      <c r="X298" s="176" t="inlineStr">
        <is>
          <t>بومهن</t>
        </is>
      </c>
    </row>
    <row r="299" ht="58.5" customHeight="1" s="151">
      <c r="A299" s="176" t="n">
        <v>310006831</v>
      </c>
      <c r="B299" s="124">
        <f>CHOOSE(_xlfn.NUMBERVALUE(MID(H299,6,2)),"فروردین","اردیبهشت","خرداد","تیر","مرداد","شهریور","مهر","آبان","آذر","دی","بهمن","اسفند")</f>
        <v/>
      </c>
      <c r="C299" s="176" t="inlineStr">
        <is>
          <t>ماشين ظرفشويي</t>
        </is>
      </c>
      <c r="D299" s="176" t="inlineStr">
        <is>
          <t>CDW-H16TW1</t>
        </is>
      </c>
      <c r="E299" s="176" t="inlineStr">
        <is>
          <t>52220005N02589</t>
        </is>
      </c>
      <c r="F299" s="173" t="inlineStr">
        <is>
          <t>زنگ زدگی **اياب و ذهاب به عهده شرکت</t>
        </is>
      </c>
      <c r="G299" s="173" t="inlineStr">
        <is>
          <t xml:space="preserve">زنگ زدگی سبد ظرفشویی </t>
        </is>
      </c>
      <c r="H299" s="176" t="inlineStr">
        <is>
          <t>1405/05/03</t>
        </is>
      </c>
      <c r="I299" s="176" t="inlineStr">
        <is>
          <t>1404/02/02</t>
        </is>
      </c>
      <c r="J299" s="176" t="inlineStr">
        <is>
          <t>1404/07/13</t>
        </is>
      </c>
      <c r="K299" s="177">
        <f>IFERROR(VLOOKUP(LEFT(H299,7),'تبدیل تاریخ'!$A$2:$B$73,2,FALSE())+VALUE(RIGHT(H299,2))-1,"")</f>
        <v/>
      </c>
      <c r="L299" s="177">
        <f>IFERROR(VLOOKUP(LEFT(I299,7),'تبدیل تاریخ'!$A$2:$B$73,2,FALSE())+VALUE(RIGHT(I299,2))-1,"")</f>
        <v/>
      </c>
      <c r="M299" s="177">
        <f>IF(J299="","",IFERROR(VLOOKUP(LEFT(J299,7),'تبدیل تاریخ'!$A$2:$B$73,2,FALSE())+VALUE(RIGHT(J299,2))-1,""))</f>
        <v/>
      </c>
      <c r="N299" s="124">
        <f>IF(OR(K299="",M299=""),"",CEILING((K299-M299)/30,1))</f>
        <v/>
      </c>
      <c r="O299" s="124" t="inlineStr">
        <is>
          <t>زنگ‌زدگی بدنه/قطعه (تعویض)</t>
        </is>
      </c>
      <c r="P299" s="124" t="inlineStr">
        <is>
          <t>DW-HS-16 سبد پايين ماشين ظرفشويي</t>
        </is>
      </c>
      <c r="Q299" s="124" t="n"/>
      <c r="R299" s="178">
        <f>IF(O299="تعویض کامل دستگاه (Replacement)",IF(SUMIF('قیمت‌ها و مفروضات'!$A$9:$A$13,C299,'قیمت‌ها و مفروضات'!$C$9:$C$13)&lt;&gt;0,SUMIF('قیمت‌ها و مفروضات'!$A$9:$A$13,C299,'قیمت‌ها و مفروضات'!$C$9:$C$13),SUMIF('قیمت‌ها و مفروضات'!$A$9:$A$13,C299,'قیمت‌ها و مفروضات'!$B$9:$B$13)),IF(SUMIF('قیمت‌ها و مفروضات'!$A$18:$A$63,O299,'قیمت‌ها و مفروضات'!$C$18:$C$63)&lt;&gt;0,SUMIF('قیمت‌ها و مفروضات'!$A$18:$A$63,O299,'قیمت‌ها و مفروضات'!$C$18:$C$63),SUMIF('قیمت‌ها و مفروضات'!$A$18:$A$63,O299,'قیمت‌ها و مفروضات'!$B$18:$B$63)))</f>
        <v/>
      </c>
      <c r="S299" s="178">
        <f>'قیمت‌ها و مفروضات'!$B$3+'قیمت‌ها و مفروضات'!$B$4</f>
        <v/>
      </c>
      <c r="T299" s="178">
        <f>R299+S299</f>
        <v/>
      </c>
      <c r="U299" s="178">
        <f>IF(COUNTIF($E$2:E299,E299)&gt;1,"بله (تکراری)","خیر")</f>
        <v/>
      </c>
      <c r="V299" s="176">
        <f>IF(U299="بله (تکراری)",S299,0)</f>
        <v/>
      </c>
      <c r="W299" s="176" t="inlineStr">
        <is>
          <t>عليرضا اطهري/کد 4123</t>
        </is>
      </c>
      <c r="X299" s="176" t="inlineStr">
        <is>
          <t>يزد</t>
        </is>
      </c>
    </row>
    <row r="300" ht="58.5" customHeight="1" s="151">
      <c r="A300" s="176" t="n">
        <v>510022694</v>
      </c>
      <c r="B300" s="124">
        <f>CHOOSE(_xlfn.NUMBERVALUE(MID(H300,6,2)),"فروردین","اردیبهشت","خرداد","تیر","مرداد","شهریور","مهر","آبان","آذر","دی","بهمن","اسفند")</f>
        <v/>
      </c>
      <c r="C300" s="176" t="inlineStr">
        <is>
          <t>ماشين لباسشويي</t>
        </is>
      </c>
      <c r="D300" s="176" t="inlineStr">
        <is>
          <t>CWM-BMW8VI1</t>
        </is>
      </c>
      <c r="E300" s="176" t="inlineStr">
        <is>
          <t>52210004N01100</t>
        </is>
      </c>
      <c r="F300" s="173" t="inlineStr">
        <is>
          <t>خطاي UE ** اياب و ذهاب به عهده مشتري</t>
        </is>
      </c>
      <c r="G300" s="173" t="inlineStr">
        <is>
          <t xml:space="preserve">خرابي برد </t>
        </is>
      </c>
      <c r="H300" s="176" t="inlineStr">
        <is>
          <t>1405/05/01</t>
        </is>
      </c>
      <c r="I300" s="176" t="inlineStr">
        <is>
          <t>1404/02/23</t>
        </is>
      </c>
      <c r="J300" s="176" t="inlineStr">
        <is>
          <t>1404/04/26</t>
        </is>
      </c>
      <c r="K300" s="177">
        <f>IFERROR(VLOOKUP(LEFT(H300,7),'تبدیل تاریخ'!$A$2:$B$73,2,FALSE())+VALUE(RIGHT(H300,2))-1,"")</f>
        <v/>
      </c>
      <c r="L300" s="177">
        <f>IFERROR(VLOOKUP(LEFT(I300,7),'تبدیل تاریخ'!$A$2:$B$73,2,FALSE())+VALUE(RIGHT(I300,2))-1,"")</f>
        <v/>
      </c>
      <c r="M300" s="177">
        <f>IF(J300="","",IFERROR(VLOOKUP(LEFT(J300,7),'تبدیل تاریخ'!$A$2:$B$73,2,FALSE())+VALUE(RIGHT(J300,2))-1,""))</f>
        <v/>
      </c>
      <c r="N300" s="124">
        <f>IF(OR(K300="",M300=""),"",CEILING((K300-M300)/30,1))</f>
        <v/>
      </c>
      <c r="O300" s="124" t="inlineStr">
        <is>
          <t>خرابی - برد الکترونیک (تعویض)</t>
        </is>
      </c>
      <c r="P300" s="124" t="inlineStr">
        <is>
          <t>BMW-8V برد ماشین لباسشویی</t>
        </is>
      </c>
      <c r="Q300" s="124" t="n"/>
      <c r="R300" s="178">
        <f>IF(O300="تعویض کامل دستگاه (Replacement)",IF(SUMIF('قیمت‌ها و مفروضات'!$A$9:$A$13,C300,'قیمت‌ها و مفروضات'!$C$9:$C$13)&lt;&gt;0,SUMIF('قیمت‌ها و مفروضات'!$A$9:$A$13,C300,'قیمت‌ها و مفروضات'!$C$9:$C$13),SUMIF('قیمت‌ها و مفروضات'!$A$9:$A$13,C300,'قیمت‌ها و مفروضات'!$B$9:$B$13)),IF(SUMIF('قیمت‌ها و مفروضات'!$A$18:$A$63,O300,'قیمت‌ها و مفروضات'!$C$18:$C$63)&lt;&gt;0,SUMIF('قیمت‌ها و مفروضات'!$A$18:$A$63,O300,'قیمت‌ها و مفروضات'!$C$18:$C$63),SUMIF('قیمت‌ها و مفروضات'!$A$18:$A$63,O300,'قیمت‌ها و مفروضات'!$B$18:$B$63)))</f>
        <v/>
      </c>
      <c r="S300" s="178">
        <f>'قیمت‌ها و مفروضات'!$B$3+'قیمت‌ها و مفروضات'!$B$4</f>
        <v/>
      </c>
      <c r="T300" s="178">
        <f>R300+S300</f>
        <v/>
      </c>
      <c r="U300" s="178">
        <f>IF(COUNTIF($E$2:E300,E300)&gt;1,"بله (تکراری)","خیر")</f>
        <v/>
      </c>
      <c r="V300" s="176">
        <f>IF(U300="بله (تکراری)",S300,0)</f>
        <v/>
      </c>
      <c r="W300" s="176" t="inlineStr">
        <is>
          <t>حسن وقاري/ کد4045</t>
        </is>
      </c>
      <c r="X300" s="176" t="inlineStr">
        <is>
          <t>بجنورد</t>
        </is>
      </c>
    </row>
    <row r="301" ht="58.5" customHeight="1" s="151">
      <c r="A301" s="176" t="n">
        <v>310006922</v>
      </c>
      <c r="B301" s="124">
        <f>CHOOSE(_xlfn.NUMBERVALUE(MID(H301,6,2)),"فروردین","اردیبهشت","خرداد","تیر","مرداد","شهریور","مهر","آبان","آذر","دی","بهمن","اسفند")</f>
        <v/>
      </c>
      <c r="C301" s="176" t="inlineStr">
        <is>
          <t>ماشين لباسشويي</t>
        </is>
      </c>
      <c r="D301" s="176" t="inlineStr">
        <is>
          <t>CWM-BMW9TW1</t>
        </is>
      </c>
      <c r="E301" s="176" t="inlineStr">
        <is>
          <t>52210007N00806</t>
        </is>
      </c>
      <c r="F301" s="173" t="inlineStr">
        <is>
          <t>صداي غيرعادي هنگام خشک کن**اياب و ذهاب به عهده مشتري</t>
        </is>
      </c>
      <c r="G301" s="173" t="inlineStr">
        <is>
          <t>تراز پايه تنظيم</t>
        </is>
      </c>
      <c r="H301" s="176" t="inlineStr">
        <is>
          <t>1405/05/04</t>
        </is>
      </c>
      <c r="I301" s="176" t="inlineStr">
        <is>
          <t>1404/03/03</t>
        </is>
      </c>
      <c r="J301" s="176" t="inlineStr">
        <is>
          <t>1404/03/17</t>
        </is>
      </c>
      <c r="K301" s="177">
        <f>IFERROR(VLOOKUP(LEFT(H301,7),'تبدیل تاریخ'!$A$2:$B$73,2,FALSE())+VALUE(RIGHT(H301,2))-1,"")</f>
        <v/>
      </c>
      <c r="L301" s="177">
        <f>IFERROR(VLOOKUP(LEFT(I301,7),'تبدیل تاریخ'!$A$2:$B$73,2,FALSE())+VALUE(RIGHT(I301,2))-1,"")</f>
        <v/>
      </c>
      <c r="M301" s="177">
        <f>IF(J301="","",IFERROR(VLOOKUP(LEFT(J301,7),'تبدیل تاریخ'!$A$2:$B$73,2,FALSE())+VALUE(RIGHT(J301,2))-1,""))</f>
        <v/>
      </c>
      <c r="N301" s="124">
        <f>IF(OR(K301="",M301=""),"",CEILING((K301-M301)/30,1))</f>
        <v/>
      </c>
      <c r="O301" s="124" t="inlineStr">
        <is>
          <t>تراز/لرزش - نصب (رگلاژ پایه)</t>
        </is>
      </c>
      <c r="P301" s="124" t="inlineStr">
        <is>
          <t>*</t>
        </is>
      </c>
      <c r="Q301" s="124" t="n"/>
      <c r="R301" s="178">
        <f>IF(O301="تعویض کامل دستگاه (Replacement)",IF(SUMIF('قیمت‌ها و مفروضات'!$A$9:$A$13,C301,'قیمت‌ها و مفروضات'!$C$9:$C$13)&lt;&gt;0,SUMIF('قیمت‌ها و مفروضات'!$A$9:$A$13,C301,'قیمت‌ها و مفروضات'!$C$9:$C$13),SUMIF('قیمت‌ها و مفروضات'!$A$9:$A$13,C301,'قیمت‌ها و مفروضات'!$B$9:$B$13)),IF(SUMIF('قیمت‌ها و مفروضات'!$A$18:$A$63,O301,'قیمت‌ها و مفروضات'!$C$18:$C$63)&lt;&gt;0,SUMIF('قیمت‌ها و مفروضات'!$A$18:$A$63,O301,'قیمت‌ها و مفروضات'!$C$18:$C$63),SUMIF('قیمت‌ها و مفروضات'!$A$18:$A$63,O301,'قیمت‌ها و مفروضات'!$B$18:$B$63)))</f>
        <v/>
      </c>
      <c r="S301" s="178">
        <f>'قیمت‌ها و مفروضات'!$B$3+'قیمت‌ها و مفروضات'!$B$4</f>
        <v/>
      </c>
      <c r="T301" s="178">
        <f>R301+S301</f>
        <v/>
      </c>
      <c r="U301" s="178">
        <f>IF(COUNTIF($E$2:E301,E301)&gt;1,"بله (تکراری)","خیر")</f>
        <v/>
      </c>
      <c r="V301" s="176">
        <f>IF(U301="بله (تکراری)",S301,0)</f>
        <v/>
      </c>
      <c r="W301" s="176" t="inlineStr">
        <is>
          <t>قاسم ناصري/کد2265</t>
        </is>
      </c>
      <c r="X301" s="176" t="inlineStr">
        <is>
          <t>آبادان</t>
        </is>
      </c>
    </row>
    <row r="302" ht="58.5" customHeight="1" s="151">
      <c r="A302" s="176" t="n">
        <v>210017334</v>
      </c>
      <c r="B302" s="124">
        <f>CHOOSE(_xlfn.NUMBERVALUE(MID(H302,6,2)),"فروردین","اردیبهشت","خرداد","تیر","مرداد","شهریور","مهر","آبان","آذر","دی","بهمن","اسفند")</f>
        <v/>
      </c>
      <c r="C302" s="176" t="inlineStr">
        <is>
          <t>ماشين ظرفشويي</t>
        </is>
      </c>
      <c r="D302" s="176" t="inlineStr">
        <is>
          <t>CDW-H16TW1</t>
        </is>
      </c>
      <c r="E302" s="176" t="inlineStr">
        <is>
          <t>52220005N02989</t>
        </is>
      </c>
      <c r="F302" s="173" t="inlineStr">
        <is>
          <t>بسته نشدن درب**عدم عملکرد کليدهاي ديسپلي**اياب و ذهاب به عهده شرکت</t>
        </is>
      </c>
      <c r="G302" s="173" t="inlineStr">
        <is>
          <t>پايين بودن میکروسوئیچ درب</t>
        </is>
      </c>
      <c r="H302" s="176" t="inlineStr">
        <is>
          <t>1405/05/05</t>
        </is>
      </c>
      <c r="I302" s="176" t="inlineStr">
        <is>
          <t>1404/03/07</t>
        </is>
      </c>
      <c r="J302" s="176" t="inlineStr">
        <is>
          <t>1405/03/23</t>
        </is>
      </c>
      <c r="K302" s="177">
        <f>IFERROR(VLOOKUP(LEFT(H302,7),'تبدیل تاریخ'!$A$2:$B$73,2,FALSE())+VALUE(RIGHT(H302,2))-1,"")</f>
        <v/>
      </c>
      <c r="L302" s="177">
        <f>IFERROR(VLOOKUP(LEFT(I302,7),'تبدیل تاریخ'!$A$2:$B$73,2,FALSE())+VALUE(RIGHT(I302,2))-1,"")</f>
        <v/>
      </c>
      <c r="M302" s="177">
        <f>IF(J302="","",IFERROR(VLOOKUP(LEFT(J302,7),'تبدیل تاریخ'!$A$2:$B$73,2,FALSE())+VALUE(RIGHT(J302,2))-1,""))</f>
        <v/>
      </c>
      <c r="N302" s="124">
        <f>IF(OR(K302="",M302=""),"",CEILING((K302-M302)/30,1))</f>
        <v/>
      </c>
      <c r="O302" s="124" t="inlineStr">
        <is>
          <t>مکانیزم درب - میکروسوئیچ/قلاب (تعویض/تنظیم)</t>
        </is>
      </c>
      <c r="P302" s="124" t="inlineStr">
        <is>
          <t>*</t>
        </is>
      </c>
      <c r="Q302" s="124" t="n"/>
      <c r="R302" s="178">
        <f>IF(O302="تعویض کامل دستگاه (Replacement)",IF(SUMIF('قیمت‌ها و مفروضات'!$A$9:$A$13,C302,'قیمت‌ها و مفروضات'!$C$9:$C$13)&lt;&gt;0,SUMIF('قیمت‌ها و مفروضات'!$A$9:$A$13,C302,'قیمت‌ها و مفروضات'!$C$9:$C$13),SUMIF('قیمت‌ها و مفروضات'!$A$9:$A$13,C302,'قیمت‌ها و مفروضات'!$B$9:$B$13)),IF(SUMIF('قیمت‌ها و مفروضات'!$A$18:$A$63,O302,'قیمت‌ها و مفروضات'!$C$18:$C$63)&lt;&gt;0,SUMIF('قیمت‌ها و مفروضات'!$A$18:$A$63,O302,'قیمت‌ها و مفروضات'!$C$18:$C$63),SUMIF('قیمت‌ها و مفروضات'!$A$18:$A$63,O302,'قیمت‌ها و مفروضات'!$B$18:$B$63)))</f>
        <v/>
      </c>
      <c r="S302" s="178">
        <f>'قیمت‌ها و مفروضات'!$B$3+'قیمت‌ها و مفروضات'!$B$4</f>
        <v/>
      </c>
      <c r="T302" s="178">
        <f>R302+S302</f>
        <v/>
      </c>
      <c r="U302" s="178">
        <f>IF(COUNTIF($E$2:E302,E302)&gt;1,"بله (تکراری)","خیر")</f>
        <v/>
      </c>
      <c r="V302" s="176">
        <f>IF(U302="بله (تکراری)",S302,0)</f>
        <v/>
      </c>
      <c r="W302" s="176" t="inlineStr">
        <is>
          <t>مصطفي شفيعي / کد 1732 - لوازم خانگي</t>
        </is>
      </c>
      <c r="X302" s="176" t="inlineStr">
        <is>
          <t>تهران - منطقه 14</t>
        </is>
      </c>
    </row>
    <row r="303" ht="58.5" customHeight="1" s="151">
      <c r="A303" s="176" t="n">
        <v>210018440</v>
      </c>
      <c r="B303" s="124">
        <f>CHOOSE(_xlfn.NUMBERVALUE(MID(H303,6,2)),"فروردین","اردیبهشت","خرداد","تیر","مرداد","شهریور","مهر","آبان","آذر","دی","بهمن","اسفند")</f>
        <v/>
      </c>
      <c r="C303" s="176" t="inlineStr">
        <is>
          <t>يخچال ميني</t>
        </is>
      </c>
      <c r="D303" s="176" t="inlineStr">
        <is>
          <t>CM-RS5BL1</t>
        </is>
      </c>
      <c r="E303" s="176" t="inlineStr">
        <is>
          <t>52240005N00063</t>
        </is>
      </c>
      <c r="F303" s="173" t="inlineStr">
        <is>
          <t>خاموش بودن LED کاور / سقفي**مجدد**اياب و ذهاب به عهده شرکت</t>
        </is>
      </c>
      <c r="G303" s="173" t="inlineStr">
        <is>
          <t>خرابی LED</t>
        </is>
      </c>
      <c r="H303" s="176" t="inlineStr">
        <is>
          <t>1405/05/12</t>
        </is>
      </c>
      <c r="I303" s="176" t="inlineStr">
        <is>
          <t>1404/04/22</t>
        </is>
      </c>
      <c r="J303" s="176" t="inlineStr">
        <is>
          <t>1404/08/04</t>
        </is>
      </c>
      <c r="K303" s="177">
        <f>IFERROR(VLOOKUP(LEFT(H303,7),'تبدیل تاریخ'!$A$2:$B$73,2,FALSE())+VALUE(RIGHT(H303,2))-1,"")</f>
        <v/>
      </c>
      <c r="L303" s="177">
        <f>IFERROR(VLOOKUP(LEFT(I303,7),'تبدیل تاریخ'!$A$2:$B$73,2,FALSE())+VALUE(RIGHT(I303,2))-1,"")</f>
        <v/>
      </c>
      <c r="M303" s="177">
        <f>IF(J303="","",IFERROR(VLOOKUP(LEFT(J303,7),'تبدیل تاریخ'!$A$2:$B$73,2,FALSE())+VALUE(RIGHT(J303,2))-1,""))</f>
        <v/>
      </c>
      <c r="N303" s="124">
        <f>IF(OR(K303="",M303=""),"",CEILING((K303-M303)/30,1))</f>
        <v/>
      </c>
      <c r="O303" s="124" t="inlineStr">
        <is>
          <t>خرابی - لامپ/LED داخلی (تعویض)</t>
        </is>
      </c>
      <c r="P303" s="124" t="inlineStr">
        <is>
          <t>MINI LED یخچال</t>
        </is>
      </c>
      <c r="Q303" s="124" t="n"/>
      <c r="R303" s="178">
        <f>IF(O303="تعویض کامل دستگاه (Replacement)",IF(SUMIF('قیمت‌ها و مفروضات'!$A$9:$A$13,C303,'قیمت‌ها و مفروضات'!$C$9:$C$13)&lt;&gt;0,SUMIF('قیمت‌ها و مفروضات'!$A$9:$A$13,C303,'قیمت‌ها و مفروضات'!$C$9:$C$13),SUMIF('قیمت‌ها و مفروضات'!$A$9:$A$13,C303,'قیمت‌ها و مفروضات'!$B$9:$B$13)),IF(SUMIF('قیمت‌ها و مفروضات'!$A$18:$A$63,O303,'قیمت‌ها و مفروضات'!$C$18:$C$63)&lt;&gt;0,SUMIF('قیمت‌ها و مفروضات'!$A$18:$A$63,O303,'قیمت‌ها و مفروضات'!$C$18:$C$63),SUMIF('قیمت‌ها و مفروضات'!$A$18:$A$63,O303,'قیمت‌ها و مفروضات'!$B$18:$B$63)))</f>
        <v/>
      </c>
      <c r="S303" s="178">
        <f>'قیمت‌ها و مفروضات'!$B$3+'قیمت‌ها و مفروضات'!$B$4</f>
        <v/>
      </c>
      <c r="T303" s="178">
        <f>R303+S303</f>
        <v/>
      </c>
      <c r="U303" s="178">
        <f>IF(COUNTIF($E$2:E303,E303)&gt;1,"بله (تکراری)","خیر")</f>
        <v/>
      </c>
      <c r="V303" s="176">
        <f>IF(U303="بله (تکراری)",S303,0)</f>
        <v/>
      </c>
      <c r="W303" s="176" t="inlineStr">
        <is>
          <t>حسين بابايي همت آبادي/ کد 1720</t>
        </is>
      </c>
      <c r="X303" s="176" t="inlineStr">
        <is>
          <t>تهران - منطقه 2</t>
        </is>
      </c>
    </row>
    <row r="304" ht="58.5" customHeight="1" s="151">
      <c r="A304" s="176" t="n">
        <v>210019486</v>
      </c>
      <c r="B304" s="124">
        <f>CHOOSE(_xlfn.NUMBERVALUE(MID(H304,6,2)),"فروردین","اردیبهشت","خرداد","تیر","مرداد","شهریور","مهر","آبان","آذر","دی","بهمن","اسفند")</f>
        <v/>
      </c>
      <c r="C304" s="176" t="inlineStr">
        <is>
          <t>ماشين لباسشويي</t>
        </is>
      </c>
      <c r="D304" s="176" t="inlineStr">
        <is>
          <t>CWM-BMW8TW2</t>
        </is>
      </c>
      <c r="E304" s="176" t="inlineStr">
        <is>
          <t>52210009N01216</t>
        </is>
      </c>
      <c r="F304" s="173" t="inlineStr">
        <is>
          <t>عدم عملکرد کليدهاي ديسپلي**اياب و ذهاب به عهده شرکت</t>
        </is>
      </c>
      <c r="G304" s="173" t="inlineStr">
        <is>
          <t>خرابي برد نمایشگر</t>
        </is>
      </c>
      <c r="H304" s="176" t="inlineStr">
        <is>
          <t>1405/05/19</t>
        </is>
      </c>
      <c r="I304" s="176" t="inlineStr">
        <is>
          <t>1404/04/22</t>
        </is>
      </c>
      <c r="J304" s="176" t="inlineStr">
        <is>
          <t>1404/07/09</t>
        </is>
      </c>
      <c r="K304" s="177">
        <f>IFERROR(VLOOKUP(LEFT(H304,7),'تبدیل تاریخ'!$A$2:$B$73,2,FALSE())+VALUE(RIGHT(H304,2))-1,"")</f>
        <v/>
      </c>
      <c r="L304" s="177">
        <f>IFERROR(VLOOKUP(LEFT(I304,7),'تبدیل تاریخ'!$A$2:$B$73,2,FALSE())+VALUE(RIGHT(I304,2))-1,"")</f>
        <v/>
      </c>
      <c r="M304" s="177">
        <f>IF(J304="","",IFERROR(VLOOKUP(LEFT(J304,7),'تبدیل تاریخ'!$A$2:$B$73,2,FALSE())+VALUE(RIGHT(J304,2))-1,""))</f>
        <v/>
      </c>
      <c r="N304" s="124">
        <f>IF(OR(K304="",M304=""),"",CEILING((K304-M304)/30,1))</f>
        <v/>
      </c>
      <c r="O304" s="124" t="inlineStr">
        <is>
          <t>خرابی - برد الکترونیک (تعویض)</t>
        </is>
      </c>
      <c r="P304" s="124" t="inlineStr">
        <is>
          <t>BMW-9T برد نمايشگر ماشين لباسشويي</t>
        </is>
      </c>
      <c r="Q304" s="124" t="n"/>
      <c r="R304" s="178">
        <f>IF(O304="تعویض کامل دستگاه (Replacement)",IF(SUMIF('قیمت‌ها و مفروضات'!$A$9:$A$13,C304,'قیمت‌ها و مفروضات'!$C$9:$C$13)&lt;&gt;0,SUMIF('قیمت‌ها و مفروضات'!$A$9:$A$13,C304,'قیمت‌ها و مفروضات'!$C$9:$C$13),SUMIF('قیمت‌ها و مفروضات'!$A$9:$A$13,C304,'قیمت‌ها و مفروضات'!$B$9:$B$13)),IF(SUMIF('قیمت‌ها و مفروضات'!$A$18:$A$63,O304,'قیمت‌ها و مفروضات'!$C$18:$C$63)&lt;&gt;0,SUMIF('قیمت‌ها و مفروضات'!$A$18:$A$63,O304,'قیمت‌ها و مفروضات'!$C$18:$C$63),SUMIF('قیمت‌ها و مفروضات'!$A$18:$A$63,O304,'قیمت‌ها و مفروضات'!$B$18:$B$63)))</f>
        <v/>
      </c>
      <c r="S304" s="178">
        <f>'قیمت‌ها و مفروضات'!$B$3+'قیمت‌ها و مفروضات'!$B$4</f>
        <v/>
      </c>
      <c r="T304" s="178">
        <f>R304+S304</f>
        <v/>
      </c>
      <c r="U304" s="178">
        <f>IF(COUNTIF($E$2:E304,E304)&gt;1,"بله (تکراری)","خیر")</f>
        <v/>
      </c>
      <c r="V304" s="176">
        <f>IF(U304="بله (تکراری)",S304,0)</f>
        <v/>
      </c>
      <c r="W304" s="176" t="inlineStr">
        <is>
          <t>مصطفي شفيعي / کد 1732 - لوازم خانگي</t>
        </is>
      </c>
      <c r="X304" s="176" t="inlineStr">
        <is>
          <t>تهران - منطقه 14</t>
        </is>
      </c>
    </row>
    <row r="305" ht="58.5" customHeight="1" s="151">
      <c r="A305" s="176" t="n">
        <v>210018459</v>
      </c>
      <c r="B305" s="124">
        <f>CHOOSE(_xlfn.NUMBERVALUE(MID(H305,6,2)),"فروردین","اردیبهشت","خرداد","تیر","مرداد","شهریور","مهر","آبان","آذر","دی","بهمن","اسفند")</f>
        <v/>
      </c>
      <c r="C305" s="176" t="inlineStr">
        <is>
          <t>ماشين لباسشويي</t>
        </is>
      </c>
      <c r="D305" s="176" t="inlineStr">
        <is>
          <t>CWM-BMW8TW2</t>
        </is>
      </c>
      <c r="E305" s="176" t="inlineStr">
        <is>
          <t>52210009N01247</t>
        </is>
      </c>
      <c r="F305" s="173" t="inlineStr">
        <is>
          <t>ريست ديسپلي**اياب و ذهاب به عهده شرکت</t>
        </is>
      </c>
      <c r="G305" s="173" t="inlineStr">
        <is>
          <t>خرابي برد نمایشگر</t>
        </is>
      </c>
      <c r="H305" s="176" t="inlineStr">
        <is>
          <t>1405/05/12</t>
        </is>
      </c>
      <c r="I305" s="176" t="inlineStr">
        <is>
          <t>1404/04/22</t>
        </is>
      </c>
      <c r="J305" s="176" t="inlineStr">
        <is>
          <t>1405/02/26</t>
        </is>
      </c>
      <c r="K305" s="177">
        <f>IFERROR(VLOOKUP(LEFT(H305,7),'تبدیل تاریخ'!$A$2:$B$73,2,FALSE())+VALUE(RIGHT(H305,2))-1,"")</f>
        <v/>
      </c>
      <c r="L305" s="177">
        <f>IFERROR(VLOOKUP(LEFT(I305,7),'تبدیل تاریخ'!$A$2:$B$73,2,FALSE())+VALUE(RIGHT(I305,2))-1,"")</f>
        <v/>
      </c>
      <c r="M305" s="177">
        <f>IF(J305="","",IFERROR(VLOOKUP(LEFT(J305,7),'تبدیل تاریخ'!$A$2:$B$73,2,FALSE())+VALUE(RIGHT(J305,2))-1,""))</f>
        <v/>
      </c>
      <c r="N305" s="124">
        <f>IF(OR(K305="",M305=""),"",CEILING((K305-M305)/30,1))</f>
        <v/>
      </c>
      <c r="O305" s="124" t="inlineStr">
        <is>
          <t>خرابی - برد الکترونیک (تعویض)</t>
        </is>
      </c>
      <c r="P305" s="124" t="inlineStr">
        <is>
          <t>BMW-9T برد نمايشگر ماشين لباسشويي</t>
        </is>
      </c>
      <c r="Q305" s="124" t="n"/>
      <c r="R305" s="178">
        <f>IF(O305="تعویض کامل دستگاه (Replacement)",IF(SUMIF('قیمت‌ها و مفروضات'!$A$9:$A$13,C305,'قیمت‌ها و مفروضات'!$C$9:$C$13)&lt;&gt;0,SUMIF('قیمت‌ها و مفروضات'!$A$9:$A$13,C305,'قیمت‌ها و مفروضات'!$C$9:$C$13),SUMIF('قیمت‌ها و مفروضات'!$A$9:$A$13,C305,'قیمت‌ها و مفروضات'!$B$9:$B$13)),IF(SUMIF('قیمت‌ها و مفروضات'!$A$18:$A$63,O305,'قیمت‌ها و مفروضات'!$C$18:$C$63)&lt;&gt;0,SUMIF('قیمت‌ها و مفروضات'!$A$18:$A$63,O305,'قیمت‌ها و مفروضات'!$C$18:$C$63),SUMIF('قیمت‌ها و مفروضات'!$A$18:$A$63,O305,'قیمت‌ها و مفروضات'!$B$18:$B$63)))</f>
        <v/>
      </c>
      <c r="S305" s="178">
        <f>'قیمت‌ها و مفروضات'!$B$3+'قیمت‌ها و مفروضات'!$B$4</f>
        <v/>
      </c>
      <c r="T305" s="178">
        <f>R305+S305</f>
        <v/>
      </c>
      <c r="U305" s="178">
        <f>IF(COUNTIF($E$2:E305,E305)&gt;1,"بله (تکراری)","خیر")</f>
        <v/>
      </c>
      <c r="V305" s="176">
        <f>IF(U305="بله (تکراری)",S305,0)</f>
        <v/>
      </c>
      <c r="W305" s="176" t="inlineStr">
        <is>
          <t>اميد نوروزي کندلان/ کد 3645</t>
        </is>
      </c>
      <c r="X305" s="176" t="inlineStr">
        <is>
          <t>تنکابن</t>
        </is>
      </c>
    </row>
    <row r="306" ht="58.5" customHeight="1" s="151">
      <c r="A306" s="176" t="n">
        <v>210019670</v>
      </c>
      <c r="B306" s="124">
        <f>CHOOSE(_xlfn.NUMBERVALUE(MID(H306,6,2)),"فروردین","اردیبهشت","خرداد","تیر","مرداد","شهریور","مهر","آبان","آذر","دی","بهمن","اسفند")</f>
        <v/>
      </c>
      <c r="C306" s="176" t="inlineStr">
        <is>
          <t>ماشين لباسشويي</t>
        </is>
      </c>
      <c r="D306" s="176" t="inlineStr">
        <is>
          <t>CWM-BMW8TW2</t>
        </is>
      </c>
      <c r="E306" s="176" t="inlineStr">
        <is>
          <t>52210009N01248</t>
        </is>
      </c>
      <c r="F306" s="173" t="inlineStr">
        <is>
          <t>پارگي نوار دور درب**اياب و ذهاب به عهده شرکت</t>
        </is>
      </c>
      <c r="G306" s="173" t="inlineStr">
        <is>
          <t>پارگي نوار گسکت</t>
        </is>
      </c>
      <c r="H306" s="176" t="inlineStr">
        <is>
          <t>1405/05/20</t>
        </is>
      </c>
      <c r="I306" s="176" t="inlineStr">
        <is>
          <t>1404/04/22</t>
        </is>
      </c>
      <c r="J306" s="176" t="inlineStr">
        <is>
          <t>1404/06/17</t>
        </is>
      </c>
      <c r="K306" s="177">
        <f>IFERROR(VLOOKUP(LEFT(H306,7),'تبدیل تاریخ'!$A$2:$B$73,2,FALSE())+VALUE(RIGHT(H306,2))-1,"")</f>
        <v/>
      </c>
      <c r="L306" s="177">
        <f>IFERROR(VLOOKUP(LEFT(I306,7),'تبدیل تاریخ'!$A$2:$B$73,2,FALSE())+VALUE(RIGHT(I306,2))-1,"")</f>
        <v/>
      </c>
      <c r="M306" s="177">
        <f>IF(J306="","",IFERROR(VLOOKUP(LEFT(J306,7),'تبدیل تاریخ'!$A$2:$B$73,2,FALSE())+VALUE(RIGHT(J306,2))-1,""))</f>
        <v/>
      </c>
      <c r="N306" s="124">
        <f>IF(OR(K306="",M306=""),"",CEILING((K306-M306)/30,1))</f>
        <v/>
      </c>
      <c r="O306" s="124" t="inlineStr">
        <is>
          <t>لاستیک درزگیر - دفرمگی/پارگی (تعویض)</t>
        </is>
      </c>
      <c r="P306" s="124" t="inlineStr">
        <is>
          <t>نوار گسکت درب ماشين لباسشويي BMW 8T&amp;9T</t>
        </is>
      </c>
      <c r="Q306" s="124" t="n"/>
      <c r="R306" s="178">
        <f>IF(O306="تعویض کامل دستگاه (Replacement)",IF(SUMIF('قیمت‌ها و مفروضات'!$A$9:$A$13,C306,'قیمت‌ها و مفروضات'!$C$9:$C$13)&lt;&gt;0,SUMIF('قیمت‌ها و مفروضات'!$A$9:$A$13,C306,'قیمت‌ها و مفروضات'!$C$9:$C$13),SUMIF('قیمت‌ها و مفروضات'!$A$9:$A$13,C306,'قیمت‌ها و مفروضات'!$B$9:$B$13)),IF(SUMIF('قیمت‌ها و مفروضات'!$A$18:$A$63,O306,'قیمت‌ها و مفروضات'!$C$18:$C$63)&lt;&gt;0,SUMIF('قیمت‌ها و مفروضات'!$A$18:$A$63,O306,'قیمت‌ها و مفروضات'!$C$18:$C$63),SUMIF('قیمت‌ها و مفروضات'!$A$18:$A$63,O306,'قیمت‌ها و مفروضات'!$B$18:$B$63)))</f>
        <v/>
      </c>
      <c r="S306" s="178">
        <f>'قیمت‌ها و مفروضات'!$B$3+'قیمت‌ها و مفروضات'!$B$4</f>
        <v/>
      </c>
      <c r="T306" s="178">
        <f>R306+S306</f>
        <v/>
      </c>
      <c r="U306" s="178">
        <f>IF(COUNTIF($E$2:E306,E306)&gt;1,"بله (تکراری)","خیر")</f>
        <v/>
      </c>
      <c r="V306" s="176">
        <f>IF(U306="بله (تکراری)",S306,0)</f>
        <v/>
      </c>
      <c r="W306" s="176" t="inlineStr">
        <is>
          <t>رضا عباسي/کد2714 - شعبه دوم</t>
        </is>
      </c>
      <c r="X306" s="176" t="inlineStr">
        <is>
          <t>محمديه</t>
        </is>
      </c>
    </row>
    <row r="307" ht="58.5" customHeight="1" s="151">
      <c r="A307" s="176" t="n">
        <v>210018081</v>
      </c>
      <c r="B307" s="124">
        <f>CHOOSE(_xlfn.NUMBERVALUE(MID(H307,6,2)),"فروردین","اردیبهشت","خرداد","تیر","مرداد","شهریور","مهر","آبان","آذر","دی","بهمن","اسفند")</f>
        <v/>
      </c>
      <c r="C307" s="176" t="inlineStr">
        <is>
          <t>ماشين لباسشويي</t>
        </is>
      </c>
      <c r="D307" s="176" t="inlineStr">
        <is>
          <t>CWM-BMW8TI2</t>
        </is>
      </c>
      <c r="E307" s="176" t="inlineStr">
        <is>
          <t>52210010N01473</t>
        </is>
      </c>
      <c r="F307" s="173" t="inlineStr">
        <is>
          <t>صداي غيرعادي هنگام خشک کن**اياب و ذهاب به عهده شرکت</t>
        </is>
      </c>
      <c r="G307" s="173" t="inlineStr">
        <is>
          <t>تراز پايه تنظيم</t>
        </is>
      </c>
      <c r="H307" s="176" t="inlineStr">
        <is>
          <t>1405/05/10</t>
        </is>
      </c>
      <c r="I307" s="176" t="inlineStr">
        <is>
          <t>1404/04/28</t>
        </is>
      </c>
      <c r="J307" s="176" t="inlineStr">
        <is>
          <t>1404/05/27</t>
        </is>
      </c>
      <c r="K307" s="177">
        <f>IFERROR(VLOOKUP(LEFT(H307,7),'تبدیل تاریخ'!$A$2:$B$73,2,FALSE())+VALUE(RIGHT(H307,2))-1,"")</f>
        <v/>
      </c>
      <c r="L307" s="177">
        <f>IFERROR(VLOOKUP(LEFT(I307,7),'تبدیل تاریخ'!$A$2:$B$73,2,FALSE())+VALUE(RIGHT(I307,2))-1,"")</f>
        <v/>
      </c>
      <c r="M307" s="177">
        <f>IF(J307="","",IFERROR(VLOOKUP(LEFT(J307,7),'تبدیل تاریخ'!$A$2:$B$73,2,FALSE())+VALUE(RIGHT(J307,2))-1,""))</f>
        <v/>
      </c>
      <c r="N307" s="124">
        <f>IF(OR(K307="",M307=""),"",CEILING((K307-M307)/30,1))</f>
        <v/>
      </c>
      <c r="O307" s="124" t="inlineStr">
        <is>
          <t>تراز/لرزش - نصب (رگلاژ پایه)</t>
        </is>
      </c>
      <c r="P307" s="124" t="inlineStr">
        <is>
          <t>*</t>
        </is>
      </c>
      <c r="Q307" s="124" t="n"/>
      <c r="R307" s="178">
        <f>IF(O307="تعویض کامل دستگاه (Replacement)",IF(SUMIF('قیمت‌ها و مفروضات'!$A$9:$A$13,C307,'قیمت‌ها و مفروضات'!$C$9:$C$13)&lt;&gt;0,SUMIF('قیمت‌ها و مفروضات'!$A$9:$A$13,C307,'قیمت‌ها و مفروضات'!$C$9:$C$13),SUMIF('قیمت‌ها و مفروضات'!$A$9:$A$13,C307,'قیمت‌ها و مفروضات'!$B$9:$B$13)),IF(SUMIF('قیمت‌ها و مفروضات'!$A$18:$A$63,O307,'قیمت‌ها و مفروضات'!$C$18:$C$63)&lt;&gt;0,SUMIF('قیمت‌ها و مفروضات'!$A$18:$A$63,O307,'قیمت‌ها و مفروضات'!$C$18:$C$63),SUMIF('قیمت‌ها و مفروضات'!$A$18:$A$63,O307,'قیمت‌ها و مفروضات'!$B$18:$B$63)))</f>
        <v/>
      </c>
      <c r="S307" s="178">
        <f>'قیمت‌ها و مفروضات'!$B$3+'قیمت‌ها و مفروضات'!$B$4</f>
        <v/>
      </c>
      <c r="T307" s="178">
        <f>R307+S307</f>
        <v/>
      </c>
      <c r="U307" s="178">
        <f>IF(COUNTIF($E$2:E307,E307)&gt;1,"بله (تکراری)","خیر")</f>
        <v/>
      </c>
      <c r="V307" s="176">
        <f>IF(U307="بله (تکراری)",S307,0)</f>
        <v/>
      </c>
      <c r="W307" s="176" t="inlineStr">
        <is>
          <t>رضا مقصودي/ کد3781</t>
        </is>
      </c>
      <c r="X307" s="176" t="inlineStr">
        <is>
          <t>ساري</t>
        </is>
      </c>
    </row>
    <row r="308" ht="58.5" customHeight="1" s="151">
      <c r="A308" s="176" t="n">
        <v>210017071</v>
      </c>
      <c r="B308" s="124">
        <f>CHOOSE(_xlfn.NUMBERVALUE(MID(H308,6,2)),"فروردین","اردیبهشت","خرداد","تیر","مرداد","شهریور","مهر","آبان","آذر","دی","بهمن","اسفند")</f>
        <v/>
      </c>
      <c r="C308" s="176" t="inlineStr">
        <is>
          <t>ماشين لباسشويي</t>
        </is>
      </c>
      <c r="D308" s="176" t="inlineStr">
        <is>
          <t>CWM-BMW8VI1</t>
        </is>
      </c>
      <c r="E308" s="176" t="inlineStr">
        <is>
          <t>52210004N01381</t>
        </is>
      </c>
      <c r="F308" s="173" t="inlineStr">
        <is>
          <t>لرزش درب**اياب و ذهاب به عهده شرکت</t>
        </is>
      </c>
      <c r="G308" s="173" t="inlineStr">
        <is>
          <t>تراز پايه تنظيم</t>
        </is>
      </c>
      <c r="H308" s="176" t="inlineStr">
        <is>
          <t>1405/05/04</t>
        </is>
      </c>
      <c r="I308" s="176" t="inlineStr">
        <is>
          <t>1404/04/29</t>
        </is>
      </c>
      <c r="J308" s="176" t="inlineStr"/>
      <c r="K308" s="177">
        <f>IFERROR(VLOOKUP(LEFT(H308,7),'تبدیل تاریخ'!$A$2:$B$73,2,FALSE())+VALUE(RIGHT(H308,2))-1,"")</f>
        <v/>
      </c>
      <c r="L308" s="177">
        <f>IFERROR(VLOOKUP(LEFT(I308,7),'تبدیل تاریخ'!$A$2:$B$73,2,FALSE())+VALUE(RIGHT(I308,2))-1,"")</f>
        <v/>
      </c>
      <c r="M308" s="177">
        <f>IF(J308="","",IFERROR(VLOOKUP(LEFT(J308,7),'تبدیل تاریخ'!$A$2:$B$73,2,FALSE())+VALUE(RIGHT(J308,2))-1,""))</f>
        <v/>
      </c>
      <c r="N308" s="124">
        <f>IF(OR(K308="",M308=""),"",CEILING((K308-M308)/30,1))</f>
        <v/>
      </c>
      <c r="O308" s="124" t="inlineStr">
        <is>
          <t>تراز/لرزش - نصب (رگلاژ پایه)</t>
        </is>
      </c>
      <c r="P308" s="124" t="inlineStr">
        <is>
          <t>*</t>
        </is>
      </c>
      <c r="Q308" s="124" t="n"/>
      <c r="R308" s="178">
        <f>IF(O308="تعویض کامل دستگاه (Replacement)",IF(SUMIF('قیمت‌ها و مفروضات'!$A$9:$A$13,C308,'قیمت‌ها و مفروضات'!$C$9:$C$13)&lt;&gt;0,SUMIF('قیمت‌ها و مفروضات'!$A$9:$A$13,C308,'قیمت‌ها و مفروضات'!$C$9:$C$13),SUMIF('قیمت‌ها و مفروضات'!$A$9:$A$13,C308,'قیمت‌ها و مفروضات'!$B$9:$B$13)),IF(SUMIF('قیمت‌ها و مفروضات'!$A$18:$A$63,O308,'قیمت‌ها و مفروضات'!$C$18:$C$63)&lt;&gt;0,SUMIF('قیمت‌ها و مفروضات'!$A$18:$A$63,O308,'قیمت‌ها و مفروضات'!$C$18:$C$63),SUMIF('قیمت‌ها و مفروضات'!$A$18:$A$63,O308,'قیمت‌ها و مفروضات'!$B$18:$B$63)))</f>
        <v/>
      </c>
      <c r="S308" s="178">
        <f>'قیمت‌ها و مفروضات'!$B$3+'قیمت‌ها و مفروضات'!$B$4</f>
        <v/>
      </c>
      <c r="T308" s="178">
        <f>R308+S308</f>
        <v/>
      </c>
      <c r="U308" s="178">
        <f>IF(COUNTIF($E$2:E308,E308)&gt;1,"بله (تکراری)","خیر")</f>
        <v/>
      </c>
      <c r="V308" s="176">
        <f>IF(U308="بله (تکراری)",S308,0)</f>
        <v/>
      </c>
      <c r="W308" s="176" t="inlineStr">
        <is>
          <t>محمد علي سولقاني/ کد 51012T</t>
        </is>
      </c>
      <c r="X308" s="176" t="inlineStr">
        <is>
          <t>تهران - منطقه 2</t>
        </is>
      </c>
    </row>
    <row r="309" ht="58.5" customHeight="1" s="151">
      <c r="A309" s="176" t="n">
        <v>210018623</v>
      </c>
      <c r="B309" s="124">
        <f>CHOOSE(_xlfn.NUMBERVALUE(MID(H309,6,2)),"فروردین","اردیبهشت","خرداد","تیر","مرداد","شهریور","مهر","آبان","آذر","دی","بهمن","اسفند")</f>
        <v/>
      </c>
      <c r="C309" s="176" t="inlineStr">
        <is>
          <t>ماشين لباسشويي</t>
        </is>
      </c>
      <c r="D309" s="176" t="inlineStr">
        <is>
          <t>CWM-BMW7.5VW1</t>
        </is>
      </c>
      <c r="E309" s="176" t="inlineStr">
        <is>
          <t>52210001N00523</t>
        </is>
      </c>
      <c r="F309" s="173" t="inlineStr">
        <is>
          <t>صداي غيرعادي هنگام خشک کن**اياب و ذهاب به عهده شرکت</t>
        </is>
      </c>
      <c r="G309" s="173" t="inlineStr">
        <is>
          <t>صداي لرزش شيلنگ پمپ تخليه - عايق کاري</t>
        </is>
      </c>
      <c r="H309" s="176" t="inlineStr">
        <is>
          <t>1405/05/14</t>
        </is>
      </c>
      <c r="I309" s="176" t="inlineStr">
        <is>
          <t>1404/04/31</t>
        </is>
      </c>
      <c r="J309" s="176" t="inlineStr">
        <is>
          <t>1404/06/19</t>
        </is>
      </c>
      <c r="K309" s="177">
        <f>IFERROR(VLOOKUP(LEFT(H309,7),'تبدیل تاریخ'!$A$2:$B$73,2,FALSE())+VALUE(RIGHT(H309,2))-1,"")</f>
        <v/>
      </c>
      <c r="L309" s="177">
        <f>IFERROR(VLOOKUP(LEFT(I309,7),'تبدیل تاریخ'!$A$2:$B$73,2,FALSE())+VALUE(RIGHT(I309,2))-1,"")</f>
        <v/>
      </c>
      <c r="M309" s="177">
        <f>IF(J309="","",IFERROR(VLOOKUP(LEFT(J309,7),'تبدیل تاریخ'!$A$2:$B$73,2,FALSE())+VALUE(RIGHT(J309,2))-1,""))</f>
        <v/>
      </c>
      <c r="N309" s="124">
        <f>IF(OR(K309="",M309=""),"",CEILING((K309-M309)/30,1))</f>
        <v/>
      </c>
      <c r="O309" s="233" t="inlineStr">
        <is>
          <t>نشتی - پمپ تخلیه (تعمیر/آب‌بندی)</t>
        </is>
      </c>
      <c r="P309" s="124" t="inlineStr">
        <is>
          <t>*</t>
        </is>
      </c>
      <c r="Q309" s="124" t="n"/>
      <c r="R309" s="178">
        <f>IF(O309="تعویض کامل دستگاه (Replacement)",IF(SUMIF('قیمت‌ها و مفروضات'!$A$9:$A$13,C309,'قیمت‌ها و مفروضات'!$C$9:$C$13)&lt;&gt;0,SUMIF('قیمت‌ها و مفروضات'!$A$9:$A$13,C309,'قیمت‌ها و مفروضات'!$C$9:$C$13),SUMIF('قیمت‌ها و مفروضات'!$A$9:$A$13,C309,'قیمت‌ها و مفروضات'!$B$9:$B$13)),IF(SUMIF('قیمت‌ها و مفروضات'!$A$18:$A$63,O309,'قیمت‌ها و مفروضات'!$C$18:$C$63)&lt;&gt;0,SUMIF('قیمت‌ها و مفروضات'!$A$18:$A$63,O309,'قیمت‌ها و مفروضات'!$C$18:$C$63),SUMIF('قیمت‌ها و مفروضات'!$A$18:$A$63,O309,'قیمت‌ها و مفروضات'!$B$18:$B$63)))</f>
        <v/>
      </c>
      <c r="S309" s="178">
        <f>'قیمت‌ها و مفروضات'!$B$3+'قیمت‌ها و مفروضات'!$B$4</f>
        <v/>
      </c>
      <c r="T309" s="178">
        <f>R309+S309</f>
        <v/>
      </c>
      <c r="U309" s="178">
        <f>IF(COUNTIF($E$2:E309,E309)&gt;1,"بله (تکراری)","خیر")</f>
        <v/>
      </c>
      <c r="V309" s="176">
        <f>IF(U309="بله (تکراری)",S309,0)</f>
        <v/>
      </c>
      <c r="W309" s="176" t="inlineStr">
        <is>
          <t>وحيد بختي/ کد1749</t>
        </is>
      </c>
      <c r="X309" s="176" t="inlineStr">
        <is>
          <t>اسلامشهر</t>
        </is>
      </c>
    </row>
    <row r="310" ht="58.5" customHeight="1" s="151">
      <c r="A310" s="176" t="n">
        <v>130009304</v>
      </c>
      <c r="B310" s="124">
        <f>CHOOSE(_xlfn.NUMBERVALUE(MID(H310,6,2)),"فروردین","اردیبهشت","خرداد","تیر","مرداد","شهریور","مهر","آبان","آذر","دی","بهمن","اسفند")</f>
        <v/>
      </c>
      <c r="C310" s="176" t="inlineStr">
        <is>
          <t>ماشين لباسشويي</t>
        </is>
      </c>
      <c r="D310" s="176" t="inlineStr">
        <is>
          <t>CWM-BMW9TW1</t>
        </is>
      </c>
      <c r="E310" s="176" t="inlineStr">
        <is>
          <t>52210007N01185</t>
        </is>
      </c>
      <c r="F310" s="173" t="inlineStr">
        <is>
          <t>پارگي نوار دور درب**اياب و ذهاب به عهده شرکت</t>
        </is>
      </c>
      <c r="G310" s="173" t="inlineStr">
        <is>
          <t>پارگي نوار گسکت</t>
        </is>
      </c>
      <c r="H310" s="176" t="inlineStr">
        <is>
          <t>1405/05/10</t>
        </is>
      </c>
      <c r="I310" s="176" t="inlineStr">
        <is>
          <t>1404/05/06</t>
        </is>
      </c>
      <c r="J310" s="176" t="inlineStr">
        <is>
          <t>1404/06/20</t>
        </is>
      </c>
      <c r="K310" s="177">
        <f>IFERROR(VLOOKUP(LEFT(H310,7),'تبدیل تاریخ'!$A$2:$B$73,2,FALSE())+VALUE(RIGHT(H310,2))-1,"")</f>
        <v/>
      </c>
      <c r="L310" s="177">
        <f>IFERROR(VLOOKUP(LEFT(I310,7),'تبدیل تاریخ'!$A$2:$B$73,2,FALSE())+VALUE(RIGHT(I310,2))-1,"")</f>
        <v/>
      </c>
      <c r="M310" s="177">
        <f>IF(J310="","",IFERROR(VLOOKUP(LEFT(J310,7),'تبدیل تاریخ'!$A$2:$B$73,2,FALSE())+VALUE(RIGHT(J310,2))-1,""))</f>
        <v/>
      </c>
      <c r="N310" s="124">
        <f>IF(OR(K310="",M310=""),"",CEILING((K310-M310)/30,1))</f>
        <v/>
      </c>
      <c r="O310" s="124" t="inlineStr">
        <is>
          <t>لاستیک درزگیر - دفرمگی/پارگی (تعویض)</t>
        </is>
      </c>
      <c r="P310" s="124" t="inlineStr">
        <is>
          <t>نوار گسکت درب ماشين لباسشويي BMW 8T&amp;9T</t>
        </is>
      </c>
      <c r="Q310" s="124" t="n"/>
      <c r="R310" s="178">
        <f>IF(O310="تعویض کامل دستگاه (Replacement)",IF(SUMIF('قیمت‌ها و مفروضات'!$A$9:$A$13,C310,'قیمت‌ها و مفروضات'!$C$9:$C$13)&lt;&gt;0,SUMIF('قیمت‌ها و مفروضات'!$A$9:$A$13,C310,'قیمت‌ها و مفروضات'!$C$9:$C$13),SUMIF('قیمت‌ها و مفروضات'!$A$9:$A$13,C310,'قیمت‌ها و مفروضات'!$B$9:$B$13)),IF(SUMIF('قیمت‌ها و مفروضات'!$A$18:$A$63,O310,'قیمت‌ها و مفروضات'!$C$18:$C$63)&lt;&gt;0,SUMIF('قیمت‌ها و مفروضات'!$A$18:$A$63,O310,'قیمت‌ها و مفروضات'!$C$18:$C$63),SUMIF('قیمت‌ها و مفروضات'!$A$18:$A$63,O310,'قیمت‌ها و مفروضات'!$B$18:$B$63)))</f>
        <v/>
      </c>
      <c r="S310" s="178">
        <f>'قیمت‌ها و مفروضات'!$B$3+'قیمت‌ها و مفروضات'!$B$4</f>
        <v/>
      </c>
      <c r="T310" s="178">
        <f>R310+S310</f>
        <v/>
      </c>
      <c r="U310" s="178">
        <f>IF(COUNTIF($E$2:E310,E310)&gt;1,"بله (تکراری)","خیر")</f>
        <v/>
      </c>
      <c r="V310" s="176">
        <f>IF(U310="بله (تکراری)",S310,0)</f>
        <v/>
      </c>
      <c r="W310" s="176" t="inlineStr">
        <is>
          <t>سعيد معرفتي گمچي/کد1112</t>
        </is>
      </c>
      <c r="X310" s="176" t="inlineStr">
        <is>
          <t>اروميه</t>
        </is>
      </c>
    </row>
    <row r="311" ht="58.5" customHeight="1" s="151">
      <c r="A311" s="176" t="n">
        <v>710004092</v>
      </c>
      <c r="B311" s="124">
        <f>CHOOSE(_xlfn.NUMBERVALUE(MID(H311,6,2)),"فروردین","اردیبهشت","خرداد","تیر","مرداد","شهریور","مهر","آبان","آذر","دی","بهمن","اسفند")</f>
        <v/>
      </c>
      <c r="C311" s="176" t="inlineStr">
        <is>
          <t>ماشين لباسشويي</t>
        </is>
      </c>
      <c r="D311" s="176" t="inlineStr">
        <is>
          <t>CWM-BMW9TW1</t>
        </is>
      </c>
      <c r="E311" s="176" t="inlineStr">
        <is>
          <t>52210007N01410</t>
        </is>
      </c>
      <c r="F311" s="173" t="inlineStr">
        <is>
          <t>لرزش و حرکت محصول**اياب و ذهاب به عهده شرکت</t>
        </is>
      </c>
      <c r="G311" s="173" t="inlineStr">
        <is>
          <t>تراز پايه تنظيم</t>
        </is>
      </c>
      <c r="H311" s="176" t="inlineStr">
        <is>
          <t>1405/05/08</t>
        </is>
      </c>
      <c r="I311" s="176" t="inlineStr">
        <is>
          <t>1404/05/18</t>
        </is>
      </c>
      <c r="J311" s="176" t="inlineStr">
        <is>
          <t>1405/03/02</t>
        </is>
      </c>
      <c r="K311" s="177">
        <f>IFERROR(VLOOKUP(LEFT(H311,7),'تبدیل تاریخ'!$A$2:$B$73,2,FALSE())+VALUE(RIGHT(H311,2))-1,"")</f>
        <v/>
      </c>
      <c r="L311" s="177">
        <f>IFERROR(VLOOKUP(LEFT(I311,7),'تبدیل تاریخ'!$A$2:$B$73,2,FALSE())+VALUE(RIGHT(I311,2))-1,"")</f>
        <v/>
      </c>
      <c r="M311" s="177">
        <f>IF(J311="","",IFERROR(VLOOKUP(LEFT(J311,7),'تبدیل تاریخ'!$A$2:$B$73,2,FALSE())+VALUE(RIGHT(J311,2))-1,""))</f>
        <v/>
      </c>
      <c r="N311" s="124">
        <f>IF(OR(K311="",M311=""),"",CEILING((K311-M311)/30,1))</f>
        <v/>
      </c>
      <c r="O311" s="124" t="inlineStr">
        <is>
          <t>تراز/لرزش - نصب (رگلاژ پایه)</t>
        </is>
      </c>
      <c r="P311" s="124" t="inlineStr"/>
      <c r="Q311" s="124" t="n"/>
      <c r="R311" s="178">
        <f>IF(O311="تعویض کامل دستگاه (Replacement)",IF(SUMIF('قیمت‌ها و مفروضات'!$A$9:$A$13,C311,'قیمت‌ها و مفروضات'!$C$9:$C$13)&lt;&gt;0,SUMIF('قیمت‌ها و مفروضات'!$A$9:$A$13,C311,'قیمت‌ها و مفروضات'!$C$9:$C$13),SUMIF('قیمت‌ها و مفروضات'!$A$9:$A$13,C311,'قیمت‌ها و مفروضات'!$B$9:$B$13)),IF(SUMIF('قیمت‌ها و مفروضات'!$A$18:$A$63,O311,'قیمت‌ها و مفروضات'!$C$18:$C$63)&lt;&gt;0,SUMIF('قیمت‌ها و مفروضات'!$A$18:$A$63,O311,'قیمت‌ها و مفروضات'!$C$18:$C$63),SUMIF('قیمت‌ها و مفروضات'!$A$18:$A$63,O311,'قیمت‌ها و مفروضات'!$B$18:$B$63)))</f>
        <v/>
      </c>
      <c r="S311" s="178">
        <f>'قیمت‌ها و مفروضات'!$B$3+'قیمت‌ها و مفروضات'!$B$4</f>
        <v/>
      </c>
      <c r="T311" s="178">
        <f>R311+S311</f>
        <v/>
      </c>
      <c r="U311" s="178">
        <f>IF(COUNTIF($E$2:E311,E311)&gt;1,"بله (تکراری)","خیر")</f>
        <v/>
      </c>
      <c r="V311" s="176">
        <f>IF(U311="بله (تکراری)",S311,0)</f>
        <v/>
      </c>
      <c r="W311" s="176" t="inlineStr">
        <is>
          <t>حسن خالويي /کد 3019</t>
        </is>
      </c>
      <c r="X311" s="176" t="inlineStr">
        <is>
          <t>سيرجان</t>
        </is>
      </c>
    </row>
    <row r="312" ht="58.5" customHeight="1" s="151">
      <c r="A312" s="176" t="n">
        <v>810004925</v>
      </c>
      <c r="B312" s="124">
        <f>CHOOSE(_xlfn.NUMBERVALUE(MID(H312,6,2)),"فروردین","اردیبهشت","خرداد","تیر","مرداد","شهریور","مهر","آبان","آذر","دی","بهمن","اسفند")</f>
        <v/>
      </c>
      <c r="C312" s="176" t="inlineStr">
        <is>
          <t>ماشين ظرفشويي</t>
        </is>
      </c>
      <c r="D312" s="176" t="inlineStr">
        <is>
          <t>CDW-H16TW1</t>
        </is>
      </c>
      <c r="E312" s="176" t="inlineStr">
        <is>
          <t>52220005N03163</t>
        </is>
      </c>
      <c r="F312" s="173" t="inlineStr">
        <is>
          <t>باز شدن درب حين شست و شو**اياب و ذهاب به عهده شرکت</t>
        </is>
      </c>
      <c r="G312" s="173" t="inlineStr">
        <is>
          <t>خرابی قلاب میکروسوئیچ</t>
        </is>
      </c>
      <c r="H312" s="176" t="inlineStr">
        <is>
          <t>1405/05/05</t>
        </is>
      </c>
      <c r="I312" s="176" t="inlineStr">
        <is>
          <t>1404/05/27</t>
        </is>
      </c>
      <c r="J312" s="176" t="inlineStr">
        <is>
          <t>1404/10/17</t>
        </is>
      </c>
      <c r="K312" s="177">
        <f>IFERROR(VLOOKUP(LEFT(H312,7),'تبدیل تاریخ'!$A$2:$B$73,2,FALSE())+VALUE(RIGHT(H312,2))-1,"")</f>
        <v/>
      </c>
      <c r="L312" s="177">
        <f>IFERROR(VLOOKUP(LEFT(I312,7),'تبدیل تاریخ'!$A$2:$B$73,2,FALSE())+VALUE(RIGHT(I312,2))-1,"")</f>
        <v/>
      </c>
      <c r="M312" s="177">
        <f>IF(J312="","",IFERROR(VLOOKUP(LEFT(J312,7),'تبدیل تاریخ'!$A$2:$B$73,2,FALSE())+VALUE(RIGHT(J312,2))-1,""))</f>
        <v/>
      </c>
      <c r="N312" s="124">
        <f>IF(OR(K312="",M312=""),"",CEILING((K312-M312)/30,1))</f>
        <v/>
      </c>
      <c r="O312" s="124" t="inlineStr">
        <is>
          <t>مکانیزم درب - میکروسوئیچ/قلاب (تعویض/تنظیم)</t>
        </is>
      </c>
      <c r="P312" s="124" t="inlineStr">
        <is>
          <t>قلاب ميکروسوئيچ ماشين ظرفشويی     CDW-H13\CDW-H15\CDW-H16</t>
        </is>
      </c>
      <c r="Q312" s="124" t="n"/>
      <c r="R312" s="178">
        <f>IF(O312="تعویض کامل دستگاه (Replacement)",IF(SUMIF('قیمت‌ها و مفروضات'!$A$9:$A$13,C312,'قیمت‌ها و مفروضات'!$C$9:$C$13)&lt;&gt;0,SUMIF('قیمت‌ها و مفروضات'!$A$9:$A$13,C312,'قیمت‌ها و مفروضات'!$C$9:$C$13),SUMIF('قیمت‌ها و مفروضات'!$A$9:$A$13,C312,'قیمت‌ها و مفروضات'!$B$9:$B$13)),IF(SUMIF('قیمت‌ها و مفروضات'!$A$18:$A$63,O312,'قیمت‌ها و مفروضات'!$C$18:$C$63)&lt;&gt;0,SUMIF('قیمت‌ها و مفروضات'!$A$18:$A$63,O312,'قیمت‌ها و مفروضات'!$C$18:$C$63),SUMIF('قیمت‌ها و مفروضات'!$A$18:$A$63,O312,'قیمت‌ها و مفروضات'!$B$18:$B$63)))</f>
        <v/>
      </c>
      <c r="S312" s="178">
        <f>'قیمت‌ها و مفروضات'!$B$3+'قیمت‌ها و مفروضات'!$B$4</f>
        <v/>
      </c>
      <c r="T312" s="178">
        <f>R312+S312</f>
        <v/>
      </c>
      <c r="U312" s="178">
        <f>IF(COUNTIF($E$2:E312,E312)&gt;1,"بله (تکراری)","خیر")</f>
        <v/>
      </c>
      <c r="V312" s="176">
        <f>IF(U312="بله (تکراری)",S312,0)</f>
        <v/>
      </c>
      <c r="W312" s="176" t="inlineStr">
        <is>
          <t>جواد قرباني/کد 3906 - لوازم خانگي</t>
        </is>
      </c>
      <c r="X312" s="176" t="inlineStr">
        <is>
          <t>همدان</t>
        </is>
      </c>
    </row>
    <row r="313" ht="58.5" customHeight="1" s="151">
      <c r="A313" s="176" t="n">
        <v>810005501</v>
      </c>
      <c r="B313" s="124">
        <f>CHOOSE(_xlfn.NUMBERVALUE(MID(H313,6,2)),"فروردین","اردیبهشت","خرداد","تیر","مرداد","شهریور","مهر","آبان","آذر","دی","بهمن","اسفند")</f>
        <v/>
      </c>
      <c r="C313" s="176" t="inlineStr">
        <is>
          <t>ماشين ظرفشويي</t>
        </is>
      </c>
      <c r="D313" s="176" t="inlineStr">
        <is>
          <t>CDW-H16TW1</t>
        </is>
      </c>
      <c r="E313" s="176" t="inlineStr">
        <is>
          <t>52220005N03894</t>
        </is>
      </c>
      <c r="F313" s="173" t="inlineStr">
        <is>
          <t>عدم تخليه آب داخل ماشين ظرفشويي ** اياب و ذهاب به عهده شرکت</t>
        </is>
      </c>
      <c r="G313" s="173" t="inlineStr">
        <is>
          <t>خرابي پمپ تخليه</t>
        </is>
      </c>
      <c r="H313" s="176" t="inlineStr">
        <is>
          <t>1405/05/19</t>
        </is>
      </c>
      <c r="I313" s="176" t="inlineStr">
        <is>
          <t>1404/07/14</t>
        </is>
      </c>
      <c r="J313" s="176" t="inlineStr">
        <is>
          <t>1404/08/07</t>
        </is>
      </c>
      <c r="K313" s="177">
        <f>IFERROR(VLOOKUP(LEFT(H313,7),'تبدیل تاریخ'!$A$2:$B$73,2,FALSE())+VALUE(RIGHT(H313,2))-1,"")</f>
        <v/>
      </c>
      <c r="L313" s="177">
        <f>IFERROR(VLOOKUP(LEFT(I313,7),'تبدیل تاریخ'!$A$2:$B$73,2,FALSE())+VALUE(RIGHT(I313,2))-1,"")</f>
        <v/>
      </c>
      <c r="M313" s="177">
        <f>IF(J313="","",IFERROR(VLOOKUP(LEFT(J313,7),'تبدیل تاریخ'!$A$2:$B$73,2,FALSE())+VALUE(RIGHT(J313,2))-1,""))</f>
        <v/>
      </c>
      <c r="N313" s="124">
        <f>IF(OR(K313="",M313=""),"",CEILING((K313-M313)/30,1))</f>
        <v/>
      </c>
      <c r="O313" s="124" t="inlineStr">
        <is>
          <t>خرابی - پمپ تخلیه (تعویض)</t>
        </is>
      </c>
      <c r="P313" s="124" t="inlineStr">
        <is>
          <t>/     CDW-H13\CDW-H15\CDW-H16     DW-HS پمپ تخليه ماشين ظرفشویي</t>
        </is>
      </c>
      <c r="Q313" s="124" t="n"/>
      <c r="R313" s="178">
        <f>IF(O313="تعویض کامل دستگاه (Replacement)",IF(SUMIF('قیمت‌ها و مفروضات'!$A$9:$A$13,C313,'قیمت‌ها و مفروضات'!$C$9:$C$13)&lt;&gt;0,SUMIF('قیمت‌ها و مفروضات'!$A$9:$A$13,C313,'قیمت‌ها و مفروضات'!$C$9:$C$13),SUMIF('قیمت‌ها و مفروضات'!$A$9:$A$13,C313,'قیمت‌ها و مفروضات'!$B$9:$B$13)),IF(SUMIF('قیمت‌ها و مفروضات'!$A$18:$A$63,O313,'قیمت‌ها و مفروضات'!$C$18:$C$63)&lt;&gt;0,SUMIF('قیمت‌ها و مفروضات'!$A$18:$A$63,O313,'قیمت‌ها و مفروضات'!$C$18:$C$63),SUMIF('قیمت‌ها و مفروضات'!$A$18:$A$63,O313,'قیمت‌ها و مفروضات'!$B$18:$B$63)))</f>
        <v/>
      </c>
      <c r="S313" s="178">
        <f>'قیمت‌ها و مفروضات'!$B$3+'قیمت‌ها و مفروضات'!$B$4</f>
        <v/>
      </c>
      <c r="T313" s="178">
        <f>R313+S313</f>
        <v/>
      </c>
      <c r="U313" s="178">
        <f>IF(COUNTIF($E$2:E313,E313)&gt;1,"بله (تکراری)","خیر")</f>
        <v/>
      </c>
      <c r="V313" s="176">
        <f>IF(U313="بله (تکراری)",S313,0)</f>
        <v/>
      </c>
      <c r="W313" s="176" t="inlineStr">
        <is>
          <t>حميد رسولي/کد3922</t>
        </is>
      </c>
      <c r="X313" s="176" t="inlineStr">
        <is>
          <t>فامنين</t>
        </is>
      </c>
    </row>
    <row r="314" ht="58.5" customHeight="1" s="151">
      <c r="A314" s="176" t="n">
        <v>510023668</v>
      </c>
      <c r="B314" s="124">
        <f>CHOOSE(_xlfn.NUMBERVALUE(MID(H314,6,2)),"فروردین","اردیبهشت","خرداد","تیر","مرداد","شهریور","مهر","آبان","آذر","دی","بهمن","اسفند")</f>
        <v/>
      </c>
      <c r="C314" s="176" t="inlineStr">
        <is>
          <t>ماشين ظرفشويي</t>
        </is>
      </c>
      <c r="D314" s="176" t="inlineStr">
        <is>
          <t>CDW-H16TS1</t>
        </is>
      </c>
      <c r="E314" s="176" t="inlineStr">
        <is>
          <t>52220004N04192</t>
        </is>
      </c>
      <c r="F314" s="173" t="inlineStr">
        <is>
          <t>عدم تخليه آب داخل ماشين ظرفشويي**اياب و ذهاب به عهده شرکت</t>
        </is>
      </c>
      <c r="G314" s="173" t="inlineStr">
        <is>
          <t>نشتي پمپ تخليه</t>
        </is>
      </c>
      <c r="H314" s="176" t="inlineStr">
        <is>
          <t>1405/05/16</t>
        </is>
      </c>
      <c r="I314" s="176" t="inlineStr">
        <is>
          <t>1404/08/07</t>
        </is>
      </c>
      <c r="J314" s="176" t="inlineStr">
        <is>
          <t>1404/09/12</t>
        </is>
      </c>
      <c r="K314" s="177">
        <f>IFERROR(VLOOKUP(LEFT(H314,7),'تبدیل تاریخ'!$A$2:$B$73,2,FALSE())+VALUE(RIGHT(H314,2))-1,"")</f>
        <v/>
      </c>
      <c r="L314" s="177">
        <f>IFERROR(VLOOKUP(LEFT(I314,7),'تبدیل تاریخ'!$A$2:$B$73,2,FALSE())+VALUE(RIGHT(I314,2))-1,"")</f>
        <v/>
      </c>
      <c r="M314" s="177">
        <f>IF(J314="","",IFERROR(VLOOKUP(LEFT(J314,7),'تبدیل تاریخ'!$A$2:$B$73,2,FALSE())+VALUE(RIGHT(J314,2))-1,""))</f>
        <v/>
      </c>
      <c r="N314" s="124">
        <f>IF(OR(K314="",M314=""),"",CEILING((K314-M314)/30,1))</f>
        <v/>
      </c>
      <c r="O314" s="124" t="inlineStr">
        <is>
          <t>نشتی - پمپ تخلیه (تعمیر/آب‌بندی)</t>
        </is>
      </c>
      <c r="P314" s="124" t="inlineStr">
        <is>
          <t>اورینگ پمپ تخلیه گریس کاری شده است .</t>
        </is>
      </c>
      <c r="Q314" s="124" t="n"/>
      <c r="R314" s="178">
        <f>IF(O314="تعویض کامل دستگاه (Replacement)",IF(SUMIF('قیمت‌ها و مفروضات'!$A$9:$A$13,C314,'قیمت‌ها و مفروضات'!$C$9:$C$13)&lt;&gt;0,SUMIF('قیمت‌ها و مفروضات'!$A$9:$A$13,C314,'قیمت‌ها و مفروضات'!$C$9:$C$13),SUMIF('قیمت‌ها و مفروضات'!$A$9:$A$13,C314,'قیمت‌ها و مفروضات'!$B$9:$B$13)),IF(SUMIF('قیمت‌ها و مفروضات'!$A$18:$A$63,O314,'قیمت‌ها و مفروضات'!$C$18:$C$63)&lt;&gt;0,SUMIF('قیمت‌ها و مفروضات'!$A$18:$A$63,O314,'قیمت‌ها و مفروضات'!$C$18:$C$63),SUMIF('قیمت‌ها و مفروضات'!$A$18:$A$63,O314,'قیمت‌ها و مفروضات'!$B$18:$B$63)))</f>
        <v/>
      </c>
      <c r="S314" s="178">
        <f>'قیمت‌ها و مفروضات'!$B$3+'قیمت‌ها و مفروضات'!$B$4</f>
        <v/>
      </c>
      <c r="T314" s="178">
        <f>R314+S314</f>
        <v/>
      </c>
      <c r="U314" s="178">
        <f>IF(COUNTIF($E$2:E314,E314)&gt;1,"بله (تکراری)","خیر")</f>
        <v/>
      </c>
      <c r="V314" s="176">
        <f>IF(U314="بله (تکراری)",S314,0)</f>
        <v/>
      </c>
      <c r="W314" s="176" t="inlineStr">
        <is>
          <t>محمدرضا شيري/کد 51008T</t>
        </is>
      </c>
      <c r="X314" s="176" t="inlineStr">
        <is>
          <t>مشهد</t>
        </is>
      </c>
    </row>
    <row r="315" ht="58.5" customFormat="1" customHeight="1" s="183">
      <c r="A315" s="176" t="n">
        <v>310008145</v>
      </c>
      <c r="B315" s="124">
        <f>CHOOSE(_xlfn.NUMBERVALUE(MID(H315,6,2)),"فروردین","اردیبهشت","خرداد","تیر","مرداد","شهریور","مهر","آبان","آذر","دی","بهمن","اسفند")</f>
        <v/>
      </c>
      <c r="C315" s="176" t="inlineStr">
        <is>
          <t>ماشين ظرفشويي</t>
        </is>
      </c>
      <c r="D315" s="176" t="inlineStr">
        <is>
          <t>CDW-H16TS1</t>
        </is>
      </c>
      <c r="E315" s="176" t="inlineStr">
        <is>
          <t>52220004N04349</t>
        </is>
      </c>
      <c r="F315" s="173" t="inlineStr">
        <is>
          <t>خطاي F54**اياب و ذهاب به عهده شرکت</t>
        </is>
      </c>
      <c r="G315" s="173" t="inlineStr">
        <is>
          <t>نشتي از o-ring جا قرصي</t>
        </is>
      </c>
      <c r="H315" s="176" t="inlineStr">
        <is>
          <t>1405/05/20</t>
        </is>
      </c>
      <c r="I315" s="176" t="inlineStr">
        <is>
          <t>1404/08/11</t>
        </is>
      </c>
      <c r="J315" s="176" t="inlineStr"/>
      <c r="K315" s="177">
        <f>IFERROR(VLOOKUP(LEFT(H315,7),'تبدیل تاریخ'!$A$2:$B$73,2,FALSE())+VALUE(RIGHT(H315,2))-1,"")</f>
        <v/>
      </c>
      <c r="L315" s="177">
        <f>IFERROR(VLOOKUP(LEFT(I315,7),'تبدیل تاریخ'!$A$2:$B$73,2,FALSE())+VALUE(RIGHT(I315,2))-1,"")</f>
        <v/>
      </c>
      <c r="M315" s="177">
        <f>IF(J315="","",IFERROR(VLOOKUP(LEFT(J315,7),'تبدیل تاریخ'!$A$2:$B$73,2,FALSE())+VALUE(RIGHT(J315,2))-1,""))</f>
        <v/>
      </c>
      <c r="N315" s="124">
        <f>IF(OR(K315="",M315=""),"",CEILING((K315-M315)/30,1))</f>
        <v/>
      </c>
      <c r="O315" s="233" t="inlineStr">
        <is>
          <t>نشتی آب - محل نامشخص (نیازمند بازدید)</t>
        </is>
      </c>
      <c r="P315" s="124" t="inlineStr">
        <is>
          <t>*</t>
        </is>
      </c>
      <c r="Q315" s="124" t="n"/>
      <c r="R315" s="178">
        <f>IF(O315="تعویض کامل دستگاه (Replacement)",IF(SUMIF('قیمت‌ها و مفروضات'!$A$9:$A$13,C315,'قیمت‌ها و مفروضات'!$C$9:$C$13)&lt;&gt;0,SUMIF('قیمت‌ها و مفروضات'!$A$9:$A$13,C315,'قیمت‌ها و مفروضات'!$C$9:$C$13),SUMIF('قیمت‌ها و مفروضات'!$A$9:$A$13,C315,'قیمت‌ها و مفروضات'!$B$9:$B$13)),IF(SUMIF('قیمت‌ها و مفروضات'!$A$18:$A$63,O315,'قیمت‌ها و مفروضات'!$C$18:$C$63)&lt;&gt;0,SUMIF('قیمت‌ها و مفروضات'!$A$18:$A$63,O315,'قیمت‌ها و مفروضات'!$C$18:$C$63),SUMIF('قیمت‌ها و مفروضات'!$A$18:$A$63,O315,'قیمت‌ها و مفروضات'!$B$18:$B$63)))</f>
        <v/>
      </c>
      <c r="S315" s="178">
        <f>'قیمت‌ها و مفروضات'!$B$3+'قیمت‌ها و مفروضات'!$B$4</f>
        <v/>
      </c>
      <c r="T315" s="178">
        <f>R315+S315</f>
        <v/>
      </c>
      <c r="U315" s="178">
        <f>IF(COUNTIF($E$2:E315,E315)&gt;1,"بله (تکراری)","خیر")</f>
        <v/>
      </c>
      <c r="V315" s="176">
        <f>IF(U315="بله (تکراری)",S315,0)</f>
        <v/>
      </c>
      <c r="W315" s="176" t="inlineStr">
        <is>
          <t>مجتبي عباسقلي زاده /کد 1355</t>
        </is>
      </c>
      <c r="X315" s="176" t="inlineStr">
        <is>
          <t>کاشان</t>
        </is>
      </c>
    </row>
    <row r="316" ht="58.5" customFormat="1" customHeight="1" s="183">
      <c r="A316" s="176" t="n">
        <v>210019260</v>
      </c>
      <c r="B316" s="124">
        <f>CHOOSE(_xlfn.NUMBERVALUE(MID(H316,6,2)),"فروردین","اردیبهشت","خرداد","تیر","مرداد","شهریور","مهر","آبان","آذر","دی","بهمن","اسفند")</f>
        <v/>
      </c>
      <c r="C316" s="176" t="inlineStr">
        <is>
          <t>ماشين ظرفشويي</t>
        </is>
      </c>
      <c r="D316" s="176" t="inlineStr">
        <is>
          <t>CDW-H16TW1</t>
        </is>
      </c>
      <c r="E316" s="176" t="inlineStr">
        <is>
          <t>52220005N04316</t>
        </is>
      </c>
      <c r="F316" s="173" t="inlineStr">
        <is>
          <t>بسته نشدن درب**اياب و ذهاب به عهده شرکت</t>
        </is>
      </c>
      <c r="G316" s="173" t="inlineStr">
        <is>
          <t>پايين بودن میکروسوئیچ درب</t>
        </is>
      </c>
      <c r="H316" s="176" t="inlineStr">
        <is>
          <t>1405/05/18</t>
        </is>
      </c>
      <c r="I316" s="176" t="inlineStr">
        <is>
          <t>1404/08/11</t>
        </is>
      </c>
      <c r="J316" s="176" t="inlineStr">
        <is>
          <t>1404/10/24</t>
        </is>
      </c>
      <c r="K316" s="177">
        <f>IFERROR(VLOOKUP(LEFT(H316,7),'تبدیل تاریخ'!$A$2:$B$73,2,FALSE())+VALUE(RIGHT(H316,2))-1,"")</f>
        <v/>
      </c>
      <c r="L316" s="177">
        <f>IFERROR(VLOOKUP(LEFT(I316,7),'تبدیل تاریخ'!$A$2:$B$73,2,FALSE())+VALUE(RIGHT(I316,2))-1,"")</f>
        <v/>
      </c>
      <c r="M316" s="177">
        <f>IF(J316="","",IFERROR(VLOOKUP(LEFT(J316,7),'تبدیل تاریخ'!$A$2:$B$73,2,FALSE())+VALUE(RIGHT(J316,2))-1,""))</f>
        <v/>
      </c>
      <c r="N316" s="124">
        <f>IF(OR(K316="",M316=""),"",CEILING((K316-M316)/30,1))</f>
        <v/>
      </c>
      <c r="O316" s="124" t="inlineStr">
        <is>
          <t>مکانیزم درب - میکروسوئیچ/قلاب (تعویض/تنظیم)</t>
        </is>
      </c>
      <c r="P316" s="124" t="inlineStr">
        <is>
          <t>*</t>
        </is>
      </c>
      <c r="Q316" s="124" t="n"/>
      <c r="R316" s="178">
        <f>IF(O316="تعویض کامل دستگاه (Replacement)",IF(SUMIF('قیمت‌ها و مفروضات'!$A$9:$A$13,C316,'قیمت‌ها و مفروضات'!$C$9:$C$13)&lt;&gt;0,SUMIF('قیمت‌ها و مفروضات'!$A$9:$A$13,C316,'قیمت‌ها و مفروضات'!$C$9:$C$13),SUMIF('قیمت‌ها و مفروضات'!$A$9:$A$13,C316,'قیمت‌ها و مفروضات'!$B$9:$B$13)),IF(SUMIF('قیمت‌ها و مفروضات'!$A$18:$A$63,O316,'قیمت‌ها و مفروضات'!$C$18:$C$63)&lt;&gt;0,SUMIF('قیمت‌ها و مفروضات'!$A$18:$A$63,O316,'قیمت‌ها و مفروضات'!$C$18:$C$63),SUMIF('قیمت‌ها و مفروضات'!$A$18:$A$63,O316,'قیمت‌ها و مفروضات'!$B$18:$B$63)))</f>
        <v/>
      </c>
      <c r="S316" s="178">
        <f>'قیمت‌ها و مفروضات'!$B$3+'قیمت‌ها و مفروضات'!$B$4</f>
        <v/>
      </c>
      <c r="T316" s="178">
        <f>R316+S316</f>
        <v/>
      </c>
      <c r="U316" s="178">
        <f>IF(COUNTIF($E$2:E316,E316)&gt;1,"بله (تکراری)","خیر")</f>
        <v/>
      </c>
      <c r="V316" s="176">
        <f>IF(U316="بله (تکراری)",S316,0)</f>
        <v/>
      </c>
      <c r="W316" s="176" t="inlineStr">
        <is>
          <t>مصطفي شفيعي / کد 1732 - لوازم خانگي</t>
        </is>
      </c>
      <c r="X316" s="176" t="inlineStr">
        <is>
          <t>تهران - منطقه 15</t>
        </is>
      </c>
    </row>
    <row r="317" ht="58.5" customFormat="1" customHeight="1" s="183">
      <c r="A317" s="176" t="n">
        <v>810005539</v>
      </c>
      <c r="B317" s="124">
        <f>CHOOSE(_xlfn.NUMBERVALUE(MID(H317,6,2)),"فروردین","اردیبهشت","خرداد","تیر","مرداد","شهریور","مهر","آبان","آذر","دی","بهمن","اسفند")</f>
        <v/>
      </c>
      <c r="C317" s="176" t="inlineStr">
        <is>
          <t>ماشين ظرفشويي</t>
        </is>
      </c>
      <c r="D317" s="176" t="inlineStr">
        <is>
          <t>CDW-H13VS1</t>
        </is>
      </c>
      <c r="E317" s="176" t="inlineStr">
        <is>
          <t>52220001N01468</t>
        </is>
      </c>
      <c r="F317" s="173" t="inlineStr">
        <is>
          <t>خطاي F54**اياب و ذهاب به عهده شرکت</t>
        </is>
      </c>
      <c r="G317" s="173" t="inlineStr">
        <is>
          <t>نشتي شيلنگ تخليه</t>
        </is>
      </c>
      <c r="H317" s="176" t="inlineStr">
        <is>
          <t>1405/05/20</t>
        </is>
      </c>
      <c r="I317" s="176" t="inlineStr">
        <is>
          <t>1404/08/17</t>
        </is>
      </c>
      <c r="J317" s="176" t="inlineStr">
        <is>
          <t>1405/04/31</t>
        </is>
      </c>
      <c r="K317" s="177">
        <f>IFERROR(VLOOKUP(LEFT(H317,7),'تبدیل تاریخ'!$A$2:$B$73,2,FALSE())+VALUE(RIGHT(H317,2))-1,"")</f>
        <v/>
      </c>
      <c r="L317" s="177">
        <f>IFERROR(VLOOKUP(LEFT(I317,7),'تبدیل تاریخ'!$A$2:$B$73,2,FALSE())+VALUE(RIGHT(I317,2))-1,"")</f>
        <v/>
      </c>
      <c r="M317" s="177">
        <f>IF(J317="","",IFERROR(VLOOKUP(LEFT(J317,7),'تبدیل تاریخ'!$A$2:$B$73,2,FALSE())+VALUE(RIGHT(J317,2))-1,""))</f>
        <v/>
      </c>
      <c r="N317" s="124">
        <f>IF(OR(K317="",M317=""),"",CEILING((K317-M317)/30,1))</f>
        <v/>
      </c>
      <c r="O317" s="124" t="inlineStr">
        <is>
          <t>نشتی - شیلنگ (تعمیر/آب‌بندی)</t>
        </is>
      </c>
      <c r="P317" s="124" t="inlineStr">
        <is>
          <t>*</t>
        </is>
      </c>
      <c r="Q317" s="124" t="n"/>
      <c r="R317" s="178">
        <f>IF(O317="تعویض کامل دستگاه (Replacement)",IF(SUMIF('قیمت‌ها و مفروضات'!$A$9:$A$13,C317,'قیمت‌ها و مفروضات'!$C$9:$C$13)&lt;&gt;0,SUMIF('قیمت‌ها و مفروضات'!$A$9:$A$13,C317,'قیمت‌ها و مفروضات'!$C$9:$C$13),SUMIF('قیمت‌ها و مفروضات'!$A$9:$A$13,C317,'قیمت‌ها و مفروضات'!$B$9:$B$13)),IF(SUMIF('قیمت‌ها و مفروضات'!$A$18:$A$63,O317,'قیمت‌ها و مفروضات'!$C$18:$C$63)&lt;&gt;0,SUMIF('قیمت‌ها و مفروضات'!$A$18:$A$63,O317,'قیمت‌ها و مفروضات'!$C$18:$C$63),SUMIF('قیمت‌ها و مفروضات'!$A$18:$A$63,O317,'قیمت‌ها و مفروضات'!$B$18:$B$63)))</f>
        <v/>
      </c>
      <c r="S317" s="178">
        <f>'قیمت‌ها و مفروضات'!$B$3+'قیمت‌ها و مفروضات'!$B$4</f>
        <v/>
      </c>
      <c r="T317" s="178">
        <f>R317+S317</f>
        <v/>
      </c>
      <c r="U317" s="178">
        <f>IF(COUNTIF($E$2:E317,E317)&gt;1,"بله (تکراری)","خیر")</f>
        <v/>
      </c>
      <c r="V317" s="176">
        <f>IF(U317="بله (تکراری)",S317,0)</f>
        <v/>
      </c>
      <c r="W317" s="176" t="inlineStr">
        <is>
          <t>محمدرضا ظرافتي افخم/کد 3902 - لوازم خانگي</t>
        </is>
      </c>
      <c r="X317" s="176" t="inlineStr">
        <is>
          <t>همدان</t>
        </is>
      </c>
    </row>
    <row r="318" ht="58.5" customFormat="1" customHeight="1" s="183">
      <c r="A318" s="176" t="n">
        <v>210016958</v>
      </c>
      <c r="B318" s="124">
        <f>CHOOSE(_xlfn.NUMBERVALUE(MID(H318,6,2)),"فروردین","اردیبهشت","خرداد","تیر","مرداد","شهریور","مهر","آبان","آذر","دی","بهمن","اسفند")</f>
        <v/>
      </c>
      <c r="C318" s="176" t="inlineStr">
        <is>
          <t>ماشين ظرفشويي</t>
        </is>
      </c>
      <c r="D318" s="176" t="inlineStr">
        <is>
          <t>CDW-H16TS1</t>
        </is>
      </c>
      <c r="E318" s="176" t="inlineStr">
        <is>
          <t>52220004N04701</t>
        </is>
      </c>
      <c r="F318" s="173" t="inlineStr">
        <is>
          <t>عدم شست و شوي کامل ظروف**اياب و ذهاب به عهده شرکت</t>
        </is>
      </c>
      <c r="G318" s="173" t="inlineStr">
        <is>
          <t>خرابي برد</t>
        </is>
      </c>
      <c r="H318" s="176" t="inlineStr">
        <is>
          <t>1405/05/03</t>
        </is>
      </c>
      <c r="I318" s="176" t="inlineStr">
        <is>
          <t>1404/08/21</t>
        </is>
      </c>
      <c r="J318" s="176" t="inlineStr">
        <is>
          <t>1405/01/27</t>
        </is>
      </c>
      <c r="K318" s="177">
        <f>IFERROR(VLOOKUP(LEFT(H318,7),'تبدیل تاریخ'!$A$2:$B$73,2,FALSE())+VALUE(RIGHT(H318,2))-1,"")</f>
        <v/>
      </c>
      <c r="L318" s="177">
        <f>IFERROR(VLOOKUP(LEFT(I318,7),'تبدیل تاریخ'!$A$2:$B$73,2,FALSE())+VALUE(RIGHT(I318,2))-1,"")</f>
        <v/>
      </c>
      <c r="M318" s="177">
        <f>IF(J318="","",IFERROR(VLOOKUP(LEFT(J318,7),'تبدیل تاریخ'!$A$2:$B$73,2,FALSE())+VALUE(RIGHT(J318,2))-1,""))</f>
        <v/>
      </c>
      <c r="N318" s="124">
        <f>IF(OR(K318="",M318=""),"",CEILING((K318-M318)/30,1))</f>
        <v/>
      </c>
      <c r="O318" s="124" t="inlineStr">
        <is>
          <t>خرابی - برد الکترونیک (تعویض)</t>
        </is>
      </c>
      <c r="P318" s="124" t="inlineStr">
        <is>
          <t>DW-HS-16 برد ماشين ظرفشويي</t>
        </is>
      </c>
      <c r="Q318" s="124" t="n"/>
      <c r="R318" s="178">
        <f>IF(O318="تعویض کامل دستگاه (Replacement)",IF(SUMIF('قیمت‌ها و مفروضات'!$A$9:$A$13,C318,'قیمت‌ها و مفروضات'!$C$9:$C$13)&lt;&gt;0,SUMIF('قیمت‌ها و مفروضات'!$A$9:$A$13,C318,'قیمت‌ها و مفروضات'!$C$9:$C$13),SUMIF('قیمت‌ها و مفروضات'!$A$9:$A$13,C318,'قیمت‌ها و مفروضات'!$B$9:$B$13)),IF(SUMIF('قیمت‌ها و مفروضات'!$A$18:$A$63,O318,'قیمت‌ها و مفروضات'!$C$18:$C$63)&lt;&gt;0,SUMIF('قیمت‌ها و مفروضات'!$A$18:$A$63,O318,'قیمت‌ها و مفروضات'!$C$18:$C$63),SUMIF('قیمت‌ها و مفروضات'!$A$18:$A$63,O318,'قیمت‌ها و مفروضات'!$B$18:$B$63)))</f>
        <v/>
      </c>
      <c r="S318" s="178">
        <f>'قیمت‌ها و مفروضات'!$B$3+'قیمت‌ها و مفروضات'!$B$4</f>
        <v/>
      </c>
      <c r="T318" s="178">
        <f>R318+S318</f>
        <v/>
      </c>
      <c r="U318" s="178">
        <f>IF(COUNTIF($E$2:E318,E318)&gt;1,"بله (تکراری)","خیر")</f>
        <v/>
      </c>
      <c r="V318" s="176">
        <f>IF(U318="بله (تکراری)",S318,0)</f>
        <v/>
      </c>
      <c r="W318" s="176" t="inlineStr">
        <is>
          <t>حميدرضا کردزاري/کد1713</t>
        </is>
      </c>
      <c r="X318" s="176" t="inlineStr">
        <is>
          <t>شهريار</t>
        </is>
      </c>
    </row>
    <row r="319" ht="58.5" customHeight="1" s="151">
      <c r="A319" s="176" t="n">
        <v>510023219</v>
      </c>
      <c r="B319" s="124">
        <f>CHOOSE(_xlfn.NUMBERVALUE(MID(H319,6,2)),"فروردین","اردیبهشت","خرداد","تیر","مرداد","شهریور","مهر","آبان","آذر","دی","بهمن","اسفند")</f>
        <v/>
      </c>
      <c r="C319" s="176" t="inlineStr">
        <is>
          <t>ماشين لباسشويي</t>
        </is>
      </c>
      <c r="D319" s="176" t="inlineStr">
        <is>
          <t>CWM-BMW8TI2</t>
        </is>
      </c>
      <c r="E319" s="176" t="inlineStr">
        <is>
          <t>52210010N02061</t>
        </is>
      </c>
      <c r="F319" s="173" t="inlineStr">
        <is>
          <t>عدم عملکرد کليدهاي ديسپلي**از کار افتادن محصول**اياب و ذهاب به عهده شرکت</t>
        </is>
      </c>
      <c r="G319" s="173" t="inlineStr">
        <is>
          <t xml:space="preserve">عدم نصب سوکت موتور  روي برد </t>
        </is>
      </c>
      <c r="H319" s="176" t="inlineStr">
        <is>
          <t>1405/05/10</t>
        </is>
      </c>
      <c r="I319" s="176" t="inlineStr">
        <is>
          <t>1404/09/05</t>
        </is>
      </c>
      <c r="J319" s="176" t="inlineStr">
        <is>
          <t>1405/05/06</t>
        </is>
      </c>
      <c r="K319" s="177">
        <f>IFERROR(VLOOKUP(LEFT(H319,7),'تبدیل تاریخ'!$A$2:$B$73,2,FALSE())+VALUE(RIGHT(H319,2))-1,"")</f>
        <v/>
      </c>
      <c r="L319" s="177">
        <f>IFERROR(VLOOKUP(LEFT(I319,7),'تبدیل تاریخ'!$A$2:$B$73,2,FALSE())+VALUE(RIGHT(I319,2))-1,"")</f>
        <v/>
      </c>
      <c r="M319" s="177">
        <f>IF(J319="","",IFERROR(VLOOKUP(LEFT(J319,7),'تبدیل تاریخ'!$A$2:$B$73,2,FALSE())+VALUE(RIGHT(J319,2))-1,""))</f>
        <v/>
      </c>
      <c r="N319" s="124">
        <f>IF(OR(K319="",M319=""),"",CEILING((K319-M319)/30,1))</f>
        <v/>
      </c>
      <c r="O319" s="233" t="inlineStr">
        <is>
          <t>سیم‌کشی/اتصالات (تعویض/بازبینی)</t>
        </is>
      </c>
      <c r="P319" s="124" t="inlineStr">
        <is>
          <t>اصلاح سوکت</t>
        </is>
      </c>
      <c r="Q319" s="124" t="n"/>
      <c r="R319" s="178">
        <f>IF(O319="تعویض کامل دستگاه (Replacement)",IF(SUMIF('قیمت‌ها و مفروضات'!$A$9:$A$13,C319,'قیمت‌ها و مفروضات'!$C$9:$C$13)&lt;&gt;0,SUMIF('قیمت‌ها و مفروضات'!$A$9:$A$13,C319,'قیمت‌ها و مفروضات'!$C$9:$C$13),SUMIF('قیمت‌ها و مفروضات'!$A$9:$A$13,C319,'قیمت‌ها و مفروضات'!$B$9:$B$13)),IF(SUMIF('قیمت‌ها و مفروضات'!$A$18:$A$63,O319,'قیمت‌ها و مفروضات'!$C$18:$C$63)&lt;&gt;0,SUMIF('قیمت‌ها و مفروضات'!$A$18:$A$63,O319,'قیمت‌ها و مفروضات'!$C$18:$C$63),SUMIF('قیمت‌ها و مفروضات'!$A$18:$A$63,O319,'قیمت‌ها و مفروضات'!$B$18:$B$63)))</f>
        <v/>
      </c>
      <c r="S319" s="178">
        <f>'قیمت‌ها و مفروضات'!$B$3+'قیمت‌ها و مفروضات'!$B$4</f>
        <v/>
      </c>
      <c r="T319" s="178">
        <f>R319+S319</f>
        <v/>
      </c>
      <c r="U319" s="178">
        <f>IF(COUNTIF($E$2:E319,E319)&gt;1,"بله (تکراری)","خیر")</f>
        <v/>
      </c>
      <c r="V319" s="176">
        <f>IF(U319="بله (تکراری)",S319,0)</f>
        <v/>
      </c>
      <c r="W319" s="176" t="inlineStr">
        <is>
          <t>مصطفي حسيني/کد 51004T</t>
        </is>
      </c>
      <c r="X319" s="176" t="inlineStr">
        <is>
          <t>مشهد</t>
        </is>
      </c>
    </row>
    <row r="320" ht="58.5" customHeight="1" s="151">
      <c r="A320" s="176" t="n">
        <v>210017703</v>
      </c>
      <c r="B320" s="124">
        <f>CHOOSE(_xlfn.NUMBERVALUE(MID(H320,6,2)),"فروردین","اردیبهشت","خرداد","تیر","مرداد","شهریور","مهر","آبان","آذر","دی","بهمن","اسفند")</f>
        <v/>
      </c>
      <c r="C320" s="176" t="inlineStr">
        <is>
          <t>ماشين ظرفشويي</t>
        </is>
      </c>
      <c r="D320" s="176" t="inlineStr">
        <is>
          <t>CDW-H16TS1</t>
        </is>
      </c>
      <c r="E320" s="176" t="inlineStr">
        <is>
          <t>52220004N05024</t>
        </is>
      </c>
      <c r="F320" s="173" t="inlineStr">
        <is>
          <t>بسته نشدن درب**اياب و ذهاب به عهده شرکت</t>
        </is>
      </c>
      <c r="G320" s="173" t="inlineStr">
        <is>
          <t>خرابی قلاب میکروسوئیچ</t>
        </is>
      </c>
      <c r="H320" s="176" t="inlineStr">
        <is>
          <t>1405/05/07</t>
        </is>
      </c>
      <c r="I320" s="176" t="inlineStr">
        <is>
          <t>1404/09/02</t>
        </is>
      </c>
      <c r="J320" s="176" t="inlineStr">
        <is>
          <t>1405/03/17</t>
        </is>
      </c>
      <c r="K320" s="177">
        <f>IFERROR(VLOOKUP(LEFT(H320,7),'تبدیل تاریخ'!$A$2:$B$73,2,FALSE())+VALUE(RIGHT(H320,2))-1,"")</f>
        <v/>
      </c>
      <c r="L320" s="177">
        <f>IFERROR(VLOOKUP(LEFT(I320,7),'تبدیل تاریخ'!$A$2:$B$73,2,FALSE())+VALUE(RIGHT(I320,2))-1,"")</f>
        <v/>
      </c>
      <c r="M320" s="177">
        <f>IF(J320="","",IFERROR(VLOOKUP(LEFT(J320,7),'تبدیل تاریخ'!$A$2:$B$73,2,FALSE())+VALUE(RIGHT(J320,2))-1,""))</f>
        <v/>
      </c>
      <c r="N320" s="124">
        <f>IF(OR(K320="",M320=""),"",CEILING((K320-M320)/30,1))</f>
        <v/>
      </c>
      <c r="O320" s="124" t="inlineStr">
        <is>
          <t>مکانیزم درب - میکروسوئیچ/قلاب (تعویض/تنظیم)</t>
        </is>
      </c>
      <c r="P320" s="124" t="inlineStr">
        <is>
          <t>قلاب ميکروسوئيچ ماشين ظرفشويی     CDW-H13\CDW-H15\CDW-H16</t>
        </is>
      </c>
      <c r="Q320" s="124" t="n"/>
      <c r="R320" s="178">
        <f>IF(O320="تعویض کامل دستگاه (Replacement)",IF(SUMIF('قیمت‌ها و مفروضات'!$A$9:$A$13,C320,'قیمت‌ها و مفروضات'!$C$9:$C$13)&lt;&gt;0,SUMIF('قیمت‌ها و مفروضات'!$A$9:$A$13,C320,'قیمت‌ها و مفروضات'!$C$9:$C$13),SUMIF('قیمت‌ها و مفروضات'!$A$9:$A$13,C320,'قیمت‌ها و مفروضات'!$B$9:$B$13)),IF(SUMIF('قیمت‌ها و مفروضات'!$A$18:$A$63,O320,'قیمت‌ها و مفروضات'!$C$18:$C$63)&lt;&gt;0,SUMIF('قیمت‌ها و مفروضات'!$A$18:$A$63,O320,'قیمت‌ها و مفروضات'!$C$18:$C$63),SUMIF('قیمت‌ها و مفروضات'!$A$18:$A$63,O320,'قیمت‌ها و مفروضات'!$B$18:$B$63)))</f>
        <v/>
      </c>
      <c r="S320" s="178">
        <f>'قیمت‌ها و مفروضات'!$B$3+'قیمت‌ها و مفروضات'!$B$4</f>
        <v/>
      </c>
      <c r="T320" s="178">
        <f>R320+S320</f>
        <v/>
      </c>
      <c r="U320" s="178">
        <f>IF(COUNTIF($E$2:E320,E320)&gt;1,"بله (تکراری)","خیر")</f>
        <v/>
      </c>
      <c r="V320" s="176">
        <f>IF(U320="بله (تکراری)",S320,0)</f>
        <v/>
      </c>
      <c r="W320" s="176" t="inlineStr">
        <is>
          <t>مسلم  عبدالکريم شربياني/کد1740</t>
        </is>
      </c>
      <c r="X320" s="176" t="inlineStr">
        <is>
          <t>شهر ري</t>
        </is>
      </c>
    </row>
    <row r="321" ht="58.5" customHeight="1" s="151">
      <c r="A321" s="176" t="n">
        <v>210017847</v>
      </c>
      <c r="B321" s="124">
        <f>CHOOSE(_xlfn.NUMBERVALUE(MID(H321,6,2)),"فروردین","اردیبهشت","خرداد","تیر","مرداد","شهریور","مهر","آبان","آذر","دی","بهمن","اسفند")</f>
        <v/>
      </c>
      <c r="C321" s="176" t="inlineStr">
        <is>
          <t>ماشين ظرفشويي</t>
        </is>
      </c>
      <c r="D321" s="176" t="inlineStr">
        <is>
          <t>CDW-H16TW1</t>
        </is>
      </c>
      <c r="E321" s="176" t="inlineStr">
        <is>
          <t>52220005N05234</t>
        </is>
      </c>
      <c r="F321" s="173" t="inlineStr">
        <is>
          <t>بسته نشدن درب**اياب و ذهاب به عهده شرکت</t>
        </is>
      </c>
      <c r="G321" s="173" t="inlineStr">
        <is>
          <t>پايين بودن میکروسوئیچ درب</t>
        </is>
      </c>
      <c r="H321" s="176" t="inlineStr">
        <is>
          <t>1405/05/08</t>
        </is>
      </c>
      <c r="I321" s="176" t="inlineStr">
        <is>
          <t>1404/09/01</t>
        </is>
      </c>
      <c r="J321" s="176" t="inlineStr">
        <is>
          <t>1404/09/22</t>
        </is>
      </c>
      <c r="K321" s="177">
        <f>IFERROR(VLOOKUP(LEFT(H321,7),'تبدیل تاریخ'!$A$2:$B$73,2,FALSE())+VALUE(RIGHT(H321,2))-1,"")</f>
        <v/>
      </c>
      <c r="L321" s="177">
        <f>IFERROR(VLOOKUP(LEFT(I321,7),'تبدیل تاریخ'!$A$2:$B$73,2,FALSE())+VALUE(RIGHT(I321,2))-1,"")</f>
        <v/>
      </c>
      <c r="M321" s="177">
        <f>IF(J321="","",IFERROR(VLOOKUP(LEFT(J321,7),'تبدیل تاریخ'!$A$2:$B$73,2,FALSE())+VALUE(RIGHT(J321,2))-1,""))</f>
        <v/>
      </c>
      <c r="N321" s="124">
        <f>IF(OR(K321="",M321=""),"",CEILING((K321-M321)/30,1))</f>
        <v/>
      </c>
      <c r="O321" s="124" t="inlineStr">
        <is>
          <t>مکانیزم درب - میکروسوئیچ/قلاب (تعویض/تنظیم)</t>
        </is>
      </c>
      <c r="P321" s="124" t="inlineStr">
        <is>
          <t>*</t>
        </is>
      </c>
      <c r="Q321" s="124" t="n"/>
      <c r="R321" s="178">
        <f>IF(O321="تعویض کامل دستگاه (Replacement)",IF(SUMIF('قیمت‌ها و مفروضات'!$A$9:$A$13,C321,'قیمت‌ها و مفروضات'!$C$9:$C$13)&lt;&gt;0,SUMIF('قیمت‌ها و مفروضات'!$A$9:$A$13,C321,'قیمت‌ها و مفروضات'!$C$9:$C$13),SUMIF('قیمت‌ها و مفروضات'!$A$9:$A$13,C321,'قیمت‌ها و مفروضات'!$B$9:$B$13)),IF(SUMIF('قیمت‌ها و مفروضات'!$A$18:$A$63,O321,'قیمت‌ها و مفروضات'!$C$18:$C$63)&lt;&gt;0,SUMIF('قیمت‌ها و مفروضات'!$A$18:$A$63,O321,'قیمت‌ها و مفروضات'!$C$18:$C$63),SUMIF('قیمت‌ها و مفروضات'!$A$18:$A$63,O321,'قیمت‌ها و مفروضات'!$B$18:$B$63)))</f>
        <v/>
      </c>
      <c r="S321" s="178">
        <f>'قیمت‌ها و مفروضات'!$B$3+'قیمت‌ها و مفروضات'!$B$4</f>
        <v/>
      </c>
      <c r="T321" s="178">
        <f>R321+S321</f>
        <v/>
      </c>
      <c r="U321" s="178">
        <f>IF(COUNTIF($E$2:E321,E321)&gt;1,"بله (تکراری)","خیر")</f>
        <v/>
      </c>
      <c r="V321" s="176">
        <f>IF(U321="بله (تکراری)",S321,0)</f>
        <v/>
      </c>
      <c r="W321" s="176" t="inlineStr">
        <is>
          <t>اميد ناصري /کد 1718</t>
        </is>
      </c>
      <c r="X321" s="176" t="inlineStr">
        <is>
          <t>پاکدشت</t>
        </is>
      </c>
    </row>
    <row r="322" ht="58.5" customHeight="1" s="151">
      <c r="A322" s="176" t="n">
        <v>310007859</v>
      </c>
      <c r="B322" s="124">
        <f>CHOOSE(_xlfn.NUMBERVALUE(MID(H322,6,2)),"فروردین","اردیبهشت","خرداد","تیر","مرداد","شهریور","مهر","آبان","آذر","دی","بهمن","اسفند")</f>
        <v/>
      </c>
      <c r="C322" s="176" t="inlineStr">
        <is>
          <t>يخچال ميني</t>
        </is>
      </c>
      <c r="D322" s="176" t="inlineStr">
        <is>
          <t>CM-RS5BK2</t>
        </is>
      </c>
      <c r="E322" s="176" t="inlineStr">
        <is>
          <t>52240004N00484</t>
        </is>
      </c>
      <c r="F322" s="173" t="inlineStr">
        <is>
          <t>خاموش و روشن شدن LED کاور / سقفي**اياب و ذهاب به عهده شرکت</t>
        </is>
      </c>
      <c r="G322" s="173" t="inlineStr">
        <is>
          <t xml:space="preserve">خرابی کلید فشاری </t>
        </is>
      </c>
      <c r="H322" s="176" t="inlineStr">
        <is>
          <t>1405/05/17</t>
        </is>
      </c>
      <c r="I322" s="176" t="inlineStr">
        <is>
          <t>1404/11/01</t>
        </is>
      </c>
      <c r="J322" s="176" t="inlineStr">
        <is>
          <t>1405/04/01</t>
        </is>
      </c>
      <c r="K322" s="177">
        <f>IFERROR(VLOOKUP(LEFT(H322,7),'تبدیل تاریخ'!$A$2:$B$73,2,FALSE())+VALUE(RIGHT(H322,2))-1,"")</f>
        <v/>
      </c>
      <c r="L322" s="177">
        <f>IFERROR(VLOOKUP(LEFT(I322,7),'تبدیل تاریخ'!$A$2:$B$73,2,FALSE())+VALUE(RIGHT(I322,2))-1,"")</f>
        <v/>
      </c>
      <c r="M322" s="177">
        <f>IF(J322="","",IFERROR(VLOOKUP(LEFT(J322,7),'تبدیل تاریخ'!$A$2:$B$73,2,FALSE())+VALUE(RIGHT(J322,2))-1,""))</f>
        <v/>
      </c>
      <c r="N322" s="124">
        <f>IF(OR(K322="",M322=""),"",CEILING((K322-M322)/30,1))</f>
        <v/>
      </c>
      <c r="O322" s="124" t="inlineStr">
        <is>
          <t>تنظیم - پیچ ولوم/دکمه (تعمیر)</t>
        </is>
      </c>
      <c r="P322" s="124" t="inlineStr">
        <is>
          <t>MINI کليد فشاري يخچال</t>
        </is>
      </c>
      <c r="Q322" s="124" t="n"/>
      <c r="R322" s="178">
        <f>IF(O322="تعویض کامل دستگاه (Replacement)",IF(SUMIF('قیمت‌ها و مفروضات'!$A$9:$A$13,C322,'قیمت‌ها و مفروضات'!$C$9:$C$13)&lt;&gt;0,SUMIF('قیمت‌ها و مفروضات'!$A$9:$A$13,C322,'قیمت‌ها و مفروضات'!$C$9:$C$13),SUMIF('قیمت‌ها و مفروضات'!$A$9:$A$13,C322,'قیمت‌ها و مفروضات'!$B$9:$B$13)),IF(SUMIF('قیمت‌ها و مفروضات'!$A$18:$A$63,O322,'قیمت‌ها و مفروضات'!$C$18:$C$63)&lt;&gt;0,SUMIF('قیمت‌ها و مفروضات'!$A$18:$A$63,O322,'قیمت‌ها و مفروضات'!$C$18:$C$63),SUMIF('قیمت‌ها و مفروضات'!$A$18:$A$63,O322,'قیمت‌ها و مفروضات'!$B$18:$B$63)))</f>
        <v/>
      </c>
      <c r="S322" s="178">
        <f>'قیمت‌ها و مفروضات'!$B$3+'قیمت‌ها و مفروضات'!$B$4</f>
        <v/>
      </c>
      <c r="T322" s="178">
        <f>R322+S322</f>
        <v/>
      </c>
      <c r="U322" s="178">
        <f>IF(COUNTIF($E$2:E322,E322)&gt;1,"بله (تکراری)","خیر")</f>
        <v/>
      </c>
      <c r="V322" s="176">
        <f>IF(U322="بله (تکراری)",S322,0)</f>
        <v/>
      </c>
      <c r="W322" s="176" t="inlineStr">
        <is>
          <t>مهرداد جعفري/کد1379</t>
        </is>
      </c>
      <c r="X322" s="176" t="inlineStr">
        <is>
          <t>اصفهان</t>
        </is>
      </c>
    </row>
    <row r="323" ht="58.5" customHeight="1" s="151">
      <c r="A323" s="176" t="n">
        <v>510022884</v>
      </c>
      <c r="B323" s="124">
        <f>CHOOSE(_xlfn.NUMBERVALUE(MID(H323,6,2)),"فروردین","اردیبهشت","خرداد","تیر","مرداد","شهریور","مهر","آبان","آذر","دی","بهمن","اسفند")</f>
        <v/>
      </c>
      <c r="C323" s="176" t="inlineStr">
        <is>
          <t>ماشين ظرفشويي</t>
        </is>
      </c>
      <c r="D323" s="176" t="inlineStr">
        <is>
          <t>CDW-K14BW1</t>
        </is>
      </c>
      <c r="E323" s="176" t="inlineStr">
        <is>
          <t>52220007N00285</t>
        </is>
      </c>
      <c r="F323" s="173" t="inlineStr">
        <is>
          <t>خطاي E5**اياب و ذهاب به عهده مشتري</t>
        </is>
      </c>
      <c r="G323" s="173" t="inlineStr">
        <is>
          <t>نشتي شيلنگ تخليه</t>
        </is>
      </c>
      <c r="H323" s="176" t="inlineStr">
        <is>
          <t>1405/05/04</t>
        </is>
      </c>
      <c r="I323" s="176" t="inlineStr">
        <is>
          <t>1404/12/05</t>
        </is>
      </c>
      <c r="J323" s="176" t="inlineStr">
        <is>
          <t>1405/02/06</t>
        </is>
      </c>
      <c r="K323" s="177">
        <f>IFERROR(VLOOKUP(LEFT(H323,7),'تبدیل تاریخ'!$A$2:$B$73,2,FALSE())+VALUE(RIGHT(H323,2))-1,"")</f>
        <v/>
      </c>
      <c r="L323" s="177">
        <f>IFERROR(VLOOKUP(LEFT(I323,7),'تبدیل تاریخ'!$A$2:$B$73,2,FALSE())+VALUE(RIGHT(I323,2))-1,"")</f>
        <v/>
      </c>
      <c r="M323" s="177">
        <f>IF(J323="","",IFERROR(VLOOKUP(LEFT(J323,7),'تبدیل تاریخ'!$A$2:$B$73,2,FALSE())+VALUE(RIGHT(J323,2))-1,""))</f>
        <v/>
      </c>
      <c r="N323" s="124">
        <f>IF(OR(K323="",M323=""),"",CEILING((K323-M323)/30,1))</f>
        <v/>
      </c>
      <c r="O323" s="124" t="inlineStr">
        <is>
          <t>نشتی - شیلنگ (تعمیر/آب‌بندی)</t>
        </is>
      </c>
      <c r="P323" s="124" t="inlineStr">
        <is>
          <t>*</t>
        </is>
      </c>
      <c r="Q323" s="124" t="n"/>
      <c r="R323" s="178">
        <f>IF(O323="تعویض کامل دستگاه (Replacement)",IF(SUMIF('قیمت‌ها و مفروضات'!$A$9:$A$13,C323,'قیمت‌ها و مفروضات'!$C$9:$C$13)&lt;&gt;0,SUMIF('قیمت‌ها و مفروضات'!$A$9:$A$13,C323,'قیمت‌ها و مفروضات'!$C$9:$C$13),SUMIF('قیمت‌ها و مفروضات'!$A$9:$A$13,C323,'قیمت‌ها و مفروضات'!$B$9:$B$13)),IF(SUMIF('قیمت‌ها و مفروضات'!$A$18:$A$63,O323,'قیمت‌ها و مفروضات'!$C$18:$C$63)&lt;&gt;0,SUMIF('قیمت‌ها و مفروضات'!$A$18:$A$63,O323,'قیمت‌ها و مفروضات'!$C$18:$C$63),SUMIF('قیمت‌ها و مفروضات'!$A$18:$A$63,O323,'قیمت‌ها و مفروضات'!$B$18:$B$63)))</f>
        <v/>
      </c>
      <c r="S323" s="178">
        <f>'قیمت‌ها و مفروضات'!$B$3+'قیمت‌ها و مفروضات'!$B$4</f>
        <v/>
      </c>
      <c r="T323" s="178">
        <f>R323+S323</f>
        <v/>
      </c>
      <c r="U323" s="178">
        <f>IF(COUNTIF($E$2:E323,E323)&gt;1,"بله (تکراری)","خیر")</f>
        <v/>
      </c>
      <c r="V323" s="176">
        <f>IF(U323="بله (تکراری)",S323,0)</f>
        <v/>
      </c>
      <c r="W323" s="176" t="inlineStr">
        <is>
          <t>محمدعلي حق دوست /کد 1966</t>
        </is>
      </c>
      <c r="X323" s="176" t="inlineStr">
        <is>
          <t>قاين</t>
        </is>
      </c>
    </row>
    <row r="324" ht="58.5" customHeight="1" s="151">
      <c r="A324" s="176" t="n">
        <v>310006971</v>
      </c>
      <c r="B324" s="124">
        <f>CHOOSE(_xlfn.NUMBERVALUE(MID(H324,6,2)),"فروردین","اردیبهشت","خرداد","تیر","مرداد","شهریور","مهر","آبان","آذر","دی","بهمن","اسفند")</f>
        <v/>
      </c>
      <c r="C324" s="176" t="inlineStr">
        <is>
          <t>ماشين لباسشويي</t>
        </is>
      </c>
      <c r="D324" s="176" t="inlineStr">
        <is>
          <t>CWM-BMW8TW3</t>
        </is>
      </c>
      <c r="E324" s="176" t="inlineStr">
        <is>
          <t>52210013N00195</t>
        </is>
      </c>
      <c r="F324" s="173" t="inlineStr">
        <is>
          <t>کسري قطعات پک بسته بندي - کد قطعه در ليست اقدامات درج مي گردد.**اياب و ذهاب به عهده شرکت</t>
        </is>
      </c>
      <c r="G324" s="173" t="inlineStr">
        <is>
          <t>کسري پک بسته بندي</t>
        </is>
      </c>
      <c r="H324" s="176" t="inlineStr">
        <is>
          <t>1405/05/04</t>
        </is>
      </c>
      <c r="I324" s="176" t="inlineStr">
        <is>
          <t>1404/12/05</t>
        </is>
      </c>
      <c r="J324" s="176" t="inlineStr">
        <is>
          <t>1405/05/04</t>
        </is>
      </c>
      <c r="K324" s="177">
        <f>IFERROR(VLOOKUP(LEFT(H324,7),'تبدیل تاریخ'!$A$2:$B$73,2,FALSE())+VALUE(RIGHT(H324,2))-1,"")</f>
        <v/>
      </c>
      <c r="L324" s="177">
        <f>IFERROR(VLOOKUP(LEFT(I324,7),'تبدیل تاریخ'!$A$2:$B$73,2,FALSE())+VALUE(RIGHT(I324,2))-1,"")</f>
        <v/>
      </c>
      <c r="M324" s="177">
        <f>IF(J324="","",IFERROR(VLOOKUP(LEFT(J324,7),'تبدیل تاریخ'!$A$2:$B$73,2,FALSE())+VALUE(RIGHT(J324,2))-1,""))</f>
        <v/>
      </c>
      <c r="N324" s="124">
        <f>IF(OR(K324="",M324=""),"",CEILING((K324-M324)/30,1))</f>
        <v/>
      </c>
      <c r="O324" s="233" t="inlineStr">
        <is>
          <t>قطعات تزئینی - شکستگی/کسری (تعویض)</t>
        </is>
      </c>
      <c r="P324" s="124" t="inlineStr">
        <is>
          <t>BMW شيلنگ ورودي آب ماشين لباسشويي</t>
        </is>
      </c>
      <c r="Q324" s="124" t="n"/>
      <c r="R324" s="178">
        <f>IF(O324="تعویض کامل دستگاه (Replacement)",IF(SUMIF('قیمت‌ها و مفروضات'!$A$9:$A$13,C324,'قیمت‌ها و مفروضات'!$C$9:$C$13)&lt;&gt;0,SUMIF('قیمت‌ها و مفروضات'!$A$9:$A$13,C324,'قیمت‌ها و مفروضات'!$C$9:$C$13),SUMIF('قیمت‌ها و مفروضات'!$A$9:$A$13,C324,'قیمت‌ها و مفروضات'!$B$9:$B$13)),IF(SUMIF('قیمت‌ها و مفروضات'!$A$18:$A$63,O324,'قیمت‌ها و مفروضات'!$C$18:$C$63)&lt;&gt;0,SUMIF('قیمت‌ها و مفروضات'!$A$18:$A$63,O324,'قیمت‌ها و مفروضات'!$C$18:$C$63),SUMIF('قیمت‌ها و مفروضات'!$A$18:$A$63,O324,'قیمت‌ها و مفروضات'!$B$18:$B$63)))</f>
        <v/>
      </c>
      <c r="S324" s="178">
        <f>'قیمت‌ها و مفروضات'!$B$3+'قیمت‌ها و مفروضات'!$B$4</f>
        <v/>
      </c>
      <c r="T324" s="178">
        <f>R324+S324</f>
        <v/>
      </c>
      <c r="U324" s="178">
        <f>IF(COUNTIF($E$2:E324,E324)&gt;1,"بله (تکراری)","خیر")</f>
        <v/>
      </c>
      <c r="V324" s="176">
        <f>IF(U324="بله (تکراری)",S324,0)</f>
        <v/>
      </c>
      <c r="W324" s="176" t="inlineStr">
        <is>
          <t>وحيد مولوي چوبيني/کد1818</t>
        </is>
      </c>
      <c r="X324" s="176" t="inlineStr">
        <is>
          <t>شهرکرد</t>
        </is>
      </c>
    </row>
    <row r="325" ht="58.5" customHeight="1" s="151">
      <c r="A325" s="176" t="n">
        <v>310008128</v>
      </c>
      <c r="B325" s="124">
        <f>CHOOSE(_xlfn.NUMBERVALUE(MID(H325,6,2)),"فروردین","اردیبهشت","خرداد","تیر","مرداد","شهریور","مهر","آبان","آذر","دی","بهمن","اسفند")</f>
        <v/>
      </c>
      <c r="C325" s="176" t="inlineStr">
        <is>
          <t>ماشين لباسشويي</t>
        </is>
      </c>
      <c r="D325" s="176" t="inlineStr">
        <is>
          <t>CWM-BMW9TW2</t>
        </is>
      </c>
      <c r="E325" s="176" t="inlineStr">
        <is>
          <t>52210015N00250</t>
        </is>
      </c>
      <c r="F325" s="173" t="inlineStr">
        <is>
          <t>کسري پک بسته بندي - کد داخلي قطعه در ليست اقدام درج مي گردد.**اياب و ذهاب به عهده شرکت</t>
        </is>
      </c>
      <c r="G325" s="173" t="inlineStr">
        <is>
          <t>کسري پک بسته بندي</t>
        </is>
      </c>
      <c r="H325" s="176" t="inlineStr">
        <is>
          <t>1405/05/19</t>
        </is>
      </c>
      <c r="I325" s="176" t="inlineStr">
        <is>
          <t>1404/12/24</t>
        </is>
      </c>
      <c r="J325" s="176" t="inlineStr"/>
      <c r="K325" s="177">
        <f>IFERROR(VLOOKUP(LEFT(H325,7),'تبدیل تاریخ'!$A$2:$B$73,2,FALSE())+VALUE(RIGHT(H325,2))-1,"")</f>
        <v/>
      </c>
      <c r="L325" s="177">
        <f>IFERROR(VLOOKUP(LEFT(I325,7),'تبدیل تاریخ'!$A$2:$B$73,2,FALSE())+VALUE(RIGHT(I325,2))-1,"")</f>
        <v/>
      </c>
      <c r="M325" s="177">
        <f>IF(J325="","",IFERROR(VLOOKUP(LEFT(J325,7),'تبدیل تاریخ'!$A$2:$B$73,2,FALSE())+VALUE(RIGHT(J325,2))-1,""))</f>
        <v/>
      </c>
      <c r="N325" s="124">
        <f>IF(OR(K325="",M325=""),"",CEILING((K325-M325)/30,1))</f>
        <v/>
      </c>
      <c r="O325" s="233" t="inlineStr">
        <is>
          <t>قطعات تزئینی - شکستگی/کسری (تعویض)</t>
        </is>
      </c>
      <c r="P325" s="124" t="inlineStr">
        <is>
          <t>BMW شيلنگ ورودي آب ماشين لباسشويي</t>
        </is>
      </c>
      <c r="Q325" s="124" t="n"/>
      <c r="R325" s="178">
        <f>IF(O325="تعویض کامل دستگاه (Replacement)",IF(SUMIF('قیمت‌ها و مفروضات'!$A$9:$A$13,C325,'قیمت‌ها و مفروضات'!$C$9:$C$13)&lt;&gt;0,SUMIF('قیمت‌ها و مفروضات'!$A$9:$A$13,C325,'قیمت‌ها و مفروضات'!$C$9:$C$13),SUMIF('قیمت‌ها و مفروضات'!$A$9:$A$13,C325,'قیمت‌ها و مفروضات'!$B$9:$B$13)),IF(SUMIF('قیمت‌ها و مفروضات'!$A$18:$A$63,O325,'قیمت‌ها و مفروضات'!$C$18:$C$63)&lt;&gt;0,SUMIF('قیمت‌ها و مفروضات'!$A$18:$A$63,O325,'قیمت‌ها و مفروضات'!$C$18:$C$63),SUMIF('قیمت‌ها و مفروضات'!$A$18:$A$63,O325,'قیمت‌ها و مفروضات'!$B$18:$B$63)))</f>
        <v/>
      </c>
      <c r="S325" s="178">
        <f>'قیمت‌ها و مفروضات'!$B$3+'قیمت‌ها و مفروضات'!$B$4</f>
        <v/>
      </c>
      <c r="T325" s="178">
        <f>R325+S325</f>
        <v/>
      </c>
      <c r="U325" s="178">
        <f>IF(COUNTIF($E$2:E325,E325)&gt;1,"بله (تکراری)","خیر")</f>
        <v/>
      </c>
      <c r="V325" s="176">
        <f>IF(U325="بله (تکراری)",S325,0)</f>
        <v/>
      </c>
      <c r="W325" s="176" t="inlineStr">
        <is>
          <t>حبيب الله چرامين/کد1811</t>
        </is>
      </c>
      <c r="X325" s="176" t="inlineStr">
        <is>
          <t>شهرکرد</t>
        </is>
      </c>
    </row>
    <row r="326" ht="58.5" customHeight="1" s="151">
      <c r="A326" s="176" t="n">
        <v>210019559</v>
      </c>
      <c r="B326" s="124">
        <f>CHOOSE(_xlfn.NUMBERVALUE(MID(H326,6,2)),"فروردین","اردیبهشت","خرداد","تیر","مرداد","شهریور","مهر","آبان","آذر","دی","بهمن","اسفند")</f>
        <v/>
      </c>
      <c r="C326" s="176" t="inlineStr">
        <is>
          <t>يخچال ميني</t>
        </is>
      </c>
      <c r="D326" s="176" t="inlineStr">
        <is>
          <t>CM-RM5WH1</t>
        </is>
      </c>
      <c r="E326" s="176" t="inlineStr">
        <is>
          <t>52240009N00273</t>
        </is>
      </c>
      <c r="F326" s="173" t="inlineStr">
        <is>
          <t>اياب و ذهاب به عهده شرکت**بسته نشدن درب</t>
        </is>
      </c>
      <c r="G326" s="173" t="inlineStr">
        <is>
          <t xml:space="preserve">خرابی کلید فشاری </t>
        </is>
      </c>
      <c r="H326" s="176" t="inlineStr">
        <is>
          <t>1405/05/19</t>
        </is>
      </c>
      <c r="I326" s="176" t="inlineStr">
        <is>
          <t>1405/04/31</t>
        </is>
      </c>
      <c r="J326" s="176" t="inlineStr"/>
      <c r="K326" s="177">
        <f>IFERROR(VLOOKUP(LEFT(H326,7),'تبدیل تاریخ'!$A$2:$B$73,2,FALSE())+VALUE(RIGHT(H326,2))-1,"")</f>
        <v/>
      </c>
      <c r="L326" s="177">
        <f>IFERROR(VLOOKUP(LEFT(I326,7),'تبدیل تاریخ'!$A$2:$B$73,2,FALSE())+VALUE(RIGHT(I326,2))-1,"")</f>
        <v/>
      </c>
      <c r="M326" s="177">
        <f>IF(J326="","",IFERROR(VLOOKUP(LEFT(J326,7),'تبدیل تاریخ'!$A$2:$B$73,2,FALSE())+VALUE(RIGHT(J326,2))-1,""))</f>
        <v/>
      </c>
      <c r="N326" s="124">
        <f>IF(OR(K326="",M326=""),"",CEILING((K326-M326)/30,1))</f>
        <v/>
      </c>
      <c r="O326" s="124" t="inlineStr">
        <is>
          <t>تنظیم - پیچ ولوم/دکمه (تعمیر)</t>
        </is>
      </c>
      <c r="P326" s="124" t="inlineStr">
        <is>
          <t>MINI کليد فشاري يخچال</t>
        </is>
      </c>
      <c r="Q326" s="124" t="n"/>
      <c r="R326" s="178">
        <f>IF(O326="تعویض کامل دستگاه (Replacement)",IF(SUMIF('قیمت‌ها و مفروضات'!$A$9:$A$13,C326,'قیمت‌ها و مفروضات'!$C$9:$C$13)&lt;&gt;0,SUMIF('قیمت‌ها و مفروضات'!$A$9:$A$13,C326,'قیمت‌ها و مفروضات'!$C$9:$C$13),SUMIF('قیمت‌ها و مفروضات'!$A$9:$A$13,C326,'قیمت‌ها و مفروضات'!$B$9:$B$13)),IF(SUMIF('قیمت‌ها و مفروضات'!$A$18:$A$63,O326,'قیمت‌ها و مفروضات'!$C$18:$C$63)&lt;&gt;0,SUMIF('قیمت‌ها و مفروضات'!$A$18:$A$63,O326,'قیمت‌ها و مفروضات'!$C$18:$C$63),SUMIF('قیمت‌ها و مفروضات'!$A$18:$A$63,O326,'قیمت‌ها و مفروضات'!$B$18:$B$63)))</f>
        <v/>
      </c>
      <c r="S326" s="178">
        <f>'قیمت‌ها و مفروضات'!$B$3+'قیمت‌ها و مفروضات'!$B$4</f>
        <v/>
      </c>
      <c r="T326" s="178">
        <f>R326+S326</f>
        <v/>
      </c>
      <c r="U326" s="178">
        <f>IF(COUNTIF($E$2:E326,E326)&gt;1,"بله (تکراری)","خیر")</f>
        <v/>
      </c>
      <c r="V326" s="176">
        <f>IF(U326="بله (تکراری)",S326,0)</f>
        <v/>
      </c>
      <c r="W326" s="176" t="inlineStr">
        <is>
          <t>رضا مومني زاده / کد 2802</t>
        </is>
      </c>
      <c r="X326" s="176" t="inlineStr">
        <is>
          <t>قم</t>
        </is>
      </c>
    </row>
    <row r="327" ht="58.5" customHeight="1" s="151">
      <c r="A327" s="176" t="n">
        <v>810003210</v>
      </c>
      <c r="B327" s="124">
        <f>CHOOSE(_xlfn.NUMBERVALUE(MID(H327,6,2)),"فروردین","اردیبهشت","خرداد","تیر","مرداد","شهریور","مهر","آبان","آذر","دی","بهمن","اسفند")</f>
        <v/>
      </c>
      <c r="C327" s="176" t="inlineStr">
        <is>
          <t>ماشين ظرفشويي</t>
        </is>
      </c>
      <c r="D327" s="176" t="inlineStr">
        <is>
          <t>CDW-H16TS1</t>
        </is>
      </c>
      <c r="E327" s="176" t="inlineStr">
        <is>
          <t>52220004N04742</t>
        </is>
      </c>
      <c r="F327" s="173" t="inlineStr">
        <is>
          <t>خطاي F54**اياب و ذهاب به عهده شرکت</t>
        </is>
      </c>
      <c r="G327" s="173" t="inlineStr">
        <is>
          <t>نشتي اورينگ مخزن نمک</t>
        </is>
      </c>
      <c r="H327" s="176" t="inlineStr">
        <is>
          <t>1405/01/21</t>
        </is>
      </c>
      <c r="I327" s="176" t="inlineStr">
        <is>
          <t>1404/08/22</t>
        </is>
      </c>
      <c r="J327" s="176" t="inlineStr">
        <is>
          <t>1404/10/11</t>
        </is>
      </c>
      <c r="K327" s="177">
        <f>IFERROR(VLOOKUP(LEFT(H327,7),'تبدیل تاریخ'!$A$2:$B$73,2,FALSE())+VALUE(RIGHT(H327,2))-1,"")</f>
        <v/>
      </c>
      <c r="L327" s="177">
        <f>IFERROR(VLOOKUP(LEFT(I327,7),'تبدیل تاریخ'!$A$2:$B$73,2,FALSE())+VALUE(RIGHT(I327,2))-1,"")</f>
        <v/>
      </c>
      <c r="M327" s="177">
        <f>IF(J327="","",IFERROR(VLOOKUP(LEFT(J327,7),'تبدیل تاریخ'!$A$2:$B$73,2,FALSE())+VALUE(RIGHT(J327,2))-1,""))</f>
        <v/>
      </c>
      <c r="N327" s="124">
        <f>IF(OR(K327="",M327=""),"",CEILING((K327-M327)/30,1))</f>
        <v/>
      </c>
      <c r="O327" s="124" t="inlineStr">
        <is>
          <t>نشتی - درب مخزن نمک (تعمیر/آب‌بندی)</t>
        </is>
      </c>
      <c r="P327" s="124" t="inlineStr">
        <is>
          <t>اورینگ آغشته به گریس و مجدد در جایگاه خود فیکس شد .</t>
        </is>
      </c>
      <c r="Q327" s="124" t="n"/>
      <c r="R327" s="178">
        <f>IF(O327="تعویض کامل دستگاه (Replacement)",IF(SUMIF('قیمت‌ها و مفروضات'!$A$9:$A$13,C327,'قیمت‌ها و مفروضات'!$C$9:$C$13)&lt;&gt;0,SUMIF('قیمت‌ها و مفروضات'!$A$9:$A$13,C327,'قیمت‌ها و مفروضات'!$C$9:$C$13),SUMIF('قیمت‌ها و مفروضات'!$A$9:$A$13,C327,'قیمت‌ها و مفروضات'!$B$9:$B$13)),IF(SUMIF('قیمت‌ها و مفروضات'!$A$18:$A$63,O327,'قیمت‌ها و مفروضات'!$C$18:$C$63)&lt;&gt;0,SUMIF('قیمت‌ها و مفروضات'!$A$18:$A$63,O327,'قیمت‌ها و مفروضات'!$C$18:$C$63),SUMIF('قیمت‌ها و مفروضات'!$A$18:$A$63,O327,'قیمت‌ها و مفروضات'!$B$18:$B$63)))</f>
        <v/>
      </c>
      <c r="S327" s="178">
        <f>'قیمت‌ها و مفروضات'!$B$3+'قیمت‌ها و مفروضات'!$B$4</f>
        <v/>
      </c>
      <c r="T327" s="178">
        <f>R327+S327</f>
        <v/>
      </c>
      <c r="U327" s="178">
        <f>IF(COUNTIF($E$2:E327,E327)&gt;1,"بله (تکراری)","خیر")</f>
        <v/>
      </c>
      <c r="V327" s="176">
        <f>IF(U327="بله (تکراری)",S327,0)</f>
        <v/>
      </c>
      <c r="W327" s="176" t="inlineStr">
        <is>
          <t>حسن حداديان اکباتاني/کد 3905</t>
        </is>
      </c>
      <c r="X327" s="176" t="inlineStr">
        <is>
          <t>همدان</t>
        </is>
      </c>
    </row>
    <row r="328" ht="58.5" customHeight="1" s="151">
      <c r="R328" s="178" t="n"/>
      <c r="S328" s="178" t="n"/>
      <c r="T328" s="178" t="n"/>
      <c r="U328" s="178" t="n"/>
      <c r="V328" s="178" t="n"/>
    </row>
    <row r="329" ht="58.5" customHeight="1" s="151">
      <c r="R329" s="178" t="n"/>
      <c r="S329" s="178" t="n"/>
      <c r="T329" s="178" t="n"/>
      <c r="U329" s="178" t="n"/>
      <c r="V329" s="178" t="n"/>
    </row>
    <row r="330" ht="58.5" customHeight="1" s="151">
      <c r="R330" s="178" t="n"/>
      <c r="S330" s="178" t="n"/>
      <c r="T330" s="178" t="n"/>
      <c r="U330" s="178" t="n"/>
      <c r="V330" s="178" t="n"/>
    </row>
    <row r="331" ht="58.5" customHeight="1" s="151">
      <c r="R331" s="178" t="n"/>
      <c r="S331" s="178" t="n"/>
      <c r="T331" s="178" t="n"/>
      <c r="U331" s="178" t="n"/>
      <c r="V331" s="178" t="n"/>
    </row>
    <row r="332" ht="58.5" customHeight="1" s="151">
      <c r="R332" s="178" t="n"/>
      <c r="S332" s="178" t="n"/>
      <c r="T332" s="178" t="n"/>
      <c r="U332" s="178" t="n"/>
      <c r="V332" s="178" t="n"/>
    </row>
    <row r="333" ht="58.5" customHeight="1" s="151">
      <c r="R333" s="178" t="n"/>
      <c r="S333" s="178" t="n"/>
      <c r="T333" s="178" t="n"/>
      <c r="U333" s="178" t="n"/>
      <c r="V333" s="178" t="n"/>
    </row>
    <row r="334" ht="58.5" customHeight="1" s="151">
      <c r="R334" s="178" t="n"/>
      <c r="S334" s="178" t="n"/>
      <c r="T334" s="178" t="n"/>
      <c r="U334" s="178" t="n"/>
      <c r="V334" s="178" t="n"/>
    </row>
    <row r="335" ht="58.5" customHeight="1" s="151">
      <c r="R335" s="178" t="n"/>
      <c r="S335" s="178" t="n"/>
      <c r="T335" s="178" t="n"/>
      <c r="U335" s="178" t="n"/>
      <c r="V335" s="178" t="n"/>
    </row>
    <row r="336" ht="58.5" customHeight="1" s="151">
      <c r="R336" s="178" t="n"/>
      <c r="S336" s="178" t="n"/>
      <c r="T336" s="178" t="n"/>
      <c r="U336" s="178" t="n"/>
      <c r="V336" s="178" t="n"/>
    </row>
    <row r="337" ht="58.5" customHeight="1" s="151">
      <c r="R337" s="178" t="n"/>
      <c r="S337" s="178" t="n"/>
      <c r="T337" s="178" t="n"/>
      <c r="U337" s="178" t="n"/>
      <c r="V337" s="178" t="n"/>
    </row>
    <row r="338" ht="58.5" customHeight="1" s="151">
      <c r="R338" s="178" t="n"/>
      <c r="S338" s="178" t="n"/>
      <c r="T338" s="178" t="n"/>
      <c r="U338" s="178" t="n"/>
      <c r="V338" s="178" t="n"/>
    </row>
    <row r="339" ht="58.5" customHeight="1" s="151">
      <c r="R339" s="178" t="n"/>
      <c r="S339" s="178" t="n"/>
      <c r="T339" s="178" t="n"/>
      <c r="U339" s="178" t="n"/>
      <c r="V339" s="178" t="n"/>
    </row>
    <row r="340" ht="58.5" customHeight="1" s="151">
      <c r="R340" s="178" t="n"/>
      <c r="S340" s="178" t="n"/>
      <c r="T340" s="178" t="n"/>
      <c r="U340" s="178" t="n"/>
      <c r="V340" s="178" t="n"/>
    </row>
    <row r="341" ht="58.5" customHeight="1" s="151">
      <c r="R341" s="178" t="n"/>
      <c r="S341" s="178" t="n"/>
      <c r="T341" s="178" t="n"/>
      <c r="U341" s="178" t="n"/>
      <c r="V341" s="178" t="n"/>
    </row>
    <row r="342" ht="58.5" customHeight="1" s="151">
      <c r="R342" s="178" t="n"/>
      <c r="S342" s="178" t="n"/>
      <c r="T342" s="178" t="n"/>
      <c r="U342" s="178" t="n"/>
      <c r="V342" s="178" t="n"/>
    </row>
    <row r="343" ht="58.5" customHeight="1" s="151">
      <c r="R343" s="178" t="n"/>
      <c r="S343" s="178" t="n"/>
      <c r="T343" s="178" t="n"/>
      <c r="U343" s="178" t="n"/>
      <c r="V343" s="178" t="n"/>
    </row>
    <row r="344" ht="58.5" customHeight="1" s="151">
      <c r="R344" s="178" t="n"/>
      <c r="S344" s="178" t="n"/>
      <c r="T344" s="178" t="n"/>
      <c r="U344" s="178" t="n"/>
      <c r="V344" s="178" t="n"/>
    </row>
    <row r="345" ht="58.5" customHeight="1" s="151">
      <c r="R345" s="178" t="n"/>
      <c r="S345" s="178" t="n"/>
      <c r="T345" s="178" t="n"/>
      <c r="U345" s="178" t="n"/>
      <c r="V345" s="178" t="n"/>
    </row>
    <row r="346" ht="58.5" customHeight="1" s="151">
      <c r="R346" s="178" t="n"/>
      <c r="S346" s="178" t="n"/>
      <c r="T346" s="178" t="n"/>
      <c r="U346" s="178" t="n"/>
      <c r="V346" s="178" t="n"/>
    </row>
    <row r="347" ht="58.5" customHeight="1" s="151">
      <c r="R347" s="178" t="n"/>
      <c r="S347" s="178" t="n"/>
      <c r="T347" s="178" t="n"/>
      <c r="U347" s="178" t="n"/>
      <c r="V347" s="178" t="n"/>
    </row>
    <row r="348" ht="58.5" customHeight="1" s="151">
      <c r="R348" s="178" t="n"/>
      <c r="S348" s="178" t="n"/>
      <c r="T348" s="178" t="n"/>
      <c r="U348" s="178" t="n"/>
      <c r="V348" s="178" t="n"/>
    </row>
    <row r="349" ht="58.5" customHeight="1" s="151">
      <c r="R349" s="178" t="n"/>
      <c r="S349" s="178" t="n"/>
      <c r="T349" s="178" t="n"/>
      <c r="U349" s="178" t="n"/>
      <c r="V349" s="178" t="n"/>
    </row>
    <row r="350" ht="58.5" customHeight="1" s="151">
      <c r="R350" s="178" t="n"/>
      <c r="S350" s="178" t="n"/>
      <c r="T350" s="178" t="n"/>
      <c r="U350" s="178" t="n"/>
      <c r="V350" s="178" t="n"/>
    </row>
    <row r="351" ht="58.5" customHeight="1" s="151">
      <c r="R351" s="178" t="n"/>
      <c r="S351" s="178" t="n"/>
      <c r="T351" s="178" t="n"/>
      <c r="U351" s="178" t="n"/>
      <c r="V351" s="178" t="n"/>
    </row>
    <row r="352" ht="58.5" customHeight="1" s="151">
      <c r="R352" s="178" t="n"/>
      <c r="S352" s="178" t="n"/>
      <c r="T352" s="178" t="n"/>
      <c r="U352" s="178" t="n"/>
      <c r="V352" s="178" t="n"/>
    </row>
    <row r="353" ht="58.5" customHeight="1" s="151">
      <c r="R353" s="178" t="n"/>
      <c r="S353" s="178" t="n"/>
      <c r="T353" s="178" t="n"/>
      <c r="U353" s="178" t="n"/>
      <c r="V353" s="178" t="n"/>
    </row>
    <row r="354" ht="58.5" customHeight="1" s="151">
      <c r="R354" s="178" t="n"/>
      <c r="S354" s="178" t="n"/>
      <c r="T354" s="178" t="n"/>
      <c r="U354" s="178" t="n"/>
      <c r="V354" s="178" t="n"/>
    </row>
    <row r="355" ht="58.5" customHeight="1" s="151">
      <c r="R355" s="178" t="n"/>
      <c r="S355" s="178" t="n"/>
      <c r="T355" s="178" t="n"/>
      <c r="U355" s="178" t="n"/>
      <c r="V355" s="178" t="n"/>
    </row>
    <row r="356" ht="58.5" customHeight="1" s="151">
      <c r="R356" s="178" t="n"/>
      <c r="S356" s="178" t="n"/>
      <c r="T356" s="178" t="n"/>
      <c r="U356" s="178" t="n"/>
      <c r="V356" s="178" t="n"/>
    </row>
    <row r="357" ht="58.5" customHeight="1" s="151">
      <c r="R357" s="178" t="n"/>
      <c r="S357" s="178" t="n"/>
      <c r="T357" s="178" t="n"/>
      <c r="U357" s="178" t="n"/>
      <c r="V357" s="178" t="n"/>
    </row>
    <row r="358" ht="58.5" customHeight="1" s="151">
      <c r="R358" s="178" t="n"/>
      <c r="S358" s="178" t="n"/>
      <c r="T358" s="178" t="n"/>
      <c r="U358" s="178" t="n"/>
      <c r="V358" s="178" t="n"/>
    </row>
    <row r="359" ht="58.5" customHeight="1" s="151">
      <c r="R359" s="178" t="n"/>
      <c r="S359" s="178" t="n"/>
      <c r="T359" s="178" t="n"/>
      <c r="U359" s="178" t="n"/>
      <c r="V359" s="178" t="n"/>
    </row>
    <row r="360" ht="58.5" customHeight="1" s="151">
      <c r="R360" s="178" t="n"/>
      <c r="S360" s="178" t="n"/>
      <c r="T360" s="178" t="n"/>
      <c r="U360" s="178" t="n"/>
      <c r="V360" s="178" t="n"/>
    </row>
    <row r="361" ht="58.5" customHeight="1" s="151">
      <c r="R361" s="178" t="n"/>
      <c r="S361" s="178" t="n"/>
      <c r="T361" s="178" t="n"/>
      <c r="U361" s="178" t="n"/>
      <c r="V361" s="178" t="n"/>
    </row>
    <row r="362" ht="58.5" customHeight="1" s="151">
      <c r="R362" s="178" t="n"/>
      <c r="S362" s="178" t="n"/>
      <c r="T362" s="178" t="n"/>
      <c r="U362" s="178" t="n"/>
      <c r="V362" s="178" t="n"/>
    </row>
    <row r="363" ht="58.5" customHeight="1" s="151">
      <c r="R363" s="178" t="n"/>
      <c r="S363" s="178" t="n"/>
      <c r="T363" s="178" t="n"/>
      <c r="U363" s="178" t="n"/>
      <c r="V363" s="178" t="n"/>
    </row>
    <row r="364" ht="58.5" customHeight="1" s="151">
      <c r="R364" s="178" t="n"/>
      <c r="S364" s="178" t="n"/>
      <c r="T364" s="178" t="n"/>
      <c r="U364" s="178" t="n"/>
      <c r="V364" s="178" t="n"/>
    </row>
    <row r="365" ht="58.5" customHeight="1" s="151">
      <c r="R365" s="178" t="n"/>
      <c r="S365" s="178" t="n"/>
      <c r="T365" s="178" t="n"/>
      <c r="U365" s="178" t="n"/>
      <c r="V365" s="178" t="n"/>
    </row>
    <row r="366" ht="58.5" customHeight="1" s="151">
      <c r="R366" s="178" t="n"/>
      <c r="S366" s="178" t="n"/>
      <c r="T366" s="178" t="n"/>
      <c r="U366" s="178" t="n"/>
      <c r="V366" s="178" t="n"/>
    </row>
    <row r="367" ht="58.5" customHeight="1" s="151">
      <c r="R367" s="178" t="n"/>
      <c r="S367" s="178" t="n"/>
      <c r="T367" s="178" t="n"/>
      <c r="U367" s="178" t="n"/>
      <c r="V367" s="178" t="n"/>
    </row>
    <row r="368" ht="58.5" customHeight="1" s="151">
      <c r="R368" s="178" t="n"/>
      <c r="S368" s="178" t="n"/>
      <c r="T368" s="178" t="n"/>
      <c r="U368" s="178" t="n"/>
      <c r="V368" s="178" t="n"/>
    </row>
    <row r="369" ht="58.5" customHeight="1" s="151">
      <c r="R369" s="178" t="n"/>
      <c r="S369" s="178" t="n"/>
      <c r="T369" s="178" t="n"/>
      <c r="U369" s="178" t="n"/>
      <c r="V369" s="178" t="n"/>
    </row>
    <row r="370" ht="58.5" customHeight="1" s="151">
      <c r="R370" s="178" t="n"/>
      <c r="S370" s="178" t="n"/>
      <c r="T370" s="178" t="n"/>
      <c r="U370" s="178" t="n"/>
      <c r="V370" s="178" t="n"/>
    </row>
    <row r="371" ht="58.5" customHeight="1" s="151">
      <c r="R371" s="178" t="n"/>
      <c r="S371" s="178" t="n"/>
      <c r="T371" s="178" t="n"/>
      <c r="U371" s="178" t="n"/>
      <c r="V371" s="178" t="n"/>
    </row>
    <row r="372" ht="58.5" customHeight="1" s="151">
      <c r="R372" s="178" t="n"/>
      <c r="S372" s="178" t="n"/>
      <c r="T372" s="178" t="n"/>
      <c r="U372" s="178" t="n"/>
      <c r="V372" s="178" t="n"/>
    </row>
    <row r="373" ht="58.5" customHeight="1" s="151">
      <c r="R373" s="178" t="n"/>
      <c r="S373" s="178" t="n"/>
      <c r="T373" s="178" t="n"/>
      <c r="U373" s="178" t="n"/>
      <c r="V373" s="178" t="n"/>
    </row>
    <row r="374" ht="58.5" customHeight="1" s="151">
      <c r="R374" s="178" t="n"/>
      <c r="S374" s="178" t="n"/>
      <c r="T374" s="178" t="n"/>
      <c r="U374" s="178" t="n"/>
      <c r="V374" s="178" t="n"/>
    </row>
    <row r="375" ht="58.5" customHeight="1" s="151">
      <c r="R375" s="178" t="n"/>
      <c r="S375" s="178" t="n"/>
      <c r="T375" s="178" t="n"/>
      <c r="U375" s="178" t="n"/>
      <c r="V375" s="178" t="n"/>
    </row>
    <row r="376" ht="58.5" customHeight="1" s="151">
      <c r="R376" s="178" t="n"/>
      <c r="S376" s="178" t="n"/>
      <c r="T376" s="178" t="n"/>
      <c r="U376" s="178" t="n"/>
      <c r="V376" s="178" t="n"/>
    </row>
    <row r="377" ht="58.5" customHeight="1" s="151">
      <c r="R377" s="178" t="n"/>
      <c r="S377" s="178" t="n"/>
      <c r="T377" s="178" t="n"/>
      <c r="U377" s="178" t="n"/>
      <c r="V377" s="178" t="n"/>
    </row>
    <row r="378" ht="58.5" customHeight="1" s="151">
      <c r="R378" s="178" t="n"/>
      <c r="S378" s="178" t="n"/>
      <c r="T378" s="178" t="n"/>
      <c r="U378" s="178" t="n"/>
      <c r="V378" s="178" t="n"/>
    </row>
    <row r="379" ht="58.5" customHeight="1" s="151">
      <c r="R379" s="178" t="n"/>
      <c r="S379" s="178" t="n"/>
      <c r="T379" s="178" t="n"/>
      <c r="U379" s="178" t="n"/>
      <c r="V379" s="178" t="n"/>
    </row>
    <row r="380" ht="58.5" customHeight="1" s="151">
      <c r="R380" s="178" t="n"/>
      <c r="S380" s="178" t="n"/>
      <c r="T380" s="178" t="n"/>
      <c r="U380" s="178" t="n"/>
      <c r="V380" s="178" t="n"/>
    </row>
    <row r="381" ht="58.5" customHeight="1" s="151">
      <c r="R381" s="178" t="n"/>
      <c r="S381" s="178" t="n"/>
      <c r="T381" s="178" t="n"/>
      <c r="U381" s="178" t="n"/>
      <c r="V381" s="178" t="n"/>
    </row>
    <row r="382" ht="58.5" customHeight="1" s="151">
      <c r="R382" s="178" t="n"/>
      <c r="S382" s="178" t="n"/>
      <c r="T382" s="178" t="n"/>
      <c r="U382" s="178" t="n"/>
      <c r="V382" s="178" t="n"/>
    </row>
    <row r="383" ht="58.5" customHeight="1" s="151">
      <c r="R383" s="178" t="n"/>
      <c r="S383" s="178" t="n"/>
      <c r="T383" s="178" t="n"/>
      <c r="U383" s="178" t="n"/>
      <c r="V383" s="178" t="n"/>
    </row>
    <row r="384" ht="58.5" customHeight="1" s="151">
      <c r="R384" s="178" t="n"/>
      <c r="S384" s="178" t="n"/>
      <c r="T384" s="178" t="n"/>
      <c r="U384" s="178" t="n"/>
      <c r="V384" s="178" t="n"/>
    </row>
    <row r="385" ht="58.5" customHeight="1" s="151">
      <c r="R385" s="178" t="n"/>
      <c r="S385" s="178" t="n"/>
      <c r="T385" s="178" t="n"/>
      <c r="U385" s="178" t="n"/>
      <c r="V385" s="178" t="n"/>
    </row>
    <row r="386" ht="58.5" customHeight="1" s="151">
      <c r="R386" s="178" t="n"/>
      <c r="S386" s="178" t="n"/>
      <c r="T386" s="178" t="n"/>
      <c r="U386" s="178" t="n"/>
      <c r="V386" s="178" t="n"/>
    </row>
    <row r="387" ht="58.5" customHeight="1" s="151">
      <c r="R387" s="178" t="n"/>
      <c r="S387" s="178" t="n"/>
      <c r="T387" s="178" t="n"/>
      <c r="U387" s="178" t="n"/>
      <c r="V387" s="178" t="n"/>
    </row>
    <row r="388" ht="58.5" customHeight="1" s="151">
      <c r="R388" s="178" t="n"/>
      <c r="S388" s="178" t="n"/>
      <c r="T388" s="178" t="n"/>
      <c r="U388" s="178" t="n"/>
      <c r="V388" s="178" t="n"/>
    </row>
    <row r="389" ht="58.5" customHeight="1" s="151">
      <c r="R389" s="178" t="n"/>
      <c r="S389" s="178" t="n"/>
      <c r="T389" s="178" t="n"/>
      <c r="U389" s="178" t="n"/>
      <c r="V389" s="178" t="n"/>
    </row>
    <row r="390" ht="58.5" customHeight="1" s="151">
      <c r="R390" s="178" t="n"/>
      <c r="S390" s="178" t="n"/>
      <c r="T390" s="178" t="n"/>
      <c r="U390" s="178" t="n"/>
      <c r="V390" s="178" t="n"/>
    </row>
    <row r="391" ht="58.5" customHeight="1" s="151">
      <c r="R391" s="178" t="n"/>
      <c r="S391" s="178" t="n"/>
      <c r="T391" s="178" t="n"/>
      <c r="U391" s="178" t="n"/>
      <c r="V391" s="178" t="n"/>
    </row>
    <row r="392" ht="58.5" customHeight="1" s="151">
      <c r="R392" s="178" t="n"/>
      <c r="S392" s="178" t="n"/>
      <c r="T392" s="178" t="n"/>
      <c r="U392" s="178" t="n"/>
      <c r="V392" s="178" t="n"/>
    </row>
    <row r="393" ht="58.5" customHeight="1" s="151">
      <c r="R393" s="178" t="n"/>
      <c r="S393" s="178" t="n"/>
      <c r="T393" s="178" t="n"/>
      <c r="U393" s="178" t="n"/>
      <c r="V393" s="178" t="n"/>
    </row>
    <row r="394" ht="58.5" customHeight="1" s="151">
      <c r="R394" s="178" t="n"/>
      <c r="S394" s="178" t="n"/>
      <c r="T394" s="178" t="n"/>
      <c r="U394" s="178" t="n"/>
      <c r="V394" s="178" t="n"/>
    </row>
    <row r="395" ht="58.5" customHeight="1" s="151">
      <c r="R395" s="178" t="n"/>
      <c r="S395" s="178" t="n"/>
      <c r="T395" s="178" t="n"/>
      <c r="U395" s="178" t="n"/>
      <c r="V395" s="178" t="n"/>
    </row>
    <row r="396" ht="58.5" customHeight="1" s="151">
      <c r="R396" s="178" t="n"/>
      <c r="S396" s="178" t="n"/>
      <c r="T396" s="178" t="n"/>
      <c r="U396" s="178" t="n"/>
      <c r="V396" s="178" t="n"/>
    </row>
    <row r="397" ht="58.5" customHeight="1" s="151">
      <c r="R397" s="178" t="n"/>
      <c r="S397" s="178" t="n"/>
      <c r="T397" s="178" t="n"/>
      <c r="U397" s="178" t="n"/>
      <c r="V397" s="178" t="n"/>
    </row>
    <row r="398" ht="58.5" customHeight="1" s="151">
      <c r="R398" s="178" t="n"/>
      <c r="S398" s="178" t="n"/>
      <c r="T398" s="178" t="n"/>
      <c r="U398" s="178" t="n"/>
      <c r="V398" s="178" t="n"/>
    </row>
    <row r="399" ht="58.5" customHeight="1" s="151">
      <c r="R399" s="178" t="n"/>
      <c r="S399" s="178" t="n"/>
      <c r="T399" s="178" t="n"/>
      <c r="U399" s="178" t="n"/>
      <c r="V399" s="178" t="n"/>
    </row>
    <row r="400" ht="58.5" customHeight="1" s="151">
      <c r="R400" s="178" t="n"/>
      <c r="S400" s="178" t="n"/>
      <c r="T400" s="178" t="n"/>
      <c r="U400" s="178" t="n"/>
      <c r="V400" s="178" t="n"/>
    </row>
    <row r="401" ht="58.5" customHeight="1" s="151">
      <c r="R401" s="183" t="n"/>
      <c r="S401" s="183" t="n"/>
      <c r="T401" s="183" t="n"/>
      <c r="U401" s="183" t="n"/>
      <c r="V401" s="183" t="n"/>
    </row>
    <row r="402" ht="58.5" customHeight="1" s="151">
      <c r="R402" s="183" t="n"/>
      <c r="S402" s="183" t="n"/>
      <c r="T402" s="183" t="n"/>
      <c r="U402" s="183" t="n"/>
      <c r="V402" s="183" t="n"/>
    </row>
    <row r="403" ht="58.5" customHeight="1" s="151">
      <c r="R403" s="183" t="n"/>
      <c r="S403" s="183" t="n"/>
      <c r="T403" s="183" t="n"/>
      <c r="U403" s="183" t="n"/>
      <c r="V403" s="183" t="n"/>
    </row>
    <row r="404" ht="58.5" customHeight="1" s="151">
      <c r="R404" s="183" t="n"/>
      <c r="S404" s="183" t="n"/>
      <c r="T404" s="183" t="n"/>
      <c r="U404" s="183" t="n"/>
      <c r="V404" s="183" t="n"/>
    </row>
    <row r="405" ht="58.5" customHeight="1" s="151">
      <c r="R405" s="183" t="n"/>
      <c r="S405" s="183" t="n"/>
      <c r="T405" s="183" t="n"/>
      <c r="U405" s="183" t="n"/>
      <c r="V405" s="183" t="n"/>
    </row>
    <row r="406" ht="58.5" customHeight="1" s="151">
      <c r="R406" s="183" t="n"/>
      <c r="S406" s="183" t="n"/>
      <c r="T406" s="183" t="n"/>
      <c r="U406" s="183" t="n"/>
      <c r="V406" s="183" t="n"/>
    </row>
    <row r="407" ht="58.5" customHeight="1" s="151">
      <c r="R407" s="183" t="n"/>
      <c r="S407" s="183" t="n"/>
      <c r="T407" s="183" t="n"/>
      <c r="U407" s="183" t="n"/>
      <c r="V407" s="183" t="n"/>
    </row>
    <row r="408" ht="58.5" customHeight="1" s="151">
      <c r="R408" s="183" t="n"/>
      <c r="S408" s="183" t="n"/>
      <c r="T408" s="183" t="n"/>
      <c r="U408" s="183" t="n"/>
      <c r="V408" s="183" t="n"/>
    </row>
    <row r="409" ht="58.5" customHeight="1" s="151">
      <c r="R409" s="183" t="n"/>
      <c r="S409" s="183" t="n"/>
      <c r="T409" s="183" t="n"/>
      <c r="U409" s="183" t="n"/>
      <c r="V409" s="183" t="n"/>
    </row>
    <row r="410" ht="58.5" customHeight="1" s="151">
      <c r="R410" s="183" t="n"/>
      <c r="S410" s="183" t="n"/>
      <c r="T410" s="183" t="n"/>
      <c r="U410" s="183" t="n"/>
      <c r="V410" s="183" t="n"/>
    </row>
    <row r="411" ht="58.5" customHeight="1" s="151">
      <c r="R411" s="183" t="n"/>
      <c r="S411" s="183" t="n"/>
      <c r="T411" s="183" t="n"/>
      <c r="U411" s="183" t="n"/>
      <c r="V411" s="183" t="n"/>
    </row>
    <row r="412" ht="58.5" customHeight="1" s="151">
      <c r="R412" s="183" t="n"/>
      <c r="S412" s="183" t="n"/>
      <c r="T412" s="183" t="n"/>
      <c r="U412" s="183" t="n"/>
      <c r="V412" s="183" t="n"/>
    </row>
    <row r="413" ht="58.5" customHeight="1" s="151">
      <c r="R413" s="183" t="n"/>
      <c r="S413" s="183" t="n"/>
      <c r="T413" s="183" t="n"/>
      <c r="U413" s="183" t="n"/>
      <c r="V413" s="183" t="n"/>
    </row>
    <row r="414" ht="58.5" customHeight="1" s="151">
      <c r="R414" s="183" t="n"/>
      <c r="S414" s="183" t="n"/>
      <c r="T414" s="183" t="n"/>
      <c r="U414" s="183" t="n"/>
      <c r="V414" s="183" t="n"/>
    </row>
    <row r="415" ht="58.5" customHeight="1" s="151">
      <c r="R415" s="183" t="n"/>
      <c r="S415" s="183" t="n"/>
      <c r="T415" s="183" t="n"/>
      <c r="U415" s="183" t="n"/>
      <c r="V415" s="183" t="n"/>
    </row>
    <row r="416" ht="58.5" customHeight="1" s="151">
      <c r="R416" s="183" t="n"/>
      <c r="S416" s="183" t="n"/>
      <c r="T416" s="183" t="n"/>
      <c r="U416" s="183" t="n"/>
      <c r="V416" s="183" t="n"/>
    </row>
    <row r="417" ht="58.5" customHeight="1" s="151">
      <c r="R417" s="183" t="n"/>
      <c r="S417" s="183" t="n"/>
      <c r="T417" s="183" t="n"/>
      <c r="U417" s="183" t="n"/>
      <c r="V417" s="183" t="n"/>
    </row>
    <row r="418" ht="58.5" customHeight="1" s="151">
      <c r="R418" s="183" t="n"/>
      <c r="S418" s="183" t="n"/>
      <c r="T418" s="183" t="n"/>
      <c r="U418" s="183" t="n"/>
      <c r="V418" s="183" t="n"/>
    </row>
    <row r="419" ht="58.5" customHeight="1" s="151">
      <c r="R419" s="183" t="n"/>
      <c r="S419" s="183" t="n"/>
      <c r="T419" s="183" t="n"/>
      <c r="U419" s="183" t="n"/>
      <c r="V419" s="183" t="n"/>
    </row>
    <row r="420" ht="58.5" customHeight="1" s="151">
      <c r="R420" s="183" t="n"/>
      <c r="S420" s="183" t="n"/>
      <c r="T420" s="183" t="n"/>
      <c r="U420" s="183" t="n"/>
      <c r="V420" s="183" t="n"/>
    </row>
    <row r="421" ht="58.5" customHeight="1" s="151">
      <c r="R421" s="183" t="n"/>
      <c r="S421" s="183" t="n"/>
      <c r="T421" s="183" t="n"/>
      <c r="U421" s="183" t="n"/>
      <c r="V421" s="183" t="n"/>
    </row>
    <row r="422" ht="58.5" customHeight="1" s="151">
      <c r="R422" s="183" t="n"/>
      <c r="S422" s="183" t="n"/>
      <c r="T422" s="183" t="n"/>
      <c r="U422" s="183" t="n"/>
      <c r="V422" s="183" t="n"/>
    </row>
    <row r="423" ht="58.5" customHeight="1" s="151">
      <c r="R423" s="183" t="n"/>
      <c r="S423" s="183" t="n"/>
      <c r="T423" s="183" t="n"/>
      <c r="U423" s="183" t="n"/>
      <c r="V423" s="183" t="n"/>
    </row>
    <row r="424" ht="58.5" customHeight="1" s="151">
      <c r="R424" s="183" t="n"/>
      <c r="S424" s="183" t="n"/>
      <c r="T424" s="183" t="n"/>
      <c r="U424" s="183" t="n"/>
      <c r="V424" s="183" t="n"/>
    </row>
    <row r="425" ht="58.5" customHeight="1" s="151">
      <c r="R425" s="183" t="n"/>
      <c r="S425" s="183" t="n"/>
      <c r="T425" s="183" t="n"/>
      <c r="U425" s="183" t="n"/>
      <c r="V425" s="183" t="n"/>
    </row>
    <row r="426" ht="58.5" customHeight="1" s="151">
      <c r="R426" s="183" t="n"/>
      <c r="S426" s="183" t="n"/>
      <c r="T426" s="183" t="n"/>
      <c r="U426" s="183" t="n"/>
      <c r="V426" s="183" t="n"/>
    </row>
    <row r="427" ht="58.5" customHeight="1" s="151">
      <c r="R427" s="183" t="n"/>
      <c r="S427" s="183" t="n"/>
      <c r="T427" s="183" t="n"/>
      <c r="U427" s="183" t="n"/>
      <c r="V427" s="183" t="n"/>
    </row>
    <row r="428" ht="58.5" customHeight="1" s="151">
      <c r="R428" s="183" t="n"/>
      <c r="S428" s="183" t="n"/>
      <c r="T428" s="183" t="n"/>
      <c r="U428" s="183" t="n"/>
      <c r="V428" s="183" t="n"/>
    </row>
    <row r="429" ht="58.5" customHeight="1" s="151">
      <c r="R429" s="183" t="n"/>
      <c r="S429" s="183" t="n"/>
      <c r="T429" s="183" t="n"/>
      <c r="U429" s="183" t="n"/>
      <c r="V429" s="183" t="n"/>
    </row>
    <row r="430" ht="58.5" customHeight="1" s="151">
      <c r="R430" s="183" t="n"/>
      <c r="S430" s="183" t="n"/>
      <c r="T430" s="183" t="n"/>
      <c r="U430" s="183" t="n"/>
      <c r="V430" s="183" t="n"/>
    </row>
    <row r="431" ht="58.5" customHeight="1" s="151">
      <c r="R431" s="183" t="n"/>
      <c r="S431" s="183" t="n"/>
      <c r="T431" s="183" t="n"/>
      <c r="U431" s="183" t="n"/>
      <c r="V431" s="183" t="n"/>
    </row>
    <row r="432" ht="58.5" customHeight="1" s="151">
      <c r="R432" s="183" t="n"/>
      <c r="S432" s="183" t="n"/>
      <c r="T432" s="183" t="n"/>
      <c r="U432" s="183" t="n"/>
      <c r="V432" s="183" t="n"/>
    </row>
    <row r="433" ht="58.5" customHeight="1" s="151">
      <c r="R433" s="183" t="n"/>
      <c r="S433" s="183" t="n"/>
      <c r="T433" s="183" t="n"/>
      <c r="U433" s="183" t="n"/>
      <c r="V433" s="183" t="n"/>
    </row>
    <row r="434" ht="58.5" customHeight="1" s="151">
      <c r="R434" s="183" t="n"/>
      <c r="S434" s="183" t="n"/>
      <c r="T434" s="183" t="n"/>
      <c r="U434" s="183" t="n"/>
      <c r="V434" s="183" t="n"/>
    </row>
    <row r="435" ht="58.5" customHeight="1" s="151">
      <c r="R435" s="183" t="n"/>
      <c r="S435" s="183" t="n"/>
      <c r="T435" s="183" t="n"/>
      <c r="U435" s="183" t="n"/>
      <c r="V435" s="183" t="n"/>
    </row>
    <row r="436" ht="58.5" customHeight="1" s="151">
      <c r="R436" s="183" t="n"/>
      <c r="S436" s="183" t="n"/>
      <c r="T436" s="183" t="n"/>
      <c r="U436" s="183" t="n"/>
      <c r="V436" s="183" t="n"/>
    </row>
    <row r="437" ht="58.5" customHeight="1" s="151">
      <c r="R437" s="183" t="n"/>
      <c r="S437" s="183" t="n"/>
      <c r="T437" s="183" t="n"/>
      <c r="U437" s="183" t="n"/>
      <c r="V437" s="183" t="n"/>
    </row>
    <row r="438" ht="58.5" customHeight="1" s="151">
      <c r="R438" s="183" t="n"/>
      <c r="S438" s="183" t="n"/>
      <c r="T438" s="183" t="n"/>
      <c r="U438" s="183" t="n"/>
      <c r="V438" s="183" t="n"/>
    </row>
    <row r="439" ht="58.5" customHeight="1" s="151">
      <c r="R439" s="183" t="n"/>
      <c r="S439" s="183" t="n"/>
      <c r="T439" s="183" t="n"/>
      <c r="U439" s="183" t="n"/>
      <c r="V439" s="183" t="n"/>
    </row>
    <row r="440" ht="58.5" customHeight="1" s="151">
      <c r="R440" s="183" t="n"/>
      <c r="S440" s="183" t="n"/>
      <c r="T440" s="183" t="n"/>
      <c r="U440" s="183" t="n"/>
      <c r="V440" s="183" t="n"/>
    </row>
    <row r="441" ht="58.5" customHeight="1" s="151">
      <c r="R441" s="183" t="n"/>
      <c r="S441" s="183" t="n"/>
      <c r="T441" s="183" t="n"/>
      <c r="U441" s="183" t="n"/>
      <c r="V441" s="183" t="n"/>
    </row>
    <row r="442" ht="58.5" customHeight="1" s="151">
      <c r="R442" s="183" t="n"/>
      <c r="S442" s="183" t="n"/>
      <c r="T442" s="183" t="n"/>
      <c r="U442" s="183" t="n"/>
      <c r="V442" s="183" t="n"/>
    </row>
    <row r="443" ht="58.5" customHeight="1" s="151">
      <c r="R443" s="183" t="n"/>
      <c r="S443" s="183" t="n"/>
      <c r="T443" s="183" t="n"/>
      <c r="U443" s="183" t="n"/>
      <c r="V443" s="183" t="n"/>
    </row>
    <row r="444" ht="58.5" customHeight="1" s="151">
      <c r="R444" s="183" t="n"/>
      <c r="S444" s="183" t="n"/>
      <c r="T444" s="183" t="n"/>
      <c r="U444" s="183" t="n"/>
      <c r="V444" s="183" t="n"/>
    </row>
    <row r="445" ht="58.5" customHeight="1" s="151">
      <c r="R445" s="183" t="n"/>
      <c r="S445" s="183" t="n"/>
      <c r="T445" s="183" t="n"/>
      <c r="U445" s="183" t="n"/>
      <c r="V445" s="183" t="n"/>
    </row>
    <row r="446" ht="58.5" customHeight="1" s="151">
      <c r="R446" s="183" t="n"/>
      <c r="S446" s="183" t="n"/>
      <c r="T446" s="183" t="n"/>
      <c r="U446" s="183" t="n"/>
      <c r="V446" s="183" t="n"/>
    </row>
    <row r="447" ht="58.5" customHeight="1" s="151">
      <c r="R447" s="183" t="n"/>
      <c r="S447" s="183" t="n"/>
      <c r="T447" s="183" t="n"/>
      <c r="U447" s="183" t="n"/>
      <c r="V447" s="183" t="n"/>
    </row>
    <row r="448" ht="58.5" customHeight="1" s="151">
      <c r="R448" s="183" t="n"/>
      <c r="S448" s="183" t="n"/>
      <c r="T448" s="183" t="n"/>
      <c r="U448" s="183" t="n"/>
      <c r="V448" s="183" t="n"/>
    </row>
    <row r="449" ht="58.5" customHeight="1" s="151">
      <c r="R449" s="183" t="n"/>
      <c r="S449" s="183" t="n"/>
      <c r="T449" s="183" t="n"/>
      <c r="U449" s="183" t="n"/>
      <c r="V449" s="183" t="n"/>
    </row>
    <row r="450" ht="58.5" customHeight="1" s="151">
      <c r="R450" s="183" t="n"/>
      <c r="S450" s="183" t="n"/>
      <c r="T450" s="183" t="n"/>
      <c r="U450" s="183" t="n"/>
      <c r="V450" s="183" t="n"/>
    </row>
    <row r="451" ht="58.5" customHeight="1" s="151">
      <c r="R451" s="183" t="n"/>
      <c r="S451" s="183" t="n"/>
      <c r="T451" s="183" t="n"/>
      <c r="U451" s="183" t="n"/>
      <c r="V451" s="183" t="n"/>
    </row>
    <row r="452" ht="58.5" customHeight="1" s="151">
      <c r="R452" s="183" t="n"/>
      <c r="S452" s="183" t="n"/>
      <c r="T452" s="183" t="n"/>
      <c r="U452" s="183" t="n"/>
      <c r="V452" s="183" t="n"/>
    </row>
    <row r="453" ht="58.5" customHeight="1" s="151">
      <c r="R453" s="183" t="n"/>
      <c r="S453" s="183" t="n"/>
      <c r="T453" s="183" t="n"/>
      <c r="U453" s="183" t="n"/>
      <c r="V453" s="183" t="n"/>
    </row>
    <row r="454" ht="58.5" customHeight="1" s="151">
      <c r="R454" s="183" t="n"/>
      <c r="S454" s="183" t="n"/>
      <c r="T454" s="183" t="n"/>
      <c r="U454" s="183" t="n"/>
      <c r="V454" s="183" t="n"/>
    </row>
    <row r="455" ht="58.5" customHeight="1" s="151">
      <c r="R455" s="183" t="n"/>
      <c r="S455" s="183" t="n"/>
      <c r="T455" s="183" t="n"/>
      <c r="U455" s="183" t="n"/>
      <c r="V455" s="183" t="n"/>
    </row>
    <row r="456" ht="58.5" customHeight="1" s="151">
      <c r="R456" s="183" t="n"/>
      <c r="S456" s="183" t="n"/>
      <c r="T456" s="183" t="n"/>
      <c r="U456" s="183" t="n"/>
      <c r="V456" s="183" t="n"/>
    </row>
  </sheetData>
  <conditionalFormatting sqref="A2:A320">
    <cfRule type="duplicateValues" rank="0" priority="2" equalAverage="0" aboveAverage="0" dxfId="0" text="" percent="0" bottom="0"/>
  </conditionalFormatting>
  <conditionalFormatting sqref="E2:E320">
    <cfRule type="duplicateValues" rank="0" priority="3" equalAverage="0" aboveAverage="0" dxfId="0" text="" percent="0" bottom="0"/>
  </conditionalFormatting>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tableParts count="2">
    <tablePart xmlns:r="http://schemas.openxmlformats.org/officeDocument/2006/relationships" r:id="rId1"/>
    <tablePart xmlns:r="http://schemas.openxmlformats.org/officeDocument/2006/relationships" r:id="rId2"/>
  </tableParts>
</worksheet>
</file>

<file path=xl/worksheets/sheet4.xml><?xml version="1.0" encoding="utf-8"?>
<worksheet xmlns="http://schemas.openxmlformats.org/spreadsheetml/2006/main">
  <sheetPr filterMode="0">
    <tabColor rgb="FFD99A3B"/>
    <outlinePr summaryBelow="1" summaryRight="1"/>
    <pageSetUpPr fitToPage="1"/>
  </sheetPr>
  <dimension ref="A1:AA70"/>
  <sheetViews>
    <sheetView showFormulas="0" showGridLines="1" showRowColHeaders="1" showZeros="1" rightToLeft="1" tabSelected="0" showOutlineSymbols="1" defaultGridColor="1" view="normal" topLeftCell="A1" colorId="64" zoomScale="100" zoomScaleNormal="100" zoomScalePageLayoutView="100" workbookViewId="0">
      <selection pane="topLeft" activeCell="C28" activeCellId="0" sqref="C28"/>
    </sheetView>
  </sheetViews>
  <sheetFormatPr baseColWidth="8" defaultColWidth="9.1484375" defaultRowHeight="18" zeroHeight="0" outlineLevelRow="0"/>
  <cols>
    <col width="34" customWidth="1" style="101" min="1" max="1"/>
    <col width="17.42" customWidth="1" style="192" min="2" max="3"/>
    <col width="40" customWidth="1" style="101" min="4" max="4"/>
    <col width="20" customWidth="1" style="101" min="5" max="16384"/>
    <col width="4" customWidth="1" style="151" min="26" max="26"/>
    <col width="4" customWidth="1" style="151" min="27" max="27"/>
  </cols>
  <sheetData>
    <row r="1" ht="19.5" customHeight="1" s="151">
      <c r="A1" s="193" t="inlineStr">
        <is>
          <t>نرخ‌های ثابت هر مراجعه (تومان)</t>
        </is>
      </c>
    </row>
    <row r="2" ht="18" customHeight="1" s="151">
      <c r="A2" s="194" t="inlineStr">
        <is>
          <t>شرح</t>
        </is>
      </c>
      <c r="B2" s="195" t="inlineStr">
        <is>
          <t>مبلغ (تومان)</t>
        </is>
      </c>
      <c r="C2" s="195" t="inlineStr">
        <is>
          <t>مبلغ واقعی</t>
        </is>
      </c>
      <c r="D2" s="194" t="inlineStr">
        <is>
          <t>یادداشت</t>
        </is>
      </c>
    </row>
    <row r="3" ht="18" customHeight="1" s="151">
      <c r="A3" s="196" t="inlineStr">
        <is>
          <t>اجرت تکنسین (هر مراجعه)</t>
        </is>
      </c>
      <c r="B3" s="197" t="n">
        <v>800000</v>
      </c>
      <c r="C3" s="198" t="n"/>
      <c r="D3" s="196" t="inlineStr">
        <is>
          <t xml:space="preserve">تقریبی </t>
        </is>
      </c>
    </row>
    <row r="4" ht="36" customHeight="1" s="151">
      <c r="A4" s="199" t="inlineStr">
        <is>
          <t>میانگین هزینه ایاب‌وذهاب
 (هر مراجعه)</t>
        </is>
      </c>
      <c r="B4" s="197" t="n">
        <v>300000</v>
      </c>
      <c r="C4" s="198" t="n"/>
      <c r="D4" s="196" t="inlineStr">
        <is>
          <t>میانگین کل مناطق — تقریبی</t>
        </is>
      </c>
    </row>
    <row r="7" ht="19.5" customHeight="1" s="151">
      <c r="A7" s="193" t="inlineStr">
        <is>
          <t>قیمت میانگین دستگاه کامل (برای موارد «تعویض کامل دستگاه»)</t>
        </is>
      </c>
    </row>
    <row r="8" ht="18" customHeight="1" s="151">
      <c r="A8" s="194" t="inlineStr">
        <is>
          <t>نوع دستگاه</t>
        </is>
      </c>
      <c r="B8" s="195" t="inlineStr">
        <is>
          <t>قیمت تقریبی (تومان)</t>
        </is>
      </c>
      <c r="C8" s="195" t="inlineStr">
        <is>
          <t>مبلغ واقعی</t>
        </is>
      </c>
      <c r="D8" s="194" t="inlineStr">
        <is>
          <t>یادداشت</t>
        </is>
      </c>
    </row>
    <row r="9" ht="18" customHeight="1" s="151">
      <c r="A9" s="196" t="inlineStr">
        <is>
          <t>ماشين ظرفشويي</t>
        </is>
      </c>
      <c r="B9" s="198" t="n">
        <v>95000000</v>
      </c>
      <c r="C9" s="198" t="n"/>
      <c r="D9" s="196" t="inlineStr">
        <is>
          <t>میانگین مدل‌های موجود — تقریبی</t>
        </is>
      </c>
    </row>
    <row r="10" ht="18" customHeight="1" s="151">
      <c r="A10" s="196" t="inlineStr">
        <is>
          <t>ماشين لباسشويي</t>
        </is>
      </c>
      <c r="B10" s="198" t="n">
        <v>110000000</v>
      </c>
      <c r="C10" s="198" t="n"/>
      <c r="D10" s="196" t="inlineStr">
        <is>
          <t>میانگین مدل‌های موجود — تقریبی</t>
        </is>
      </c>
    </row>
    <row r="11" ht="18" customHeight="1" s="151">
      <c r="A11" s="196" t="inlineStr">
        <is>
          <t>یخچال ساید‌بای‌ساید</t>
        </is>
      </c>
      <c r="B11" s="198" t="n">
        <v>80000000</v>
      </c>
      <c r="C11" s="198" t="n"/>
      <c r="D11" s="196" t="inlineStr">
        <is>
          <t xml:space="preserve">تقریبی </t>
        </is>
      </c>
    </row>
    <row r="12" ht="18" customHeight="1" s="151">
      <c r="A12" s="196" t="inlineStr">
        <is>
          <t>يخچال ميني</t>
        </is>
      </c>
      <c r="B12" s="198" t="n">
        <v>60000000</v>
      </c>
      <c r="C12" s="198" t="n"/>
      <c r="D12" s="196" t="inlineStr">
        <is>
          <t>تقریبی</t>
        </is>
      </c>
    </row>
    <row r="13" ht="18" customHeight="1" s="151">
      <c r="A13" s="196" t="inlineStr">
        <is>
          <t>تلویزیون</t>
        </is>
      </c>
      <c r="B13" s="198" t="n">
        <v>120000000</v>
      </c>
      <c r="C13" s="198" t="n"/>
      <c r="D13" s="196" t="inlineStr">
        <is>
          <t>تقریبی</t>
        </is>
      </c>
    </row>
    <row r="16" ht="19.5" customHeight="1" s="151">
      <c r="A16" s="193" t="n"/>
    </row>
    <row r="17" ht="18" customHeight="1" s="151">
      <c r="A17" s="194" t="inlineStr">
        <is>
          <t>دسته دقیق علت خرابی</t>
        </is>
      </c>
      <c r="B17" s="195" t="inlineStr">
        <is>
          <t>قیمت قطعه (تومان)</t>
        </is>
      </c>
      <c r="C17" s="195" t="inlineStr">
        <is>
          <t>مبلغ واقعی</t>
        </is>
      </c>
      <c r="D17" s="194" t="inlineStr">
        <is>
          <t>یادداشت</t>
        </is>
      </c>
      <c r="E17" s="207" t="inlineStr">
        <is>
          <t>تأمین‌کننده</t>
        </is>
      </c>
      <c r="Z17" s="215" t="inlineStr">
        <is>
          <t>تعداد (کمکی)</t>
        </is>
      </c>
      <c r="AA17" s="215" t="inlineStr">
        <is>
          <t>هزینه (کمکی)</t>
        </is>
      </c>
    </row>
    <row r="18" ht="18" customHeight="1" s="151">
      <c r="A18" s="163" t="inlineStr">
        <is>
          <t>نشتی - پمپ تخلیه (تعمیر/آب‌بندی)</t>
        </is>
      </c>
      <c r="B18" s="200" t="n">
        <v>500000</v>
      </c>
      <c r="C18" s="201" t="n"/>
      <c r="D18" s="163" t="inlineStr">
        <is>
          <t>فقط واشر/اورینگ، نه کل پمپ</t>
        </is>
      </c>
      <c r="E18" s="208" t="inlineStr">
        <is>
          <t>—</t>
        </is>
      </c>
      <c r="Z18" s="230">
        <f>COUNTIF('داده خام'!$O$2:$O$456,$A$18)</f>
        <v/>
      </c>
      <c r="AA18" s="230">
        <f>SUMIF('داده خام'!$O$2:$O$456,$A$18,'داده خام'!$T$2:$T$456)</f>
        <v/>
      </c>
    </row>
    <row r="19" ht="18" customHeight="1" s="151">
      <c r="A19" s="163" t="inlineStr">
        <is>
          <t>خرابی - پمپ تخلیه (تعویض)</t>
        </is>
      </c>
      <c r="B19" s="200" t="n">
        <v>3000000</v>
      </c>
      <c r="C19" s="201" t="n"/>
      <c r="D19" s="163" t="inlineStr">
        <is>
          <t>تعویض کامل پمپ</t>
        </is>
      </c>
      <c r="E19" s="208" t="inlineStr">
        <is>
          <t>—</t>
        </is>
      </c>
      <c r="Z19" s="230">
        <f>COUNTIF('داده خام'!$O$2:$O$456,$A$19)</f>
        <v/>
      </c>
      <c r="AA19" s="230">
        <f>SUMIF('داده خام'!$O$2:$O$456,$A$19,'داده خام'!$T$2:$T$456)</f>
        <v/>
      </c>
    </row>
    <row r="20" ht="18" customHeight="1" s="151">
      <c r="A20" s="163" t="inlineStr">
        <is>
          <t>تراز/لرزش - نصب (رگلاژ پایه)</t>
        </is>
      </c>
      <c r="B20" s="200" t="n">
        <v>500000</v>
      </c>
      <c r="C20" s="201" t="n"/>
      <c r="D20" s="163" t="inlineStr">
        <is>
          <t>بدون قطعه — فقط اجرت نصب/رگلاژ</t>
        </is>
      </c>
      <c r="E20" s="208" t="inlineStr">
        <is>
          <t>—</t>
        </is>
      </c>
      <c r="Z20" s="230">
        <f>COUNTIF('داده خام'!$O$2:$O$456,$A$20)</f>
        <v/>
      </c>
      <c r="AA20" s="230">
        <f>SUMIF('داده خام'!$O$2:$O$456,$A$20,'داده خام'!$T$2:$T$456)</f>
        <v/>
      </c>
    </row>
    <row r="21" ht="18" customHeight="1" s="151">
      <c r="A21" s="163" t="inlineStr">
        <is>
          <t>مکانیزم درب - میکروسوئیچ/قلاب (تعویض/تنظیم)</t>
        </is>
      </c>
      <c r="B21" s="200" t="n">
        <v>2500000</v>
      </c>
      <c r="C21" s="201" t="n"/>
      <c r="D21" s="163" t="n"/>
      <c r="E21" s="208" t="inlineStr">
        <is>
          <t>—</t>
        </is>
      </c>
      <c r="Z21" s="230">
        <f>COUNTIF('داده خام'!$O$2:$O$456,$A$21)</f>
        <v/>
      </c>
      <c r="AA21" s="230">
        <f>SUMIF('داده خام'!$O$2:$O$456,$A$21,'داده خام'!$T$2:$T$456)</f>
        <v/>
      </c>
    </row>
    <row r="22" ht="18" customHeight="1" s="151">
      <c r="A22" s="163" t="inlineStr">
        <is>
          <t>مکانیزم درب - زبانه (تعویض)</t>
        </is>
      </c>
      <c r="B22" s="200" t="n">
        <v>1500000</v>
      </c>
      <c r="C22" s="201" t="n"/>
      <c r="D22" s="163" t="n"/>
      <c r="E22" s="208" t="inlineStr">
        <is>
          <t>—</t>
        </is>
      </c>
      <c r="Z22" s="230">
        <f>COUNTIF('داده خام'!$O$2:$O$456,$A$22)</f>
        <v/>
      </c>
      <c r="AA22" s="230">
        <f>SUMIF('داده خام'!$O$2:$O$456,$A$22,'داده خام'!$T$2:$T$456)</f>
        <v/>
      </c>
    </row>
    <row r="23" ht="18" customHeight="1" s="151">
      <c r="A23" s="163" t="inlineStr">
        <is>
          <t>مکانیزم درب - لولا (تعویض)</t>
        </is>
      </c>
      <c r="B23" s="200" t="n">
        <v>2500000</v>
      </c>
      <c r="C23" s="201" t="n"/>
      <c r="D23" s="163" t="n"/>
      <c r="E23" s="208" t="inlineStr">
        <is>
          <t>—</t>
        </is>
      </c>
      <c r="Z23" s="230">
        <f>COUNTIF('داده خام'!$O$2:$O$456,$A$23)</f>
        <v/>
      </c>
      <c r="AA23" s="230">
        <f>SUMIF('داده خام'!$O$2:$O$456,$A$23,'داده خام'!$T$2:$T$456)</f>
        <v/>
      </c>
    </row>
    <row r="24" ht="18" customHeight="1" s="151">
      <c r="A24" s="163" t="inlineStr">
        <is>
          <t>خرابی - برد الکترونیک (تعویض)</t>
        </is>
      </c>
      <c r="B24" s="200" t="n">
        <v>14000000</v>
      </c>
      <c r="C24" s="201" t="n"/>
      <c r="D24" s="163" t="inlineStr">
        <is>
          <t>میانگین — بردها بسته به مدل فرق دارند</t>
        </is>
      </c>
      <c r="E24" s="208" t="inlineStr">
        <is>
          <t>—</t>
        </is>
      </c>
      <c r="Z24" s="230">
        <f>COUNTIF('داده خام'!$O$2:$O$456,$A$24)</f>
        <v/>
      </c>
      <c r="AA24" s="230">
        <f>SUMIF('داده خام'!$O$2:$O$456,$A$24,'داده خام'!$T$2:$T$456)</f>
        <v/>
      </c>
    </row>
    <row r="25" ht="18" customHeight="1" s="151">
      <c r="A25" s="163" t="inlineStr">
        <is>
          <t>یخساز - خرابی موتور/سنسور/برد (تعویض)</t>
        </is>
      </c>
      <c r="B25" s="200" t="n">
        <v>5000000</v>
      </c>
      <c r="C25" s="201" t="n"/>
      <c r="D25" s="163" t="n"/>
      <c r="E25" s="208" t="inlineStr">
        <is>
          <t>—</t>
        </is>
      </c>
      <c r="Z25" s="230">
        <f>COUNTIF('داده خام'!$O$2:$O$456,$A$25)</f>
        <v/>
      </c>
      <c r="AA25" s="230">
        <f>SUMIF('داده خام'!$O$2:$O$456,$A$25,'داده خام'!$T$2:$T$456)</f>
        <v/>
      </c>
    </row>
    <row r="26" ht="18" customHeight="1" s="151">
      <c r="A26" s="163" t="inlineStr">
        <is>
          <t>یخساز - تنظیم/عایق (تعمیر)</t>
        </is>
      </c>
      <c r="B26" s="200" t="n">
        <v>1500000</v>
      </c>
      <c r="C26" s="201" t="n"/>
      <c r="D26" s="163" t="inlineStr">
        <is>
          <t>بدون قطعه</t>
        </is>
      </c>
      <c r="E26" s="208" t="inlineStr">
        <is>
          <t>—</t>
        </is>
      </c>
      <c r="Z26" s="230">
        <f>COUNTIF('داده خام'!$O$2:$O$456,$A$26)</f>
        <v/>
      </c>
      <c r="AA26" s="230">
        <f>SUMIF('داده خام'!$O$2:$O$456,$A$26,'داده خام'!$T$2:$T$456)</f>
        <v/>
      </c>
    </row>
    <row r="27" ht="18" customHeight="1" s="151">
      <c r="A27" s="158" t="inlineStr">
        <is>
          <t>نشتی - شیلنگ (تعمیر/آب‌بندی)</t>
        </is>
      </c>
      <c r="B27" s="200" t="n">
        <v>300000</v>
      </c>
      <c r="C27" s="201" t="n"/>
      <c r="D27" s="163" t="n"/>
      <c r="E27" s="208" t="inlineStr">
        <is>
          <t>—</t>
        </is>
      </c>
      <c r="Z27" s="230">
        <f>COUNTIF('داده خام'!$O$2:$O$456,$A$27)</f>
        <v/>
      </c>
      <c r="AA27" s="230">
        <f>SUMIF('داده خام'!$O$2:$O$456,$A$27,'داده خام'!$T$2:$T$456)</f>
        <v/>
      </c>
    </row>
    <row r="28" ht="18" customHeight="1" s="151">
      <c r="A28" s="158" t="inlineStr">
        <is>
          <t>شیلنگ یخساز - یخ‌زدگی (بازبینی)</t>
        </is>
      </c>
      <c r="B28" s="200" t="n">
        <v>900000</v>
      </c>
      <c r="C28" s="201" t="n"/>
      <c r="D28" s="163" t="n"/>
      <c r="E28" s="208" t="inlineStr">
        <is>
          <t>—</t>
        </is>
      </c>
      <c r="Z28" s="230">
        <f>COUNTIF('داده خام'!$O$2:$O$456,$A$28)</f>
        <v/>
      </c>
      <c r="AA28" s="230">
        <f>SUMIF('داده خام'!$O$2:$O$456,$A$28,'داده خام'!$T$2:$T$456)</f>
        <v/>
      </c>
    </row>
    <row r="29" ht="18" customHeight="1" s="151">
      <c r="A29" s="158" t="inlineStr">
        <is>
          <t>شیلنگ - برخورد/لهیدگی (بازبینی)</t>
        </is>
      </c>
      <c r="B29" s="200" t="n">
        <v>800000</v>
      </c>
      <c r="C29" s="201" t="n"/>
      <c r="D29" s="163" t="n"/>
      <c r="E29" s="208" t="inlineStr">
        <is>
          <t>—</t>
        </is>
      </c>
      <c r="Z29" s="230">
        <f>COUNTIF('داده خام'!$O$2:$O$456,$A$29)</f>
        <v/>
      </c>
      <c r="AA29" s="230">
        <f>SUMIF('داده خام'!$O$2:$O$456,$A$29,'داده خام'!$T$2:$T$456)</f>
        <v/>
      </c>
    </row>
    <row r="30" ht="18" customHeight="1" s="151">
      <c r="A30" s="163" t="inlineStr">
        <is>
          <t>لاستیک درزگیر - دفرمگی/پارگی (تعویض)</t>
        </is>
      </c>
      <c r="B30" s="200" t="n">
        <v>500000</v>
      </c>
      <c r="C30" s="201" t="n"/>
      <c r="D30" s="163" t="n"/>
      <c r="E30" s="208" t="inlineStr">
        <is>
          <t>—</t>
        </is>
      </c>
      <c r="Z30" s="230">
        <f>COUNTIF('داده خام'!$O$2:$O$456,$A$30)</f>
        <v/>
      </c>
      <c r="AA30" s="230">
        <f>SUMIF('داده خام'!$O$2:$O$456,$A$30,'داده خام'!$T$2:$T$456)</f>
        <v/>
      </c>
    </row>
    <row r="31" ht="18" customHeight="1" s="151">
      <c r="A31" s="163" t="inlineStr">
        <is>
          <t>نشتی - درب مخزن نمک (تعمیر/آب‌بندی)</t>
        </is>
      </c>
      <c r="B31" s="200" t="n">
        <v>800000</v>
      </c>
      <c r="C31" s="201" t="n"/>
      <c r="D31" s="163" t="n"/>
      <c r="E31" s="208" t="inlineStr">
        <is>
          <t>—</t>
        </is>
      </c>
      <c r="Z31" s="230">
        <f>COUNTIF('داده خام'!$O$2:$O$456,$A$31)</f>
        <v/>
      </c>
      <c r="AA31" s="230">
        <f>SUMIF('داده خام'!$O$2:$O$456,$A$31,'داده خام'!$T$2:$T$456)</f>
        <v/>
      </c>
    </row>
    <row r="32" ht="18" customHeight="1" s="151">
      <c r="A32" s="163" t="inlineStr">
        <is>
          <t>نشتی - براکت ریل (تعمیر/آب‌بندی)</t>
        </is>
      </c>
      <c r="B32" s="200" t="n">
        <v>800000</v>
      </c>
      <c r="C32" s="201" t="n"/>
      <c r="D32" s="163" t="n"/>
      <c r="E32" s="208" t="inlineStr">
        <is>
          <t>—</t>
        </is>
      </c>
      <c r="Z32" s="230">
        <f>COUNTIF('داده خام'!$O$2:$O$456,$A$32)</f>
        <v/>
      </c>
      <c r="AA32" s="230">
        <f>SUMIF('داده خام'!$O$2:$O$456,$A$32,'داده خام'!$T$2:$T$456)</f>
        <v/>
      </c>
    </row>
    <row r="33" ht="18" customHeight="1" s="151">
      <c r="A33" s="163" t="inlineStr">
        <is>
          <t>نشتی - جاپودری (تعمیر/آب‌بندی)</t>
        </is>
      </c>
      <c r="B33" s="200" t="n">
        <v>1500000</v>
      </c>
      <c r="C33" s="201" t="n"/>
      <c r="D33" s="163" t="n"/>
      <c r="E33" s="208" t="inlineStr">
        <is>
          <t>—</t>
        </is>
      </c>
      <c r="Z33" s="230">
        <f>COUNTIF('داده خام'!$O$2:$O$456,$A$33)</f>
        <v/>
      </c>
      <c r="AA33" s="230">
        <f>SUMIF('داده خام'!$O$2:$O$456,$A$33,'داده خام'!$T$2:$T$456)</f>
        <v/>
      </c>
    </row>
    <row r="34" ht="18" customHeight="1" s="151">
      <c r="A34" s="163" t="inlineStr">
        <is>
          <t>نشتی - مقسم آب (تعمیر/آب‌بندی)</t>
        </is>
      </c>
      <c r="B34" s="200" t="n">
        <v>1800000</v>
      </c>
      <c r="C34" s="201" t="n"/>
      <c r="D34" s="163" t="n"/>
      <c r="E34" s="208" t="inlineStr">
        <is>
          <t>—</t>
        </is>
      </c>
      <c r="Z34" s="230">
        <f>COUNTIF('داده خام'!$O$2:$O$456,$A$34)</f>
        <v/>
      </c>
      <c r="AA34" s="230">
        <f>SUMIF('داده خام'!$O$2:$O$456,$A$34,'داده خام'!$T$2:$T$456)</f>
        <v/>
      </c>
    </row>
    <row r="35" ht="18" customHeight="1" s="151">
      <c r="A35" s="163" t="inlineStr">
        <is>
          <t>نشتی آب - محل نامشخص (نیازمند بازدید)</t>
        </is>
      </c>
      <c r="B35" s="200" t="n">
        <v>1000000</v>
      </c>
      <c r="C35" s="201" t="n"/>
      <c r="D35" s="163" t="inlineStr">
        <is>
          <t>احتیاطی — محل نامشخص است</t>
        </is>
      </c>
      <c r="E35" s="208" t="inlineStr">
        <is>
          <t>—</t>
        </is>
      </c>
      <c r="Z35" s="230">
        <f>COUNTIF('داده خام'!$O$2:$O$456,$A$35)</f>
        <v/>
      </c>
      <c r="AA35" s="230">
        <f>SUMIF('داده خام'!$O$2:$O$456,$A$35,'داده خام'!$T$2:$T$456)</f>
        <v/>
      </c>
    </row>
    <row r="36" ht="18" customHeight="1" s="151">
      <c r="A36" s="163" t="inlineStr">
        <is>
          <t>خرابی - کمپرسور (تعویض)</t>
        </is>
      </c>
      <c r="B36" s="200" t="n">
        <v>20000000</v>
      </c>
      <c r="C36" s="201" t="n"/>
      <c r="D36" s="163" t="inlineStr">
        <is>
          <t>پرهزینه‌ترین قطعه منفرد</t>
        </is>
      </c>
      <c r="E36" s="208" t="inlineStr">
        <is>
          <t>—</t>
        </is>
      </c>
      <c r="Z36" s="230">
        <f>COUNTIF('داده خام'!$O$2:$O$456,$A$36)</f>
        <v/>
      </c>
      <c r="AA36" s="230">
        <f>SUMIF('داده خام'!$O$2:$O$456,$A$36,'داده خام'!$T$2:$T$456)</f>
        <v/>
      </c>
    </row>
    <row r="37" ht="18" customHeight="1" s="151">
      <c r="A37" s="163" t="inlineStr">
        <is>
          <t>خرابی - کمک فنر (تعویض)</t>
        </is>
      </c>
      <c r="B37" s="200" t="n">
        <v>2500000</v>
      </c>
      <c r="C37" s="201" t="n"/>
      <c r="D37" s="163" t="inlineStr">
        <is>
          <t>معمولاً جفتی تعویض می‌شود — احتمالاً ۲برابر</t>
        </is>
      </c>
      <c r="E37" s="208" t="inlineStr">
        <is>
          <t>—</t>
        </is>
      </c>
      <c r="Z37" s="230">
        <f>COUNTIF('داده خام'!$O$2:$O$456,$A$37)</f>
        <v/>
      </c>
      <c r="AA37" s="230">
        <f>SUMIF('داده خام'!$O$2:$O$456,$A$37,'داده خام'!$T$2:$T$456)</f>
        <v/>
      </c>
    </row>
    <row r="38" ht="18" customHeight="1" s="151">
      <c r="A38" s="163" t="inlineStr">
        <is>
          <t>خرابی - ترموستات (تعویض)</t>
        </is>
      </c>
      <c r="B38" s="200" t="n">
        <v>2000000</v>
      </c>
      <c r="C38" s="201" t="n"/>
      <c r="D38" s="163" t="n"/>
      <c r="E38" s="208" t="inlineStr">
        <is>
          <t>—</t>
        </is>
      </c>
      <c r="Z38" s="230">
        <f>COUNTIF('داده خام'!$O$2:$O$456,$A$38)</f>
        <v/>
      </c>
      <c r="AA38" s="230">
        <f>SUMIF('داده خام'!$O$2:$O$456,$A$38,'داده خام'!$T$2:$T$456)</f>
        <v/>
      </c>
    </row>
    <row r="39" ht="18" customHeight="1" s="151">
      <c r="A39" s="163" t="inlineStr">
        <is>
          <t>خرابی - هیدروستات (تعویض)</t>
        </is>
      </c>
      <c r="B39" s="200" t="n">
        <v>1700000</v>
      </c>
      <c r="C39" s="201" t="n"/>
      <c r="D39" s="163" t="n"/>
      <c r="E39" s="208" t="inlineStr">
        <is>
          <t>—</t>
        </is>
      </c>
      <c r="Z39" s="230">
        <f>COUNTIF('داده خام'!$O$2:$O$456,$A$39)</f>
        <v/>
      </c>
      <c r="AA39" s="230">
        <f>SUMIF('داده خام'!$O$2:$O$456,$A$39,'داده خام'!$T$2:$T$456)</f>
        <v/>
      </c>
    </row>
    <row r="40" ht="18" customHeight="1" s="151">
      <c r="A40" s="163" t="inlineStr">
        <is>
          <t>خرابی - بلبرینگ (تعویض)</t>
        </is>
      </c>
      <c r="B40" s="200" t="n">
        <v>4000000</v>
      </c>
      <c r="C40" s="201" t="n"/>
      <c r="D40" s="163" t="n"/>
      <c r="E40" s="208" t="inlineStr">
        <is>
          <t>—</t>
        </is>
      </c>
      <c r="Z40" s="230">
        <f>COUNTIF('داده خام'!$O$2:$O$456,$A$40)</f>
        <v/>
      </c>
      <c r="AA40" s="230">
        <f>SUMIF('داده خام'!$O$2:$O$456,$A$40,'داده خام'!$T$2:$T$456)</f>
        <v/>
      </c>
    </row>
    <row r="41" ht="18" customHeight="1" s="151">
      <c r="A41" s="163" t="inlineStr">
        <is>
          <t>خرابی - شیربرقی (تعویض)</t>
        </is>
      </c>
      <c r="B41" s="200" t="n">
        <v>1800000</v>
      </c>
      <c r="C41" s="201" t="n"/>
      <c r="D41" s="163" t="n"/>
      <c r="E41" s="208" t="inlineStr">
        <is>
          <t>—</t>
        </is>
      </c>
      <c r="Z41" s="230">
        <f>COUNTIF('داده خام'!$O$2:$O$456,$A$41)</f>
        <v/>
      </c>
      <c r="AA41" s="230">
        <f>SUMIF('داده خام'!$O$2:$O$456,$A$41,'داده خام'!$T$2:$T$456)</f>
        <v/>
      </c>
    </row>
    <row r="42" ht="18" customHeight="1" s="151">
      <c r="A42" s="163" t="inlineStr">
        <is>
          <t>خرابی - واترجت (تعویض)</t>
        </is>
      </c>
      <c r="B42" s="200" t="n">
        <v>4000000</v>
      </c>
      <c r="C42" s="201" t="n"/>
      <c r="D42" s="163" t="n"/>
      <c r="E42" s="208" t="inlineStr">
        <is>
          <t>—</t>
        </is>
      </c>
      <c r="Z42" s="230">
        <f>COUNTIF('داده خام'!$O$2:$O$456,$A$42)</f>
        <v/>
      </c>
      <c r="AA42" s="230">
        <f>SUMIF('داده خام'!$O$2:$O$456,$A$42,'داده خام'!$T$2:$T$456)</f>
        <v/>
      </c>
    </row>
    <row r="43" ht="18" customHeight="1" s="151">
      <c r="A43" s="163" t="inlineStr">
        <is>
          <t>سیم‌کشی/اتصالات (تعویض/بازبینی)</t>
        </is>
      </c>
      <c r="B43" s="200" t="n">
        <v>1400000</v>
      </c>
      <c r="C43" s="201" t="n"/>
      <c r="D43" s="163" t="n"/>
      <c r="E43" s="208" t="inlineStr">
        <is>
          <t>—</t>
        </is>
      </c>
      <c r="Z43" s="230">
        <f>COUNTIF('داده خام'!$O$2:$O$456,$A$43)</f>
        <v/>
      </c>
      <c r="AA43" s="230">
        <f>SUMIF('داده خام'!$O$2:$O$456,$A$43,'داده خام'!$T$2:$T$456)</f>
        <v/>
      </c>
    </row>
    <row r="44" ht="18" customHeight="1" s="151">
      <c r="A44" s="163" t="inlineStr">
        <is>
          <t>برد نمایش تلویزیون (تعویض)</t>
        </is>
      </c>
      <c r="B44" s="200" t="n">
        <v>4000000</v>
      </c>
      <c r="C44" s="201" t="n"/>
      <c r="D44" s="163" t="n"/>
      <c r="E44" s="208" t="inlineStr">
        <is>
          <t>—</t>
        </is>
      </c>
      <c r="Z44" s="230">
        <f>COUNTIF('داده خام'!$O$2:$O$456,$A$44)</f>
        <v/>
      </c>
      <c r="AA44" s="230">
        <f>SUMIF('داده خام'!$O$2:$O$456,$A$44,'داده خام'!$T$2:$T$456)</f>
        <v/>
      </c>
    </row>
    <row r="45" ht="18" customHeight="1" s="151">
      <c r="A45" s="163" t="inlineStr">
        <is>
          <t>خرابی - لامپ/LED داخلی (تعویض)</t>
        </is>
      </c>
      <c r="B45" s="200" t="n">
        <v>1500000</v>
      </c>
      <c r="C45" s="201" t="n"/>
      <c r="D45" s="163" t="n"/>
      <c r="E45" s="208" t="inlineStr">
        <is>
          <t>—</t>
        </is>
      </c>
      <c r="Z45" s="230">
        <f>COUNTIF('داده خام'!$O$2:$O$456,$A$45)</f>
        <v/>
      </c>
      <c r="AA45" s="230">
        <f>SUMIF('داده خام'!$O$2:$O$456,$A$45,'داده خام'!$T$2:$T$456)</f>
        <v/>
      </c>
    </row>
    <row r="46" ht="18" customHeight="1" s="151">
      <c r="A46" s="163" t="inlineStr">
        <is>
          <t>خرابی - تاب برداشتن درام (تعویض)</t>
        </is>
      </c>
      <c r="B46" s="200" t="n">
        <v>20000000</v>
      </c>
      <c r="C46" s="201" t="n"/>
      <c r="D46" s="163" t="n"/>
      <c r="E46" s="208" t="inlineStr">
        <is>
          <t>—</t>
        </is>
      </c>
      <c r="Z46" s="230">
        <f>COUNTIF('داده خام'!$O$2:$O$456,$A$46)</f>
        <v/>
      </c>
      <c r="AA46" s="230">
        <f>SUMIF('داده خام'!$O$2:$O$456,$A$46,'داده خام'!$T$2:$T$456)</f>
        <v/>
      </c>
    </row>
    <row r="47" ht="18" customHeight="1" s="151">
      <c r="A47" s="163" t="inlineStr">
        <is>
          <t>تنظیم - پیچ ولوم/دکمه (تعمیر)</t>
        </is>
      </c>
      <c r="B47" s="200" t="n">
        <v>700000</v>
      </c>
      <c r="C47" s="201" t="n"/>
      <c r="D47" s="163" t="inlineStr">
        <is>
          <t>بدون قطعه</t>
        </is>
      </c>
      <c r="E47" s="208" t="inlineStr">
        <is>
          <t>—</t>
        </is>
      </c>
      <c r="Z47" s="230">
        <f>COUNTIF('داده خام'!$O$2:$O$456,$A$47)</f>
        <v/>
      </c>
      <c r="AA47" s="230">
        <f>SUMIF('داده خام'!$O$2:$O$456,$A$47,'داده خام'!$T$2:$T$456)</f>
        <v/>
      </c>
    </row>
    <row r="48" ht="18" customHeight="1" s="151">
      <c r="A48" s="158" t="inlineStr">
        <is>
          <t>قطعات تزئینی - شکستگی/کسری (تعویض)</t>
        </is>
      </c>
      <c r="B48" s="200" t="n">
        <v>0</v>
      </c>
      <c r="C48" s="201" t="n"/>
      <c r="D48" s="163" t="n"/>
      <c r="E48" s="208" t="inlineStr">
        <is>
          <t>—</t>
        </is>
      </c>
      <c r="Z48" s="230">
        <f>COUNTIF('داده خام'!$O$2:$O$456,$A$48)</f>
        <v/>
      </c>
      <c r="AA48" s="230">
        <f>SUMIF('داده خام'!$O$2:$O$456,$A$48,'داده خام'!$T$2:$T$456)</f>
        <v/>
      </c>
    </row>
    <row r="49" ht="18" customHeight="1" s="151">
      <c r="A49" s="158" t="inlineStr">
        <is>
          <t>تنظیم - گسکت/درام (تعمیر)</t>
        </is>
      </c>
      <c r="B49" s="200" t="n">
        <v>1800000</v>
      </c>
      <c r="C49" s="201" t="n"/>
      <c r="D49" s="163" t="n"/>
      <c r="E49" s="208" t="inlineStr">
        <is>
          <t>—</t>
        </is>
      </c>
      <c r="Z49" s="230">
        <f>COUNTIF('داده خام'!$O$2:$O$456,$A$49)</f>
        <v/>
      </c>
      <c r="AA49" s="230">
        <f>SUMIF('داده خام'!$O$2:$O$456,$A$49,'داده خام'!$T$2:$T$456)</f>
        <v/>
      </c>
    </row>
    <row r="50" ht="18" customHeight="1" s="151">
      <c r="A50" s="158" t="inlineStr">
        <is>
          <t>خرابی - تسمه (تعویض)</t>
        </is>
      </c>
      <c r="B50" s="200" t="n">
        <v>2000000</v>
      </c>
      <c r="C50" s="201" t="n"/>
      <c r="D50" s="163" t="n"/>
      <c r="E50" s="208" t="inlineStr">
        <is>
          <t>—</t>
        </is>
      </c>
      <c r="Z50" s="230">
        <f>COUNTIF('داده خام'!$O$2:$O$456,$A$50)</f>
        <v/>
      </c>
      <c r="AA50" s="230">
        <f>SUMIF('داده خام'!$O$2:$O$456,$A$50,'داده خام'!$T$2:$T$456)</f>
        <v/>
      </c>
    </row>
    <row r="51" ht="18" customHeight="1" s="151">
      <c r="A51" s="158" t="inlineStr">
        <is>
          <t>خرابی - موتور (تعویض)</t>
        </is>
      </c>
      <c r="B51" s="200" t="n">
        <v>4500000</v>
      </c>
      <c r="C51" s="201" t="n"/>
      <c r="D51" s="163" t="n"/>
      <c r="E51" s="208" t="inlineStr">
        <is>
          <t>—</t>
        </is>
      </c>
      <c r="Z51" s="230">
        <f>COUNTIF('داده خام'!$O$2:$O$456,$A$51)</f>
        <v/>
      </c>
      <c r="AA51" s="230">
        <f>SUMIF('داده خام'!$O$2:$O$456,$A$51,'داده خام'!$T$2:$T$456)</f>
        <v/>
      </c>
    </row>
    <row r="52" ht="18" customHeight="1" s="151">
      <c r="A52" s="158" t="inlineStr">
        <is>
          <t>بدنه/کابین - ضربه (بازبینی/تعویض پنل)</t>
        </is>
      </c>
      <c r="B52" s="200" t="n">
        <v>4000000</v>
      </c>
      <c r="C52" s="201" t="n"/>
      <c r="D52" s="163" t="n"/>
      <c r="E52" s="208" t="inlineStr">
        <is>
          <t>—</t>
        </is>
      </c>
      <c r="Z52" s="230">
        <f>COUNTIF('داده خام'!$O$2:$O$456,$A$52)</f>
        <v/>
      </c>
      <c r="AA52" s="230">
        <f>SUMIF('داده خام'!$O$2:$O$456,$A$52,'داده خام'!$T$2:$T$456)</f>
        <v/>
      </c>
    </row>
    <row r="53" ht="18" customHeight="1" s="151">
      <c r="A53" s="158" t="inlineStr">
        <is>
          <t>ریموت کنترل (تعویض/تعمیر)</t>
        </is>
      </c>
      <c r="B53" s="200" t="n">
        <v>3000000</v>
      </c>
      <c r="C53" s="201" t="n"/>
      <c r="D53" s="163" t="n"/>
      <c r="E53" s="208" t="inlineStr">
        <is>
          <t>—</t>
        </is>
      </c>
      <c r="Z53" s="230">
        <f>COUNTIF('داده خام'!$O$2:$O$456,$A$53)</f>
        <v/>
      </c>
      <c r="AA53" s="230">
        <f>SUMIF('داده خام'!$O$2:$O$456,$A$53,'داده خام'!$T$2:$T$456)</f>
        <v/>
      </c>
    </row>
    <row r="54" ht="18" customHeight="1" s="151">
      <c r="A54" s="158" t="inlineStr">
        <is>
          <t>زنگ‌زدگی بدنه/قطعه (تعویض)</t>
        </is>
      </c>
      <c r="B54" s="200" t="n">
        <v>3500000</v>
      </c>
      <c r="C54" s="201" t="n"/>
      <c r="D54" s="163" t="n"/>
      <c r="E54" s="208" t="inlineStr">
        <is>
          <t>—</t>
        </is>
      </c>
      <c r="Z54" s="230">
        <f>COUNTIF('داده خام'!$O$2:$O$456,$A$54)</f>
        <v/>
      </c>
      <c r="AA54" s="230">
        <f>SUMIF('داده خام'!$O$2:$O$456,$A$54,'داده خام'!$T$2:$T$456)</f>
        <v/>
      </c>
    </row>
    <row r="55" ht="18" customHeight="1" s="151">
      <c r="A55" s="158" t="inlineStr">
        <is>
          <t>سبد ظرفشویی - شکستگی (تعویض)</t>
        </is>
      </c>
      <c r="B55" s="200" t="n">
        <v>1000000</v>
      </c>
      <c r="C55" s="201" t="n"/>
      <c r="D55" s="163" t="n"/>
      <c r="E55" s="208" t="inlineStr">
        <is>
          <t>—</t>
        </is>
      </c>
      <c r="Z55" s="230">
        <f>COUNTIF('داده خام'!$O$2:$O$456,$A$55)</f>
        <v/>
      </c>
      <c r="AA55" s="230">
        <f>SUMIF('داده خام'!$O$2:$O$456,$A$55,'داده خام'!$T$2:$T$456)</f>
        <v/>
      </c>
    </row>
    <row r="56" ht="18" customHeight="1" s="151">
      <c r="A56" s="163" t="inlineStr">
        <is>
          <t>تنظیم - گسکت/درام (تعمیر)</t>
        </is>
      </c>
      <c r="B56" s="200" t="n">
        <v>1000000</v>
      </c>
      <c r="C56" s="201" t="n"/>
      <c r="D56" s="163" t="inlineStr">
        <is>
          <t>بدون قطعه</t>
        </is>
      </c>
      <c r="E56" s="208" t="inlineStr">
        <is>
          <t>—</t>
        </is>
      </c>
      <c r="Z56" s="230">
        <f>COUNTIF('داده خام'!$O$2:$O$456,$A$56)</f>
        <v/>
      </c>
      <c r="AA56" s="230">
        <f>SUMIF('داده خام'!$O$2:$O$456,$A$56,'داده خام'!$T$2:$T$456)</f>
        <v/>
      </c>
    </row>
    <row r="57" ht="18" customHeight="1" s="151">
      <c r="A57" s="163" t="inlineStr">
        <is>
          <t>پرچ/بدنه کابین (تعمیر)</t>
        </is>
      </c>
      <c r="B57" s="200" t="n">
        <v>1500000</v>
      </c>
      <c r="C57" s="201" t="n"/>
      <c r="D57" s="163" t="n"/>
      <c r="E57" s="208" t="inlineStr">
        <is>
          <t>—</t>
        </is>
      </c>
      <c r="Z57" s="230">
        <f>COUNTIF('داده خام'!$O$2:$O$456,$A$57)</f>
        <v/>
      </c>
      <c r="AA57" s="230">
        <f>SUMIF('داده خام'!$O$2:$O$456,$A$57,'داده خام'!$T$2:$T$456)</f>
        <v/>
      </c>
    </row>
    <row r="58" ht="18" customHeight="1" s="151">
      <c r="A58" s="163" t="inlineStr">
        <is>
          <t>سایر اجزای درب (بازبینی)</t>
        </is>
      </c>
      <c r="B58" s="200" t="n">
        <v>1000000</v>
      </c>
      <c r="C58" s="201" t="n"/>
      <c r="D58" s="163" t="inlineStr">
        <is>
          <t>نامشخص — تقریبی</t>
        </is>
      </c>
      <c r="E58" s="208" t="inlineStr">
        <is>
          <t>—</t>
        </is>
      </c>
      <c r="Z58" s="230">
        <f>COUNTIF('داده خام'!$O$2:$O$456,$A$58)</f>
        <v/>
      </c>
      <c r="AA58" s="230">
        <f>SUMIF('داده خام'!$O$2:$O$456,$A$58,'داده خام'!$T$2:$T$456)</f>
        <v/>
      </c>
    </row>
    <row r="59" ht="18" customHeight="1" s="151">
      <c r="A59" s="163" t="inlineStr">
        <is>
          <t>ریست نرم‌افزاری (بدون قطعه)</t>
        </is>
      </c>
      <c r="B59" s="200" t="n">
        <v>700000</v>
      </c>
      <c r="C59" s="201" t="n"/>
      <c r="D59" s="163" t="inlineStr">
        <is>
          <t>بدون قطعه</t>
        </is>
      </c>
      <c r="E59" s="208" t="inlineStr">
        <is>
          <t>—</t>
        </is>
      </c>
      <c r="Z59" s="230">
        <f>COUNTIF('داده خام'!$O$2:$O$456,$A$59)</f>
        <v/>
      </c>
      <c r="AA59" s="230">
        <f>SUMIF('داده خام'!$O$2:$O$456,$A$59,'داده خام'!$T$2:$T$456)</f>
        <v/>
      </c>
    </row>
    <row r="60" ht="18" customHeight="1" s="151">
      <c r="A60" s="163" t="inlineStr">
        <is>
          <t>غیرگارانتی/بدون قطعه</t>
        </is>
      </c>
      <c r="B60" s="200" t="n">
        <v>800000</v>
      </c>
      <c r="C60" s="201" t="n"/>
      <c r="D60" s="163" t="n"/>
      <c r="E60" s="208" t="inlineStr">
        <is>
          <t>—</t>
        </is>
      </c>
      <c r="Z60" s="230">
        <f>COUNTIF('داده خام'!$O$2:$O$456,$A$60)</f>
        <v/>
      </c>
      <c r="AA60" s="230">
        <f>SUMIF('داده خام'!$O$2:$O$456,$A$60,'داده خام'!$T$2:$T$456)</f>
        <v/>
      </c>
    </row>
    <row r="61" ht="18" customHeight="1" s="151">
      <c r="A61" s="163" t="inlineStr">
        <is>
          <t>تعویض کامل دستگاه (Replacement)</t>
        </is>
      </c>
      <c r="B61" s="200" t="n">
        <v>0</v>
      </c>
      <c r="C61" s="201" t="n"/>
      <c r="D61" s="163" t="n"/>
      <c r="E61" s="208" t="inlineStr">
        <is>
          <t>—</t>
        </is>
      </c>
      <c r="Z61" s="230">
        <f>COUNTIF('داده خام'!$O$2:$O$456,$A$61)</f>
        <v/>
      </c>
      <c r="AA61" s="230">
        <f>SUMIF('داده خام'!$O$2:$O$456,$A$61,'داده خام'!$T$2:$T$456)</f>
        <v/>
      </c>
    </row>
    <row r="62" ht="18" customHeight="1" s="151">
      <c r="A62" s="163" t="inlineStr">
        <is>
          <t>سایر (نیازمند بررسی دستی)</t>
        </is>
      </c>
      <c r="B62" s="200" t="n">
        <v>1200000</v>
      </c>
      <c r="C62" s="201" t="n"/>
      <c r="D62" s="163" t="n"/>
      <c r="E62" s="208" t="inlineStr">
        <is>
          <t>—</t>
        </is>
      </c>
      <c r="Z62" s="230">
        <f>COUNTIF('داده خام'!$O$2:$O$456,$A$62)</f>
        <v/>
      </c>
      <c r="AA62" s="230">
        <f>SUMIF('داده خام'!$O$2:$O$456,$A$62,'داده خام'!$T$2:$T$456)</f>
        <v/>
      </c>
    </row>
    <row r="63" ht="18" customHeight="1" s="151">
      <c r="A63" s="163" t="inlineStr">
        <is>
          <t>تنظیم - تنظیمات دستگاه/دیسپلی (تعمیر)</t>
        </is>
      </c>
      <c r="B63" s="200" t="n">
        <v>800000</v>
      </c>
      <c r="C63" s="202" t="n"/>
      <c r="E63" s="208" t="inlineStr">
        <is>
          <t>—</t>
        </is>
      </c>
      <c r="Z63" s="230">
        <f>COUNTIF('داده خام'!$O$2:$O$456,$A$63)</f>
        <v/>
      </c>
      <c r="AA63" s="230">
        <f>SUMIF('داده خام'!$O$2:$O$456,$A$63,'داده خام'!$T$2:$T$456)</f>
        <v/>
      </c>
    </row>
    <row r="66">
      <c r="A66" s="209" t="inlineStr">
        <is>
          <t>طول دوره گارانتی و داده دوره قبل</t>
        </is>
      </c>
    </row>
    <row r="67">
      <c r="A67" s="207" t="inlineStr">
        <is>
          <t>شرح</t>
        </is>
      </c>
      <c r="B67" s="207" t="inlineStr">
        <is>
          <t>مقدار</t>
        </is>
      </c>
      <c r="C67" s="207" t="inlineStr">
        <is>
          <t>—</t>
        </is>
      </c>
      <c r="D67" s="207" t="inlineStr">
        <is>
          <t>یادداشت</t>
        </is>
      </c>
    </row>
    <row r="68">
      <c r="A68" s="210" t="inlineStr">
        <is>
          <t>طول دوره گارانتی (ماه)</t>
        </is>
      </c>
      <c r="B68" s="211" t="n">
        <v>30</v>
      </c>
      <c r="D68" s="212" t="inlineStr">
        <is>
          <t>بر اساس گارانتی محصولات شما (۳۰ ماه) — جدول «نصب و فروش» به همین اندازه (۳۰ ماه) تنظیم شده؛ اگر تغییر کرد، تعداد ردیف‌های آن جدول هم باید متناسب تغییر کند</t>
        </is>
      </c>
    </row>
    <row r="69">
      <c r="A69" s="210" t="inlineStr">
        <is>
          <t>تعداد مراجعه گارانتی — دوره قبل (۴ ماه ماقبل)</t>
        </is>
      </c>
      <c r="B69" s="211" t="n">
        <v>0</v>
      </c>
      <c r="D69" s="212" t="inlineStr">
        <is>
          <t>برای مقایسه با دوره فعلی (۲۴۴ مورد) در بخش تحلیل تکمیلی — با عدد واقعی جایگزین کنید</t>
        </is>
      </c>
    </row>
    <row r="70">
      <c r="A70" s="210" t="inlineStr">
        <is>
          <t>هزینه گارانتی کل — دوره قبل (تومان)</t>
        </is>
      </c>
      <c r="B70" s="213" t="n">
        <v>0</v>
      </c>
      <c r="D70" s="212" t="inlineStr">
        <is>
          <t>برای مقایسه با دوره فعلی (۴۲۱٬۵۵۰٬۰۰۰ تومان) — با عدد واقعی جایگزین کنید</t>
        </is>
      </c>
    </row>
  </sheetData>
  <mergeCells count="3">
    <mergeCell ref="C67"/>
    <mergeCell ref="D68"/>
    <mergeCell ref="A66:D66"/>
  </mergeCells>
  <printOptions horizontalCentered="0" verticalCentered="0" headings="0" gridLines="0" gridLinesSet="1"/>
  <pageMargins left="0.75" right="0.75" top="1" bottom="1" header="0.511811023622047" footer="0.511811023622047"/>
  <pageSetup orientation="portrait" paperSize="1" scale="97" fitToHeight="0" fitToWidth="1" pageOrder="downThenOver" blackAndWhite="0" draft="0" horizontalDpi="300" verticalDpi="300" copies="1"/>
</worksheet>
</file>

<file path=xl/worksheets/sheet5.xml><?xml version="1.0" encoding="utf-8"?>
<worksheet xmlns="http://schemas.openxmlformats.org/spreadsheetml/2006/main">
  <sheetPr filterMode="0">
    <tabColor rgb="FFD99A3B"/>
    <outlinePr summaryBelow="1" summaryRight="1"/>
    <pageSetUpPr fitToPage="0"/>
  </sheetPr>
  <dimension ref="A1:B73"/>
  <sheetViews>
    <sheetView showFormulas="0" showGridLines="1" showRowColHeaders="1" showZeros="1" rightToLeft="1" tabSelected="0" showOutlineSymbols="1" defaultGridColor="1" view="normal" topLeftCell="A1" colorId="64" zoomScale="175" zoomScaleNormal="175" zoomScalePageLayoutView="100" workbookViewId="0">
      <selection pane="topLeft" activeCell="B1" activeCellId="0" sqref="B1"/>
    </sheetView>
  </sheetViews>
  <sheetFormatPr baseColWidth="8" defaultColWidth="9.1484375" defaultRowHeight="18" zeroHeight="0" outlineLevelRow="0"/>
  <cols>
    <col width="10.14" customWidth="1" style="115" min="1" max="1"/>
    <col width="15.85" customWidth="1" style="203" min="2" max="2"/>
    <col width="9.140000000000001" customWidth="1" style="101" min="3" max="16384"/>
  </cols>
  <sheetData>
    <row r="1" ht="31.5" customHeight="1" s="151">
      <c r="A1" s="204" t="inlineStr">
        <is>
          <t xml:space="preserve">ماه شمسی </t>
        </is>
      </c>
      <c r="B1" s="204" t="inlineStr">
        <is>
          <t>تاریخ میلادی روز اول این ماه</t>
        </is>
      </c>
    </row>
    <row r="2" ht="18" customHeight="1" s="151">
      <c r="A2" s="205" t="inlineStr">
        <is>
          <t>1402/01</t>
        </is>
      </c>
      <c r="B2" s="206" t="n">
        <v>45006</v>
      </c>
    </row>
    <row r="3" ht="18" customHeight="1" s="151">
      <c r="A3" s="205" t="inlineStr">
        <is>
          <t>1402/02</t>
        </is>
      </c>
      <c r="B3" s="206" t="n">
        <v>45037</v>
      </c>
    </row>
    <row r="4" ht="18" customHeight="1" s="151">
      <c r="A4" s="205" t="inlineStr">
        <is>
          <t>1402/03</t>
        </is>
      </c>
      <c r="B4" s="206" t="n">
        <v>45068</v>
      </c>
    </row>
    <row r="5" ht="18" customHeight="1" s="151">
      <c r="A5" s="205" t="inlineStr">
        <is>
          <t>1402/04</t>
        </is>
      </c>
      <c r="B5" s="206" t="n">
        <v>45099</v>
      </c>
    </row>
    <row r="6" ht="18" customHeight="1" s="151">
      <c r="A6" s="205" t="inlineStr">
        <is>
          <t>1402/05</t>
        </is>
      </c>
      <c r="B6" s="206" t="n">
        <v>45130</v>
      </c>
    </row>
    <row r="7" ht="18" customHeight="1" s="151">
      <c r="A7" s="205" t="inlineStr">
        <is>
          <t>1402/06</t>
        </is>
      </c>
      <c r="B7" s="206" t="n">
        <v>45161</v>
      </c>
    </row>
    <row r="8" ht="18" customHeight="1" s="151">
      <c r="A8" s="205" t="inlineStr">
        <is>
          <t>1402/07</t>
        </is>
      </c>
      <c r="B8" s="206" t="n">
        <v>45192</v>
      </c>
    </row>
    <row r="9" ht="18" customHeight="1" s="151">
      <c r="A9" s="205" t="inlineStr">
        <is>
          <t>1402/08</t>
        </is>
      </c>
      <c r="B9" s="206" t="n">
        <v>45222</v>
      </c>
    </row>
    <row r="10" ht="18" customHeight="1" s="151">
      <c r="A10" s="205" t="inlineStr">
        <is>
          <t>1402/09</t>
        </is>
      </c>
      <c r="B10" s="206" t="n">
        <v>45252</v>
      </c>
    </row>
    <row r="11" ht="18" customHeight="1" s="151">
      <c r="A11" s="205" t="inlineStr">
        <is>
          <t>1402/10</t>
        </is>
      </c>
      <c r="B11" s="206" t="n">
        <v>45282</v>
      </c>
    </row>
    <row r="12" ht="18" customHeight="1" s="151">
      <c r="A12" s="205" t="inlineStr">
        <is>
          <t>1402/11</t>
        </is>
      </c>
      <c r="B12" s="206" t="n">
        <v>45312</v>
      </c>
    </row>
    <row r="13" ht="18" customHeight="1" s="151">
      <c r="A13" s="205" t="inlineStr">
        <is>
          <t>1402/12</t>
        </is>
      </c>
      <c r="B13" s="206" t="n">
        <v>45342</v>
      </c>
    </row>
    <row r="14" ht="18" customHeight="1" s="151">
      <c r="A14" s="205" t="inlineStr">
        <is>
          <t>1403/01</t>
        </is>
      </c>
      <c r="B14" s="206" t="n">
        <v>45371</v>
      </c>
    </row>
    <row r="15" ht="18" customHeight="1" s="151">
      <c r="A15" s="205" t="inlineStr">
        <is>
          <t>1403/02</t>
        </is>
      </c>
      <c r="B15" s="206" t="n">
        <v>45402</v>
      </c>
    </row>
    <row r="16" ht="18" customHeight="1" s="151">
      <c r="A16" s="205" t="inlineStr">
        <is>
          <t>1403/03</t>
        </is>
      </c>
      <c r="B16" s="206" t="n">
        <v>45433</v>
      </c>
    </row>
    <row r="17" ht="18" customHeight="1" s="151">
      <c r="A17" s="205" t="inlineStr">
        <is>
          <t>1403/04</t>
        </is>
      </c>
      <c r="B17" s="206" t="n">
        <v>45464</v>
      </c>
    </row>
    <row r="18" ht="18" customHeight="1" s="151">
      <c r="A18" s="205" t="inlineStr">
        <is>
          <t>1403/05</t>
        </is>
      </c>
      <c r="B18" s="206" t="n">
        <v>45495</v>
      </c>
    </row>
    <row r="19" ht="18" customHeight="1" s="151">
      <c r="A19" s="205" t="inlineStr">
        <is>
          <t>1403/06</t>
        </is>
      </c>
      <c r="B19" s="206" t="n">
        <v>45526</v>
      </c>
    </row>
    <row r="20" ht="18" customHeight="1" s="151">
      <c r="A20" s="205" t="inlineStr">
        <is>
          <t>1403/07</t>
        </is>
      </c>
      <c r="B20" s="206" t="n">
        <v>45557</v>
      </c>
    </row>
    <row r="21" ht="18" customHeight="1" s="151">
      <c r="A21" s="205" t="inlineStr">
        <is>
          <t>1403/08</t>
        </is>
      </c>
      <c r="B21" s="206" t="n">
        <v>45587</v>
      </c>
    </row>
    <row r="22" ht="18" customHeight="1" s="151">
      <c r="A22" s="205" t="inlineStr">
        <is>
          <t>1403/09</t>
        </is>
      </c>
      <c r="B22" s="206" t="n">
        <v>45617</v>
      </c>
    </row>
    <row r="23" ht="18" customHeight="1" s="151">
      <c r="A23" s="205" t="inlineStr">
        <is>
          <t>1403/10</t>
        </is>
      </c>
      <c r="B23" s="206" t="n">
        <v>45647</v>
      </c>
    </row>
    <row r="24" ht="18" customHeight="1" s="151">
      <c r="A24" s="205" t="inlineStr">
        <is>
          <t>1403/11</t>
        </is>
      </c>
      <c r="B24" s="206" t="n">
        <v>45677</v>
      </c>
    </row>
    <row r="25" ht="18" customHeight="1" s="151">
      <c r="A25" s="205" t="inlineStr">
        <is>
          <t>1403/12</t>
        </is>
      </c>
      <c r="B25" s="206" t="n">
        <v>45707</v>
      </c>
    </row>
    <row r="26" ht="18" customHeight="1" s="151">
      <c r="A26" s="205" t="inlineStr">
        <is>
          <t>1404/01</t>
        </is>
      </c>
      <c r="B26" s="206" t="n">
        <v>45737</v>
      </c>
    </row>
    <row r="27" ht="18" customHeight="1" s="151">
      <c r="A27" s="205" t="inlineStr">
        <is>
          <t>1404/02</t>
        </is>
      </c>
      <c r="B27" s="206" t="n">
        <v>45768</v>
      </c>
    </row>
    <row r="28" ht="18" customHeight="1" s="151">
      <c r="A28" s="205" t="inlineStr">
        <is>
          <t>1404/03</t>
        </is>
      </c>
      <c r="B28" s="206" t="n">
        <v>45799</v>
      </c>
    </row>
    <row r="29" ht="18" customHeight="1" s="151">
      <c r="A29" s="205" t="inlineStr">
        <is>
          <t>1404/04</t>
        </is>
      </c>
      <c r="B29" s="206" t="n">
        <v>45830</v>
      </c>
    </row>
    <row r="30" ht="18" customHeight="1" s="151">
      <c r="A30" s="205" t="inlineStr">
        <is>
          <t>1404/05</t>
        </is>
      </c>
      <c r="B30" s="206" t="n">
        <v>45861</v>
      </c>
    </row>
    <row r="31" ht="18" customHeight="1" s="151">
      <c r="A31" s="205" t="inlineStr">
        <is>
          <t>1404/06</t>
        </is>
      </c>
      <c r="B31" s="206" t="n">
        <v>45892</v>
      </c>
    </row>
    <row r="32" ht="18" customHeight="1" s="151">
      <c r="A32" s="205" t="inlineStr">
        <is>
          <t>1404/07</t>
        </is>
      </c>
      <c r="B32" s="206" t="n">
        <v>45923</v>
      </c>
    </row>
    <row r="33" ht="18" customHeight="1" s="151">
      <c r="A33" s="205" t="inlineStr">
        <is>
          <t>1404/08</t>
        </is>
      </c>
      <c r="B33" s="206" t="n">
        <v>45953</v>
      </c>
    </row>
    <row r="34" ht="18" customHeight="1" s="151">
      <c r="A34" s="205" t="inlineStr">
        <is>
          <t>1404/09</t>
        </is>
      </c>
      <c r="B34" s="206" t="n">
        <v>45983</v>
      </c>
    </row>
    <row r="35" ht="18" customHeight="1" s="151">
      <c r="A35" s="205" t="inlineStr">
        <is>
          <t>1404/10</t>
        </is>
      </c>
      <c r="B35" s="206" t="n">
        <v>46013</v>
      </c>
    </row>
    <row r="36" ht="18" customHeight="1" s="151">
      <c r="A36" s="205" t="inlineStr">
        <is>
          <t>1404/11</t>
        </is>
      </c>
      <c r="B36" s="206" t="n">
        <v>46043</v>
      </c>
    </row>
    <row r="37" ht="18" customHeight="1" s="151">
      <c r="A37" s="205" t="inlineStr">
        <is>
          <t>1404/12</t>
        </is>
      </c>
      <c r="B37" s="206" t="n">
        <v>46073</v>
      </c>
    </row>
    <row r="38" ht="18" customHeight="1" s="151">
      <c r="A38" s="205" t="inlineStr">
        <is>
          <t>1405/01</t>
        </is>
      </c>
      <c r="B38" s="206" t="n">
        <v>46102</v>
      </c>
    </row>
    <row r="39" ht="18" customHeight="1" s="151">
      <c r="A39" s="205" t="inlineStr">
        <is>
          <t>1405/02</t>
        </is>
      </c>
      <c r="B39" s="206" t="n">
        <v>46133</v>
      </c>
    </row>
    <row r="40" ht="18" customHeight="1" s="151">
      <c r="A40" s="205" t="inlineStr">
        <is>
          <t>1405/03</t>
        </is>
      </c>
      <c r="B40" s="206" t="n">
        <v>46164</v>
      </c>
    </row>
    <row r="41" ht="18" customHeight="1" s="151">
      <c r="A41" s="205" t="inlineStr">
        <is>
          <t>1405/04</t>
        </is>
      </c>
      <c r="B41" s="206" t="n">
        <v>46195</v>
      </c>
    </row>
    <row r="42" ht="18" customHeight="1" s="151">
      <c r="A42" s="205" t="inlineStr">
        <is>
          <t>1405/05</t>
        </is>
      </c>
      <c r="B42" s="206" t="n">
        <v>46226</v>
      </c>
    </row>
    <row r="43" ht="18" customHeight="1" s="151">
      <c r="A43" s="205" t="inlineStr">
        <is>
          <t>1405/06</t>
        </is>
      </c>
      <c r="B43" s="206" t="n">
        <v>46257</v>
      </c>
    </row>
    <row r="44" ht="18" customHeight="1" s="151">
      <c r="A44" s="205" t="inlineStr">
        <is>
          <t>1405/07</t>
        </is>
      </c>
      <c r="B44" s="206" t="n">
        <v>46288</v>
      </c>
    </row>
    <row r="45" ht="18" customHeight="1" s="151">
      <c r="A45" s="205" t="inlineStr">
        <is>
          <t>1405/08</t>
        </is>
      </c>
      <c r="B45" s="206" t="n">
        <v>46318</v>
      </c>
    </row>
    <row r="46" ht="18" customHeight="1" s="151">
      <c r="A46" s="205" t="inlineStr">
        <is>
          <t>1405/09</t>
        </is>
      </c>
      <c r="B46" s="206" t="n">
        <v>46348</v>
      </c>
    </row>
    <row r="47" ht="18" customHeight="1" s="151">
      <c r="A47" s="205" t="inlineStr">
        <is>
          <t>1405/10</t>
        </is>
      </c>
      <c r="B47" s="206" t="n">
        <v>46378</v>
      </c>
    </row>
    <row r="48" ht="18" customHeight="1" s="151">
      <c r="A48" s="205" t="inlineStr">
        <is>
          <t>1405/11</t>
        </is>
      </c>
      <c r="B48" s="206" t="n">
        <v>46408</v>
      </c>
    </row>
    <row r="49" ht="18" customHeight="1" s="151">
      <c r="A49" s="205" t="inlineStr">
        <is>
          <t>1405/12</t>
        </is>
      </c>
      <c r="B49" s="206" t="n">
        <v>46438</v>
      </c>
    </row>
    <row r="50" ht="18" customHeight="1" s="151">
      <c r="A50" s="205" t="inlineStr">
        <is>
          <t>1406/01</t>
        </is>
      </c>
      <c r="B50" s="206" t="n">
        <v>46467</v>
      </c>
    </row>
    <row r="51" ht="18" customHeight="1" s="151">
      <c r="A51" s="205" t="inlineStr">
        <is>
          <t>1406/02</t>
        </is>
      </c>
      <c r="B51" s="206" t="n">
        <v>46498</v>
      </c>
    </row>
    <row r="52" ht="18" customHeight="1" s="151">
      <c r="A52" s="205" t="inlineStr">
        <is>
          <t>1406/03</t>
        </is>
      </c>
      <c r="B52" s="206" t="n">
        <v>46529</v>
      </c>
    </row>
    <row r="53" ht="18" customHeight="1" s="151">
      <c r="A53" s="205" t="inlineStr">
        <is>
          <t>1406/04</t>
        </is>
      </c>
      <c r="B53" s="206" t="n">
        <v>46560</v>
      </c>
    </row>
    <row r="54" ht="18" customHeight="1" s="151">
      <c r="A54" s="205" t="inlineStr">
        <is>
          <t>1406/05</t>
        </is>
      </c>
      <c r="B54" s="206" t="n">
        <v>46591</v>
      </c>
    </row>
    <row r="55" ht="18" customHeight="1" s="151">
      <c r="A55" s="205" t="inlineStr">
        <is>
          <t>1406/06</t>
        </is>
      </c>
      <c r="B55" s="206" t="n">
        <v>46622</v>
      </c>
    </row>
    <row r="56" ht="18" customHeight="1" s="151">
      <c r="A56" s="205" t="inlineStr">
        <is>
          <t>1406/07</t>
        </is>
      </c>
      <c r="B56" s="206" t="n">
        <v>46653</v>
      </c>
    </row>
    <row r="57" ht="18" customHeight="1" s="151">
      <c r="A57" s="205" t="inlineStr">
        <is>
          <t>1406/08</t>
        </is>
      </c>
      <c r="B57" s="206" t="n">
        <v>46683</v>
      </c>
    </row>
    <row r="58" ht="18" customHeight="1" s="151">
      <c r="A58" s="205" t="inlineStr">
        <is>
          <t>1406/09</t>
        </is>
      </c>
      <c r="B58" s="206" t="n">
        <v>46713</v>
      </c>
    </row>
    <row r="59" ht="18" customHeight="1" s="151">
      <c r="A59" s="205" t="inlineStr">
        <is>
          <t>1406/10</t>
        </is>
      </c>
      <c r="B59" s="206" t="n">
        <v>46743</v>
      </c>
    </row>
    <row r="60" ht="18" customHeight="1" s="151">
      <c r="A60" s="205" t="inlineStr">
        <is>
          <t>1406/11</t>
        </is>
      </c>
      <c r="B60" s="206" t="n">
        <v>46773</v>
      </c>
    </row>
    <row r="61" ht="18" customHeight="1" s="151">
      <c r="A61" s="205" t="inlineStr">
        <is>
          <t>1406/12</t>
        </is>
      </c>
      <c r="B61" s="206" t="n">
        <v>46803</v>
      </c>
    </row>
    <row r="62" ht="18" customHeight="1" s="151">
      <c r="A62" s="205" t="inlineStr">
        <is>
          <t>1407/01</t>
        </is>
      </c>
      <c r="B62" s="206" t="n">
        <v>46832</v>
      </c>
    </row>
    <row r="63" ht="18" customHeight="1" s="151">
      <c r="A63" s="205" t="inlineStr">
        <is>
          <t>1407/02</t>
        </is>
      </c>
      <c r="B63" s="206" t="n">
        <v>46863</v>
      </c>
    </row>
    <row r="64" ht="18" customHeight="1" s="151">
      <c r="A64" s="205" t="inlineStr">
        <is>
          <t>1407/03</t>
        </is>
      </c>
      <c r="B64" s="206" t="n">
        <v>46894</v>
      </c>
    </row>
    <row r="65" ht="18" customHeight="1" s="151">
      <c r="A65" s="205" t="inlineStr">
        <is>
          <t>1407/04</t>
        </is>
      </c>
      <c r="B65" s="206" t="n">
        <v>46925</v>
      </c>
    </row>
    <row r="66" ht="18" customHeight="1" s="151">
      <c r="A66" s="205" t="inlineStr">
        <is>
          <t>1407/05</t>
        </is>
      </c>
      <c r="B66" s="206" t="n">
        <v>46956</v>
      </c>
    </row>
    <row r="67" ht="18" customHeight="1" s="151">
      <c r="A67" s="205" t="inlineStr">
        <is>
          <t>1407/06</t>
        </is>
      </c>
      <c r="B67" s="206" t="n">
        <v>46987</v>
      </c>
    </row>
    <row r="68" ht="18" customHeight="1" s="151">
      <c r="A68" s="205" t="inlineStr">
        <is>
          <t>1407/07</t>
        </is>
      </c>
      <c r="B68" s="206" t="n">
        <v>47018</v>
      </c>
    </row>
    <row r="69" ht="18" customHeight="1" s="151">
      <c r="A69" s="205" t="inlineStr">
        <is>
          <t>1407/08</t>
        </is>
      </c>
      <c r="B69" s="206" t="n">
        <v>47048</v>
      </c>
    </row>
    <row r="70" ht="18" customHeight="1" s="151">
      <c r="A70" s="205" t="inlineStr">
        <is>
          <t>1407/09</t>
        </is>
      </c>
      <c r="B70" s="206" t="n">
        <v>47078</v>
      </c>
    </row>
    <row r="71" ht="18" customHeight="1" s="151">
      <c r="A71" s="205" t="inlineStr">
        <is>
          <t>1407/10</t>
        </is>
      </c>
      <c r="B71" s="206" t="n">
        <v>47108</v>
      </c>
    </row>
    <row r="72" ht="18" customHeight="1" s="151">
      <c r="A72" s="205" t="inlineStr">
        <is>
          <t>1407/11</t>
        </is>
      </c>
      <c r="B72" s="206" t="n">
        <v>47138</v>
      </c>
    </row>
    <row r="73" ht="18" customHeight="1" s="151">
      <c r="A73" s="205" t="inlineStr">
        <is>
          <t>1407/12</t>
        </is>
      </c>
      <c r="B73" s="206" t="n">
        <v>47168</v>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6.xml><?xml version="1.0" encoding="utf-8"?>
<worksheet xmlns="http://schemas.openxmlformats.org/spreadsheetml/2006/main">
  <sheetPr>
    <tabColor rgb="00D99A3B"/>
    <outlinePr summaryBelow="1" summaryRight="1"/>
    <pageSetUpPr fitToPage="1"/>
  </sheetPr>
  <dimension ref="A1:F166"/>
  <sheetViews>
    <sheetView rightToLeft="1" workbookViewId="0">
      <selection activeCell="A1" sqref="A1"/>
    </sheetView>
  </sheetViews>
  <sheetFormatPr baseColWidth="8" defaultRowHeight="15"/>
  <cols>
    <col width="16" customWidth="1" style="151" min="1" max="1"/>
    <col width="10" customWidth="1" style="151" min="2" max="2"/>
    <col width="22" customWidth="1" style="151" min="3" max="3"/>
    <col width="18" customWidth="1" style="151" min="4" max="4"/>
    <col width="18" customWidth="1" style="151" min="5" max="5"/>
    <col width="6" customWidth="1" style="151" min="6" max="6"/>
    <col width="46" customWidth="1" style="151" min="7" max="7"/>
  </cols>
  <sheetData>
    <row r="1">
      <c r="A1" s="209" t="inlineStr">
        <is>
          <t>داده نصب و فروش ماهانه</t>
        </is>
      </c>
    </row>
    <row r="2">
      <c r="A2" s="214" t="inlineStr">
        <is>
          <t>یادداشت: مقادیر ستون «تعداد نصب/فروش» نمونه هستند (سلول‌های زرد) — لطفاً با آمار واقعی فروش/نصب هر ماه جایگزین کنید. این عدد پایه محاسبه «نرخ واقعی خرابی» (بخش تحلیل تکمیلی) است.</t>
        </is>
      </c>
    </row>
    <row r="3"/>
    <row r="5">
      <c r="A5" s="207" t="inlineStr">
        <is>
          <t>ماه</t>
        </is>
      </c>
      <c r="B5" s="207" t="inlineStr">
        <is>
          <t>سال</t>
        </is>
      </c>
      <c r="C5" s="207" t="inlineStr">
        <is>
          <t>نوع دستگاه</t>
        </is>
      </c>
      <c r="D5" s="207" t="inlineStr">
        <is>
          <t>تعداد نصب/فروش</t>
        </is>
      </c>
      <c r="E5" s="207" t="inlineStr">
        <is>
          <t>قیمت واحد (تومان)</t>
        </is>
      </c>
      <c r="F5" s="215" t="inlineStr">
        <is>
          <t>شماره ماه (کمکی)</t>
        </is>
      </c>
    </row>
    <row r="6">
      <c r="A6" s="210" t="inlineStr">
        <is>
          <t>بهمن</t>
        </is>
      </c>
      <c r="B6" s="216" t="inlineStr">
        <is>
          <t>۱۴۰۲</t>
        </is>
      </c>
      <c r="C6" s="210" t="inlineStr">
        <is>
          <t>ماشين ظرفشويي</t>
        </is>
      </c>
      <c r="D6" s="211" t="n">
        <v>0</v>
      </c>
      <c r="E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6" s="218" t="n">
        <v>16835</v>
      </c>
    </row>
    <row r="7">
      <c r="A7" s="210" t="inlineStr">
        <is>
          <t>بهمن</t>
        </is>
      </c>
      <c r="B7" s="216" t="inlineStr">
        <is>
          <t>۱۴۰۲</t>
        </is>
      </c>
      <c r="C7" s="210" t="inlineStr">
        <is>
          <t>ماشين لباسشويي</t>
        </is>
      </c>
      <c r="D7" s="211" t="n">
        <v>0</v>
      </c>
      <c r="E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7" s="218" t="n">
        <v>16835</v>
      </c>
    </row>
    <row r="8">
      <c r="A8" s="210" t="inlineStr">
        <is>
          <t>بهمن</t>
        </is>
      </c>
      <c r="B8" s="216" t="inlineStr">
        <is>
          <t>۱۴۰۲</t>
        </is>
      </c>
      <c r="C8" s="210" t="inlineStr">
        <is>
          <t>یخچال ساید‌بای‌ساید</t>
        </is>
      </c>
      <c r="D8" s="211" t="n">
        <v>0</v>
      </c>
      <c r="E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8" s="218" t="n">
        <v>16835</v>
      </c>
    </row>
    <row r="9">
      <c r="A9" s="210" t="inlineStr">
        <is>
          <t>بهمن</t>
        </is>
      </c>
      <c r="B9" s="216" t="inlineStr">
        <is>
          <t>۱۴۰۲</t>
        </is>
      </c>
      <c r="C9" s="210" t="inlineStr">
        <is>
          <t>يخچال ميني</t>
        </is>
      </c>
      <c r="D9" s="211" t="n">
        <v>0</v>
      </c>
      <c r="E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9" s="218" t="n">
        <v>16835</v>
      </c>
    </row>
    <row r="10">
      <c r="A10" s="210" t="inlineStr">
        <is>
          <t>بهمن</t>
        </is>
      </c>
      <c r="B10" s="216" t="inlineStr">
        <is>
          <t>۱۴۰۲</t>
        </is>
      </c>
      <c r="C10" s="210" t="inlineStr">
        <is>
          <t>تلویزیون</t>
        </is>
      </c>
      <c r="D10" s="211" t="n">
        <v>0</v>
      </c>
      <c r="E1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0" s="218" t="n">
        <v>16835</v>
      </c>
    </row>
    <row r="11">
      <c r="A11" s="210" t="inlineStr">
        <is>
          <t>اسفند</t>
        </is>
      </c>
      <c r="B11" s="216" t="inlineStr">
        <is>
          <t>۱۴۰۲</t>
        </is>
      </c>
      <c r="C11" s="210" t="inlineStr">
        <is>
          <t>ماشين ظرفشويي</t>
        </is>
      </c>
      <c r="D11" s="211" t="n">
        <v>0</v>
      </c>
      <c r="E1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1" s="218" t="n">
        <v>16836</v>
      </c>
    </row>
    <row r="12">
      <c r="A12" s="210" t="inlineStr">
        <is>
          <t>اسفند</t>
        </is>
      </c>
      <c r="B12" s="216" t="inlineStr">
        <is>
          <t>۱۴۰۲</t>
        </is>
      </c>
      <c r="C12" s="210" t="inlineStr">
        <is>
          <t>ماشين لباسشويي</t>
        </is>
      </c>
      <c r="D12" s="211" t="n">
        <v>0</v>
      </c>
      <c r="E1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2" s="218" t="n">
        <v>16836</v>
      </c>
    </row>
    <row r="13">
      <c r="A13" s="210" t="inlineStr">
        <is>
          <t>اسفند</t>
        </is>
      </c>
      <c r="B13" s="216" t="inlineStr">
        <is>
          <t>۱۴۰۲</t>
        </is>
      </c>
      <c r="C13" s="210" t="inlineStr">
        <is>
          <t>یخچال ساید‌بای‌ساید</t>
        </is>
      </c>
      <c r="D13" s="211" t="n">
        <v>0</v>
      </c>
      <c r="E1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3" s="218" t="n">
        <v>16836</v>
      </c>
    </row>
    <row r="14">
      <c r="A14" s="210" t="inlineStr">
        <is>
          <t>اسفند</t>
        </is>
      </c>
      <c r="B14" s="216" t="inlineStr">
        <is>
          <t>۱۴۰۲</t>
        </is>
      </c>
      <c r="C14" s="210" t="inlineStr">
        <is>
          <t>يخچال ميني</t>
        </is>
      </c>
      <c r="D14" s="211" t="n">
        <v>0</v>
      </c>
      <c r="E1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4" s="218" t="n">
        <v>16836</v>
      </c>
    </row>
    <row r="15">
      <c r="A15" s="210" t="inlineStr">
        <is>
          <t>اسفند</t>
        </is>
      </c>
      <c r="B15" s="216" t="inlineStr">
        <is>
          <t>۱۴۰۲</t>
        </is>
      </c>
      <c r="C15" s="210" t="inlineStr">
        <is>
          <t>تلویزیون</t>
        </is>
      </c>
      <c r="D15" s="211" t="n">
        <v>0</v>
      </c>
      <c r="E1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5" s="218" t="n">
        <v>16836</v>
      </c>
    </row>
    <row r="16">
      <c r="A16" s="210" t="inlineStr">
        <is>
          <t>فروردین</t>
        </is>
      </c>
      <c r="B16" s="216" t="inlineStr">
        <is>
          <t>۱۴۰۳</t>
        </is>
      </c>
      <c r="C16" s="210" t="inlineStr">
        <is>
          <t>ماشين ظرفشويي</t>
        </is>
      </c>
      <c r="D16" s="219" t="n">
        <v>49</v>
      </c>
      <c r="E1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6" s="218" t="n">
        <v>16837</v>
      </c>
    </row>
    <row r="17">
      <c r="A17" s="210" t="inlineStr">
        <is>
          <t>فروردین</t>
        </is>
      </c>
      <c r="B17" s="216" t="inlineStr">
        <is>
          <t>۱۴۰۳</t>
        </is>
      </c>
      <c r="C17" s="210" t="inlineStr">
        <is>
          <t>ماشين لباسشويي</t>
        </is>
      </c>
      <c r="D17" s="211" t="n">
        <v>0</v>
      </c>
      <c r="E1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7" s="218" t="n">
        <v>16837</v>
      </c>
    </row>
    <row r="18">
      <c r="A18" s="210" t="inlineStr">
        <is>
          <t>فروردین</t>
        </is>
      </c>
      <c r="B18" s="216" t="inlineStr">
        <is>
          <t>۱۴۰۳</t>
        </is>
      </c>
      <c r="C18" s="210" t="inlineStr">
        <is>
          <t>یخچال ساید‌بای‌ساید</t>
        </is>
      </c>
      <c r="D18" s="219" t="n">
        <v>5</v>
      </c>
      <c r="E1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8" s="218" t="n">
        <v>16837</v>
      </c>
    </row>
    <row r="19">
      <c r="A19" s="210" t="inlineStr">
        <is>
          <t>فروردین</t>
        </is>
      </c>
      <c r="B19" s="216" t="inlineStr">
        <is>
          <t>۱۴۰۳</t>
        </is>
      </c>
      <c r="C19" s="210" t="inlineStr">
        <is>
          <t>يخچال ميني</t>
        </is>
      </c>
      <c r="D19" s="211" t="n">
        <v>0</v>
      </c>
      <c r="E1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9" s="218" t="n">
        <v>16837</v>
      </c>
    </row>
    <row r="20">
      <c r="A20" s="210" t="inlineStr">
        <is>
          <t>فروردین</t>
        </is>
      </c>
      <c r="B20" s="216" t="inlineStr">
        <is>
          <t>۱۴۰۳</t>
        </is>
      </c>
      <c r="C20" s="210" t="inlineStr">
        <is>
          <t>تلویزیون</t>
        </is>
      </c>
      <c r="D20" s="211" t="n">
        <v>0</v>
      </c>
      <c r="E2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20" s="218" t="n">
        <v>16837</v>
      </c>
    </row>
    <row r="21">
      <c r="A21" s="210" t="inlineStr">
        <is>
          <t>اردیبهشت</t>
        </is>
      </c>
      <c r="B21" s="216" t="inlineStr">
        <is>
          <t>۱۴۰۳</t>
        </is>
      </c>
      <c r="C21" s="210" t="inlineStr">
        <is>
          <t>ماشين ظرفشويي</t>
        </is>
      </c>
      <c r="D21" s="219" t="n">
        <v>69</v>
      </c>
      <c r="E2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21" s="218" t="n">
        <v>16838</v>
      </c>
    </row>
    <row r="22">
      <c r="A22" s="210" t="inlineStr">
        <is>
          <t>اردیبهشت</t>
        </is>
      </c>
      <c r="B22" s="216" t="inlineStr">
        <is>
          <t>۱۴۰۳</t>
        </is>
      </c>
      <c r="C22" s="210" t="inlineStr">
        <is>
          <t>ماشين لباسشويي</t>
        </is>
      </c>
      <c r="D22" s="211" t="n">
        <v>0</v>
      </c>
      <c r="E2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22" s="218" t="n">
        <v>16838</v>
      </c>
    </row>
    <row r="23">
      <c r="A23" s="210" t="inlineStr">
        <is>
          <t>اردیبهشت</t>
        </is>
      </c>
      <c r="B23" s="216" t="inlineStr">
        <is>
          <t>۱۴۰۳</t>
        </is>
      </c>
      <c r="C23" s="210" t="inlineStr">
        <is>
          <t>یخچال ساید‌بای‌ساید</t>
        </is>
      </c>
      <c r="D23" s="219" t="n">
        <v>3</v>
      </c>
      <c r="E2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23" s="218" t="n">
        <v>16838</v>
      </c>
    </row>
    <row r="24">
      <c r="A24" s="210" t="inlineStr">
        <is>
          <t>اردیبهشت</t>
        </is>
      </c>
      <c r="B24" s="216" t="inlineStr">
        <is>
          <t>۱۴۰۳</t>
        </is>
      </c>
      <c r="C24" s="210" t="inlineStr">
        <is>
          <t>يخچال ميني</t>
        </is>
      </c>
      <c r="D24" s="211" t="n">
        <v>0</v>
      </c>
      <c r="E2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24" s="218" t="n">
        <v>16838</v>
      </c>
    </row>
    <row r="25">
      <c r="A25" s="210" t="inlineStr">
        <is>
          <t>اردیبهشت</t>
        </is>
      </c>
      <c r="B25" s="216" t="inlineStr">
        <is>
          <t>۱۴۰۳</t>
        </is>
      </c>
      <c r="C25" s="210" t="inlineStr">
        <is>
          <t>تلویزیون</t>
        </is>
      </c>
      <c r="D25" s="211" t="n">
        <v>0</v>
      </c>
      <c r="E2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25" s="218" t="n">
        <v>16838</v>
      </c>
    </row>
    <row r="26">
      <c r="A26" s="210" t="inlineStr">
        <is>
          <t>خرداد</t>
        </is>
      </c>
      <c r="B26" s="216" t="inlineStr">
        <is>
          <t>۱۴۰۳</t>
        </is>
      </c>
      <c r="C26" s="210" t="inlineStr">
        <is>
          <t>ماشين ظرفشويي</t>
        </is>
      </c>
      <c r="D26" s="219" t="n">
        <v>62</v>
      </c>
      <c r="E2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26" s="218" t="n">
        <v>16839</v>
      </c>
    </row>
    <row r="27">
      <c r="A27" s="210" t="inlineStr">
        <is>
          <t>خرداد</t>
        </is>
      </c>
      <c r="B27" s="216" t="inlineStr">
        <is>
          <t>۱۴۰۳</t>
        </is>
      </c>
      <c r="C27" s="210" t="inlineStr">
        <is>
          <t>ماشين لباسشويي</t>
        </is>
      </c>
      <c r="D27" s="211" t="n">
        <v>0</v>
      </c>
      <c r="E2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27" s="218" t="n">
        <v>16839</v>
      </c>
    </row>
    <row r="28">
      <c r="A28" s="210" t="inlineStr">
        <is>
          <t>خرداد</t>
        </is>
      </c>
      <c r="B28" s="216" t="inlineStr">
        <is>
          <t>۱۴۰۳</t>
        </is>
      </c>
      <c r="C28" s="210" t="inlineStr">
        <is>
          <t>یخچال ساید‌بای‌ساید</t>
        </is>
      </c>
      <c r="D28" s="219" t="n">
        <v>7</v>
      </c>
      <c r="E2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28" s="218" t="n">
        <v>16839</v>
      </c>
    </row>
    <row r="29">
      <c r="A29" s="210" t="inlineStr">
        <is>
          <t>خرداد</t>
        </is>
      </c>
      <c r="B29" s="216" t="inlineStr">
        <is>
          <t>۱۴۰۳</t>
        </is>
      </c>
      <c r="C29" s="210" t="inlineStr">
        <is>
          <t>يخچال ميني</t>
        </is>
      </c>
      <c r="D29" s="211" t="n">
        <v>0</v>
      </c>
      <c r="E2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29" s="218" t="n">
        <v>16839</v>
      </c>
    </row>
    <row r="30">
      <c r="A30" s="210" t="inlineStr">
        <is>
          <t>خرداد</t>
        </is>
      </c>
      <c r="B30" s="216" t="inlineStr">
        <is>
          <t>۱۴۰۳</t>
        </is>
      </c>
      <c r="C30" s="210" t="inlineStr">
        <is>
          <t>تلویزیون</t>
        </is>
      </c>
      <c r="D30" s="211" t="n">
        <v>0</v>
      </c>
      <c r="E3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30" s="218" t="n">
        <v>16839</v>
      </c>
    </row>
    <row r="31">
      <c r="A31" s="210" t="inlineStr">
        <is>
          <t>تیر</t>
        </is>
      </c>
      <c r="B31" s="216" t="inlineStr">
        <is>
          <t>۱۴۰۳</t>
        </is>
      </c>
      <c r="C31" s="210" t="inlineStr">
        <is>
          <t>ماشين ظرفشويي</t>
        </is>
      </c>
      <c r="D31" s="219" t="n">
        <v>92</v>
      </c>
      <c r="E3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31" s="218" t="n">
        <v>16840</v>
      </c>
    </row>
    <row r="32">
      <c r="A32" s="210" t="inlineStr">
        <is>
          <t>تیر</t>
        </is>
      </c>
      <c r="B32" s="216" t="inlineStr">
        <is>
          <t>۱۴۰۳</t>
        </is>
      </c>
      <c r="C32" s="210" t="inlineStr">
        <is>
          <t>ماشين لباسشويي</t>
        </is>
      </c>
      <c r="D32" s="211" t="n">
        <v>0</v>
      </c>
      <c r="E3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32" s="218" t="n">
        <v>16840</v>
      </c>
    </row>
    <row r="33">
      <c r="A33" s="210" t="inlineStr">
        <is>
          <t>تیر</t>
        </is>
      </c>
      <c r="B33" s="216" t="inlineStr">
        <is>
          <t>۱۴۰۳</t>
        </is>
      </c>
      <c r="C33" s="210" t="inlineStr">
        <is>
          <t>یخچال ساید‌بای‌ساید</t>
        </is>
      </c>
      <c r="D33" s="219" t="n">
        <v>21</v>
      </c>
      <c r="E3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33" s="218" t="n">
        <v>16840</v>
      </c>
    </row>
    <row r="34">
      <c r="A34" s="210" t="inlineStr">
        <is>
          <t>تیر</t>
        </is>
      </c>
      <c r="B34" s="216" t="inlineStr">
        <is>
          <t>۱۴۰۳</t>
        </is>
      </c>
      <c r="C34" s="210" t="inlineStr">
        <is>
          <t>يخچال ميني</t>
        </is>
      </c>
      <c r="D34" s="211" t="n">
        <v>0</v>
      </c>
      <c r="E3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34" s="218" t="n">
        <v>16840</v>
      </c>
    </row>
    <row r="35">
      <c r="A35" s="210" t="inlineStr">
        <is>
          <t>تیر</t>
        </is>
      </c>
      <c r="B35" s="216" t="inlineStr">
        <is>
          <t>۱۴۰۳</t>
        </is>
      </c>
      <c r="C35" s="210" t="inlineStr">
        <is>
          <t>تلویزیون</t>
        </is>
      </c>
      <c r="D35" s="211" t="n">
        <v>0</v>
      </c>
      <c r="E3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35" s="218" t="n">
        <v>16840</v>
      </c>
    </row>
    <row r="36">
      <c r="A36" s="210" t="inlineStr">
        <is>
          <t>مرداد</t>
        </is>
      </c>
      <c r="B36" s="216" t="inlineStr">
        <is>
          <t>۱۴۰۳</t>
        </is>
      </c>
      <c r="C36" s="210" t="inlineStr">
        <is>
          <t>ماشين ظرفشويي</t>
        </is>
      </c>
      <c r="D36" s="219" t="n">
        <v>121</v>
      </c>
      <c r="E3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36" s="218" t="n">
        <v>16841</v>
      </c>
    </row>
    <row r="37">
      <c r="A37" s="210" t="inlineStr">
        <is>
          <t>مرداد</t>
        </is>
      </c>
      <c r="B37" s="216" t="inlineStr">
        <is>
          <t>۱۴۰۳</t>
        </is>
      </c>
      <c r="C37" s="210" t="inlineStr">
        <is>
          <t>ماشين لباسشويي</t>
        </is>
      </c>
      <c r="D37" s="211" t="n">
        <v>0</v>
      </c>
      <c r="E3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37" s="218" t="n">
        <v>16841</v>
      </c>
    </row>
    <row r="38">
      <c r="A38" s="210" t="inlineStr">
        <is>
          <t>مرداد</t>
        </is>
      </c>
      <c r="B38" s="216" t="inlineStr">
        <is>
          <t>۱۴۰۳</t>
        </is>
      </c>
      <c r="C38" s="210" t="inlineStr">
        <is>
          <t>یخچال ساید‌بای‌ساید</t>
        </is>
      </c>
      <c r="D38" s="219" t="n">
        <v>35</v>
      </c>
      <c r="E3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38" s="218" t="n">
        <v>16841</v>
      </c>
    </row>
    <row r="39">
      <c r="A39" s="210" t="inlineStr">
        <is>
          <t>مرداد</t>
        </is>
      </c>
      <c r="B39" s="216" t="inlineStr">
        <is>
          <t>۱۴۰۳</t>
        </is>
      </c>
      <c r="C39" s="210" t="inlineStr">
        <is>
          <t>يخچال ميني</t>
        </is>
      </c>
      <c r="D39" s="219" t="n">
        <v>2</v>
      </c>
      <c r="E3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39" s="218" t="n">
        <v>16841</v>
      </c>
    </row>
    <row r="40">
      <c r="A40" s="210" t="inlineStr">
        <is>
          <t>مرداد</t>
        </is>
      </c>
      <c r="B40" s="216" t="inlineStr">
        <is>
          <t>۱۴۰۳</t>
        </is>
      </c>
      <c r="C40" s="210" t="inlineStr">
        <is>
          <t>تلویزیون</t>
        </is>
      </c>
      <c r="D40" s="211" t="n">
        <v>0</v>
      </c>
      <c r="E4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40" s="218" t="n">
        <v>16841</v>
      </c>
    </row>
    <row r="41">
      <c r="A41" s="210" t="inlineStr">
        <is>
          <t>شهریور</t>
        </is>
      </c>
      <c r="B41" s="216" t="inlineStr">
        <is>
          <t>۱۴۰۳</t>
        </is>
      </c>
      <c r="C41" s="210" t="inlineStr">
        <is>
          <t>ماشين ظرفشويي</t>
        </is>
      </c>
      <c r="D41" s="219" t="n">
        <v>116</v>
      </c>
      <c r="E4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41" s="218" t="n">
        <v>16842</v>
      </c>
    </row>
    <row r="42">
      <c r="A42" s="210" t="inlineStr">
        <is>
          <t>شهریور</t>
        </is>
      </c>
      <c r="B42" s="216" t="inlineStr">
        <is>
          <t>۱۴۰۳</t>
        </is>
      </c>
      <c r="C42" s="210" t="inlineStr">
        <is>
          <t>ماشين لباسشويي</t>
        </is>
      </c>
      <c r="D42" s="211" t="n">
        <v>0</v>
      </c>
      <c r="E4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42" s="218" t="n">
        <v>16842</v>
      </c>
    </row>
    <row r="43">
      <c r="A43" s="210" t="inlineStr">
        <is>
          <t>شهریور</t>
        </is>
      </c>
      <c r="B43" s="216" t="inlineStr">
        <is>
          <t>۱۴۰۳</t>
        </is>
      </c>
      <c r="C43" s="210" t="inlineStr">
        <is>
          <t>یخچال ساید‌بای‌ساید</t>
        </is>
      </c>
      <c r="D43" s="219" t="n">
        <v>37</v>
      </c>
      <c r="E4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43" s="218" t="n">
        <v>16842</v>
      </c>
    </row>
    <row r="44">
      <c r="A44" s="210" t="inlineStr">
        <is>
          <t>شهریور</t>
        </is>
      </c>
      <c r="B44" s="216" t="inlineStr">
        <is>
          <t>۱۴۰۳</t>
        </is>
      </c>
      <c r="C44" s="210" t="inlineStr">
        <is>
          <t>يخچال ميني</t>
        </is>
      </c>
      <c r="D44" s="219" t="n">
        <v>1</v>
      </c>
      <c r="E4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44" s="218" t="n">
        <v>16842</v>
      </c>
    </row>
    <row r="45">
      <c r="A45" s="210" t="inlineStr">
        <is>
          <t>شهریور</t>
        </is>
      </c>
      <c r="B45" s="216" t="inlineStr">
        <is>
          <t>۱۴۰۳</t>
        </is>
      </c>
      <c r="C45" s="210" t="inlineStr">
        <is>
          <t>تلویزیون</t>
        </is>
      </c>
      <c r="D45" s="211" t="n">
        <v>0</v>
      </c>
      <c r="E4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45" s="218" t="n">
        <v>16842</v>
      </c>
    </row>
    <row r="46">
      <c r="A46" s="210" t="inlineStr">
        <is>
          <t>مهر</t>
        </is>
      </c>
      <c r="B46" s="216" t="inlineStr">
        <is>
          <t>۱۴۰۳</t>
        </is>
      </c>
      <c r="C46" s="210" t="inlineStr">
        <is>
          <t>ماشين ظرفشويي</t>
        </is>
      </c>
      <c r="D46" s="219" t="n">
        <v>151</v>
      </c>
      <c r="E4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46" s="218" t="n">
        <v>16843</v>
      </c>
    </row>
    <row r="47">
      <c r="A47" s="210" t="inlineStr">
        <is>
          <t>مهر</t>
        </is>
      </c>
      <c r="B47" s="216" t="inlineStr">
        <is>
          <t>۱۴۰۳</t>
        </is>
      </c>
      <c r="C47" s="210" t="inlineStr">
        <is>
          <t>ماشين لباسشويي</t>
        </is>
      </c>
      <c r="D47" s="211" t="n">
        <v>0</v>
      </c>
      <c r="E4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47" s="218" t="n">
        <v>16843</v>
      </c>
    </row>
    <row r="48">
      <c r="A48" s="210" t="inlineStr">
        <is>
          <t>مهر</t>
        </is>
      </c>
      <c r="B48" s="216" t="inlineStr">
        <is>
          <t>۱۴۰۳</t>
        </is>
      </c>
      <c r="C48" s="210" t="inlineStr">
        <is>
          <t>یخچال ساید‌بای‌ساید</t>
        </is>
      </c>
      <c r="D48" s="219" t="n">
        <v>66</v>
      </c>
      <c r="E4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48" s="218" t="n">
        <v>16843</v>
      </c>
    </row>
    <row r="49">
      <c r="A49" s="210" t="inlineStr">
        <is>
          <t>مهر</t>
        </is>
      </c>
      <c r="B49" s="216" t="inlineStr">
        <is>
          <t>۱۴۰۳</t>
        </is>
      </c>
      <c r="C49" s="210" t="inlineStr">
        <is>
          <t>يخچال ميني</t>
        </is>
      </c>
      <c r="D49" s="211" t="n">
        <v>0</v>
      </c>
      <c r="E4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49" s="218" t="n">
        <v>16843</v>
      </c>
    </row>
    <row r="50">
      <c r="A50" s="210" t="inlineStr">
        <is>
          <t>مهر</t>
        </is>
      </c>
      <c r="B50" s="216" t="inlineStr">
        <is>
          <t>۱۴۰۳</t>
        </is>
      </c>
      <c r="C50" s="210" t="inlineStr">
        <is>
          <t>تلویزیون</t>
        </is>
      </c>
      <c r="D50" s="211" t="n">
        <v>0</v>
      </c>
      <c r="E5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50" s="218" t="n">
        <v>16843</v>
      </c>
    </row>
    <row r="51">
      <c r="A51" s="210" t="inlineStr">
        <is>
          <t>آبان</t>
        </is>
      </c>
      <c r="B51" s="216" t="inlineStr">
        <is>
          <t>۱۴۰۳</t>
        </is>
      </c>
      <c r="C51" s="210" t="inlineStr">
        <is>
          <t>ماشين ظرفشويي</t>
        </is>
      </c>
      <c r="D51" s="219" t="n">
        <v>272</v>
      </c>
      <c r="E5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51" s="218" t="n">
        <v>16844</v>
      </c>
    </row>
    <row r="52">
      <c r="A52" s="210" t="inlineStr">
        <is>
          <t>آبان</t>
        </is>
      </c>
      <c r="B52" s="216" t="inlineStr">
        <is>
          <t>۱۴۰۳</t>
        </is>
      </c>
      <c r="C52" s="210" t="inlineStr">
        <is>
          <t>ماشين لباسشويي</t>
        </is>
      </c>
      <c r="D52" s="211" t="n">
        <v>0</v>
      </c>
      <c r="E5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52" s="218" t="n">
        <v>16844</v>
      </c>
    </row>
    <row r="53">
      <c r="A53" s="210" t="inlineStr">
        <is>
          <t>آبان</t>
        </is>
      </c>
      <c r="B53" s="216" t="inlineStr">
        <is>
          <t>۱۴۰۳</t>
        </is>
      </c>
      <c r="C53" s="210" t="inlineStr">
        <is>
          <t>یخچال ساید‌بای‌ساید</t>
        </is>
      </c>
      <c r="D53" s="219" t="n">
        <v>118</v>
      </c>
      <c r="E5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53" s="218" t="n">
        <v>16844</v>
      </c>
    </row>
    <row r="54">
      <c r="A54" s="210" t="inlineStr">
        <is>
          <t>آبان</t>
        </is>
      </c>
      <c r="B54" s="216" t="inlineStr">
        <is>
          <t>۱۴۰۳</t>
        </is>
      </c>
      <c r="C54" s="210" t="inlineStr">
        <is>
          <t>يخچال ميني</t>
        </is>
      </c>
      <c r="D54" s="219" t="n">
        <v>7</v>
      </c>
      <c r="E5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54" s="218" t="n">
        <v>16844</v>
      </c>
    </row>
    <row r="55">
      <c r="A55" s="210" t="inlineStr">
        <is>
          <t>آبان</t>
        </is>
      </c>
      <c r="B55" s="216" t="inlineStr">
        <is>
          <t>۱۴۰۳</t>
        </is>
      </c>
      <c r="C55" s="210" t="inlineStr">
        <is>
          <t>تلویزیون</t>
        </is>
      </c>
      <c r="D55" s="211" t="n">
        <v>0</v>
      </c>
      <c r="E5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55" s="218" t="n">
        <v>16844</v>
      </c>
    </row>
    <row r="56">
      <c r="A56" s="210" t="inlineStr">
        <is>
          <t>آذر</t>
        </is>
      </c>
      <c r="B56" s="216" t="inlineStr">
        <is>
          <t>۱۴۰۳</t>
        </is>
      </c>
      <c r="C56" s="210" t="inlineStr">
        <is>
          <t>ماشين ظرفشويي</t>
        </is>
      </c>
      <c r="D56" s="219" t="n">
        <v>268</v>
      </c>
      <c r="E5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56" s="218" t="n">
        <v>16845</v>
      </c>
    </row>
    <row r="57">
      <c r="A57" s="210" t="inlineStr">
        <is>
          <t>آذر</t>
        </is>
      </c>
      <c r="B57" s="216" t="inlineStr">
        <is>
          <t>۱۴۰۳</t>
        </is>
      </c>
      <c r="C57" s="210" t="inlineStr">
        <is>
          <t>ماشين لباسشويي</t>
        </is>
      </c>
      <c r="D57" s="211" t="n">
        <v>0</v>
      </c>
      <c r="E5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57" s="218" t="n">
        <v>16845</v>
      </c>
    </row>
    <row r="58">
      <c r="A58" s="210" t="inlineStr">
        <is>
          <t>آذر</t>
        </is>
      </c>
      <c r="B58" s="216" t="inlineStr">
        <is>
          <t>۱۴۰۳</t>
        </is>
      </c>
      <c r="C58" s="210" t="inlineStr">
        <is>
          <t>یخچال ساید‌بای‌ساید</t>
        </is>
      </c>
      <c r="D58" s="219" t="n">
        <v>182</v>
      </c>
      <c r="E5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58" s="218" t="n">
        <v>16845</v>
      </c>
    </row>
    <row r="59">
      <c r="A59" s="210" t="inlineStr">
        <is>
          <t>آذر</t>
        </is>
      </c>
      <c r="B59" s="216" t="inlineStr">
        <is>
          <t>۱۴۰۳</t>
        </is>
      </c>
      <c r="C59" s="210" t="inlineStr">
        <is>
          <t>يخچال ميني</t>
        </is>
      </c>
      <c r="D59" s="219" t="n">
        <v>22</v>
      </c>
      <c r="E5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59" s="218" t="n">
        <v>16845</v>
      </c>
    </row>
    <row r="60">
      <c r="A60" s="210" t="inlineStr">
        <is>
          <t>آذر</t>
        </is>
      </c>
      <c r="B60" s="216" t="inlineStr">
        <is>
          <t>۱۴۰۳</t>
        </is>
      </c>
      <c r="C60" s="210" t="inlineStr">
        <is>
          <t>تلویزیون</t>
        </is>
      </c>
      <c r="D60" s="211" t="n">
        <v>0</v>
      </c>
      <c r="E6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60" s="218" t="n">
        <v>16845</v>
      </c>
    </row>
    <row r="61">
      <c r="A61" s="210" t="inlineStr">
        <is>
          <t>دی</t>
        </is>
      </c>
      <c r="B61" s="216" t="inlineStr">
        <is>
          <t>۱۴۰۳</t>
        </is>
      </c>
      <c r="C61" s="210" t="inlineStr">
        <is>
          <t>ماشين ظرفشويي</t>
        </is>
      </c>
      <c r="D61" s="219" t="n">
        <v>352</v>
      </c>
      <c r="E6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61" s="218" t="n">
        <v>16846</v>
      </c>
    </row>
    <row r="62">
      <c r="A62" s="210" t="inlineStr">
        <is>
          <t>دی</t>
        </is>
      </c>
      <c r="B62" s="216" t="inlineStr">
        <is>
          <t>۱۴۰۳</t>
        </is>
      </c>
      <c r="C62" s="210" t="inlineStr">
        <is>
          <t>ماشين لباسشويي</t>
        </is>
      </c>
      <c r="D62" s="211" t="n">
        <v>0</v>
      </c>
      <c r="E6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62" s="218" t="n">
        <v>16846</v>
      </c>
    </row>
    <row r="63">
      <c r="A63" s="210" t="inlineStr">
        <is>
          <t>دی</t>
        </is>
      </c>
      <c r="B63" s="216" t="inlineStr">
        <is>
          <t>۱۴۰۳</t>
        </is>
      </c>
      <c r="C63" s="210" t="inlineStr">
        <is>
          <t>یخچال ساید‌بای‌ساید</t>
        </is>
      </c>
      <c r="D63" s="219" t="n">
        <v>290</v>
      </c>
      <c r="E6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63" s="218" t="n">
        <v>16846</v>
      </c>
    </row>
    <row r="64">
      <c r="A64" s="210" t="inlineStr">
        <is>
          <t>دی</t>
        </is>
      </c>
      <c r="B64" s="216" t="inlineStr">
        <is>
          <t>۱۴۰۳</t>
        </is>
      </c>
      <c r="C64" s="210" t="inlineStr">
        <is>
          <t>يخچال ميني</t>
        </is>
      </c>
      <c r="D64" s="219" t="n">
        <v>33</v>
      </c>
      <c r="E6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64" s="218" t="n">
        <v>16846</v>
      </c>
    </row>
    <row r="65">
      <c r="A65" s="210" t="inlineStr">
        <is>
          <t>دی</t>
        </is>
      </c>
      <c r="B65" s="216" t="inlineStr">
        <is>
          <t>۱۴۰۳</t>
        </is>
      </c>
      <c r="C65" s="210" t="inlineStr">
        <is>
          <t>تلویزیون</t>
        </is>
      </c>
      <c r="D65" s="211" t="n">
        <v>0</v>
      </c>
      <c r="E6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65" s="218" t="n">
        <v>16846</v>
      </c>
    </row>
    <row r="66">
      <c r="A66" s="210" t="inlineStr">
        <is>
          <t>بهمن</t>
        </is>
      </c>
      <c r="B66" s="216" t="inlineStr">
        <is>
          <t>۱۴۰۳</t>
        </is>
      </c>
      <c r="C66" s="210" t="inlineStr">
        <is>
          <t>ماشين ظرفشويي</t>
        </is>
      </c>
      <c r="D66" s="219" t="n">
        <v>522</v>
      </c>
      <c r="E6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66" s="218" t="n">
        <v>16847</v>
      </c>
    </row>
    <row r="67">
      <c r="A67" s="210" t="inlineStr">
        <is>
          <t>بهمن</t>
        </is>
      </c>
      <c r="B67" s="216" t="inlineStr">
        <is>
          <t>۱۴۰۳</t>
        </is>
      </c>
      <c r="C67" s="210" t="inlineStr">
        <is>
          <t>ماشين لباسشويي</t>
        </is>
      </c>
      <c r="D67" s="211" t="n">
        <v>0</v>
      </c>
      <c r="E6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67" s="218" t="n">
        <v>16847</v>
      </c>
    </row>
    <row r="68">
      <c r="A68" s="210" t="inlineStr">
        <is>
          <t>بهمن</t>
        </is>
      </c>
      <c r="B68" s="216" t="inlineStr">
        <is>
          <t>۱۴۰۳</t>
        </is>
      </c>
      <c r="C68" s="210" t="inlineStr">
        <is>
          <t>یخچال ساید‌بای‌ساید</t>
        </is>
      </c>
      <c r="D68" s="219" t="n">
        <v>99</v>
      </c>
      <c r="E6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68" s="218" t="n">
        <v>16847</v>
      </c>
    </row>
    <row r="69">
      <c r="A69" s="210" t="inlineStr">
        <is>
          <t>بهمن</t>
        </is>
      </c>
      <c r="B69" s="216" t="inlineStr">
        <is>
          <t>۱۴۰۳</t>
        </is>
      </c>
      <c r="C69" s="210" t="inlineStr">
        <is>
          <t>يخچال ميني</t>
        </is>
      </c>
      <c r="D69" s="219" t="n">
        <v>49</v>
      </c>
      <c r="E6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69" s="218" t="n">
        <v>16847</v>
      </c>
    </row>
    <row r="70">
      <c r="A70" s="210" t="inlineStr">
        <is>
          <t>بهمن</t>
        </is>
      </c>
      <c r="B70" s="216" t="inlineStr">
        <is>
          <t>۱۴۰۳</t>
        </is>
      </c>
      <c r="C70" s="210" t="inlineStr">
        <is>
          <t>تلویزیون</t>
        </is>
      </c>
      <c r="D70" s="211" t="n">
        <v>0</v>
      </c>
      <c r="E7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70" s="218" t="n">
        <v>16847</v>
      </c>
    </row>
    <row r="71">
      <c r="A71" s="210" t="inlineStr">
        <is>
          <t>اسفند</t>
        </is>
      </c>
      <c r="B71" s="216" t="inlineStr">
        <is>
          <t>۱۴۰۳</t>
        </is>
      </c>
      <c r="C71" s="210" t="inlineStr">
        <is>
          <t>ماشين ظرفشويي</t>
        </is>
      </c>
      <c r="D71" s="219" t="n">
        <v>870</v>
      </c>
      <c r="E7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71" s="218" t="n">
        <v>16848</v>
      </c>
    </row>
    <row r="72">
      <c r="A72" s="210" t="inlineStr">
        <is>
          <t>اسفند</t>
        </is>
      </c>
      <c r="B72" s="216" t="inlineStr">
        <is>
          <t>۱۴۰۳</t>
        </is>
      </c>
      <c r="C72" s="210" t="inlineStr">
        <is>
          <t>ماشين لباسشويي</t>
        </is>
      </c>
      <c r="D72" s="211" t="n">
        <v>0</v>
      </c>
      <c r="E7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72" s="218" t="n">
        <v>16848</v>
      </c>
    </row>
    <row r="73">
      <c r="A73" s="210" t="inlineStr">
        <is>
          <t>اسفند</t>
        </is>
      </c>
      <c r="B73" s="216" t="inlineStr">
        <is>
          <t>۱۴۰۳</t>
        </is>
      </c>
      <c r="C73" s="210" t="inlineStr">
        <is>
          <t>یخچال ساید‌بای‌ساید</t>
        </is>
      </c>
      <c r="D73" s="219" t="n">
        <v>125</v>
      </c>
      <c r="E7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73" s="218" t="n">
        <v>16848</v>
      </c>
    </row>
    <row r="74">
      <c r="A74" s="210" t="inlineStr">
        <is>
          <t>اسفند</t>
        </is>
      </c>
      <c r="B74" s="216" t="inlineStr">
        <is>
          <t>۱۴۰۳</t>
        </is>
      </c>
      <c r="C74" s="210" t="inlineStr">
        <is>
          <t>يخچال ميني</t>
        </is>
      </c>
      <c r="D74" s="219" t="n">
        <v>68</v>
      </c>
      <c r="E7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74" s="218" t="n">
        <v>16848</v>
      </c>
    </row>
    <row r="75">
      <c r="A75" s="210" t="inlineStr">
        <is>
          <t>اسفند</t>
        </is>
      </c>
      <c r="B75" s="216" t="inlineStr">
        <is>
          <t>۱۴۰۳</t>
        </is>
      </c>
      <c r="C75" s="210" t="inlineStr">
        <is>
          <t>تلویزیون</t>
        </is>
      </c>
      <c r="D75" s="211" t="n">
        <v>0</v>
      </c>
      <c r="E7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75" s="218" t="n">
        <v>16848</v>
      </c>
    </row>
    <row r="76">
      <c r="A76" s="210" t="inlineStr">
        <is>
          <t>فروردین</t>
        </is>
      </c>
      <c r="B76" s="216" t="inlineStr">
        <is>
          <t>۱۴۰۴</t>
        </is>
      </c>
      <c r="C76" s="210" t="inlineStr">
        <is>
          <t>ماشين ظرفشويي</t>
        </is>
      </c>
      <c r="D76" s="219" t="n">
        <v>611</v>
      </c>
      <c r="E7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76" s="218" t="n">
        <v>16849</v>
      </c>
    </row>
    <row r="77">
      <c r="A77" s="210" t="inlineStr">
        <is>
          <t>فروردین</t>
        </is>
      </c>
      <c r="B77" s="216" t="inlineStr">
        <is>
          <t>۱۴۰۴</t>
        </is>
      </c>
      <c r="C77" s="210" t="inlineStr">
        <is>
          <t>ماشين لباسشويي</t>
        </is>
      </c>
      <c r="D77" s="211" t="n">
        <v>0</v>
      </c>
      <c r="E7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77" s="218" t="n">
        <v>16849</v>
      </c>
    </row>
    <row r="78">
      <c r="A78" s="210" t="inlineStr">
        <is>
          <t>فروردین</t>
        </is>
      </c>
      <c r="B78" s="216" t="inlineStr">
        <is>
          <t>۱۴۰۴</t>
        </is>
      </c>
      <c r="C78" s="210" t="inlineStr">
        <is>
          <t>یخچال ساید‌بای‌ساید</t>
        </is>
      </c>
      <c r="D78" s="219" t="n">
        <v>47</v>
      </c>
      <c r="E7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78" s="218" t="n">
        <v>16849</v>
      </c>
    </row>
    <row r="79">
      <c r="A79" s="210" t="inlineStr">
        <is>
          <t>فروردین</t>
        </is>
      </c>
      <c r="B79" s="216" t="inlineStr">
        <is>
          <t>۱۴۰۴</t>
        </is>
      </c>
      <c r="C79" s="210" t="inlineStr">
        <is>
          <t>يخچال ميني</t>
        </is>
      </c>
      <c r="D79" s="219" t="n">
        <v>83</v>
      </c>
      <c r="E7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79" s="218" t="n">
        <v>16849</v>
      </c>
    </row>
    <row r="80">
      <c r="A80" s="210" t="inlineStr">
        <is>
          <t>فروردین</t>
        </is>
      </c>
      <c r="B80" s="216" t="inlineStr">
        <is>
          <t>۱۴۰۴</t>
        </is>
      </c>
      <c r="C80" s="210" t="inlineStr">
        <is>
          <t>تلویزیون</t>
        </is>
      </c>
      <c r="D80" s="211" t="n">
        <v>0</v>
      </c>
      <c r="E8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80" s="218" t="n">
        <v>16849</v>
      </c>
    </row>
    <row r="81">
      <c r="A81" s="210" t="inlineStr">
        <is>
          <t>اردیبهشت</t>
        </is>
      </c>
      <c r="B81" s="216" t="inlineStr">
        <is>
          <t>۱۴۰۴</t>
        </is>
      </c>
      <c r="C81" s="210" t="inlineStr">
        <is>
          <t>ماشين ظرفشويي</t>
        </is>
      </c>
      <c r="D81" s="219" t="n">
        <v>471</v>
      </c>
      <c r="E8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81" s="218" t="n">
        <v>16850</v>
      </c>
    </row>
    <row r="82">
      <c r="A82" s="210" t="inlineStr">
        <is>
          <t>اردیبهشت</t>
        </is>
      </c>
      <c r="B82" s="216" t="inlineStr">
        <is>
          <t>۱۴۰۴</t>
        </is>
      </c>
      <c r="C82" s="210" t="inlineStr">
        <is>
          <t>ماشين لباسشويي</t>
        </is>
      </c>
      <c r="D82" s="211" t="n">
        <v>0</v>
      </c>
      <c r="E8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82" s="218" t="n">
        <v>16850</v>
      </c>
    </row>
    <row r="83">
      <c r="A83" s="210" t="inlineStr">
        <is>
          <t>اردیبهشت</t>
        </is>
      </c>
      <c r="B83" s="216" t="inlineStr">
        <is>
          <t>۱۴۰۴</t>
        </is>
      </c>
      <c r="C83" s="210" t="inlineStr">
        <is>
          <t>یخچال ساید‌بای‌ساید</t>
        </is>
      </c>
      <c r="D83" s="219" t="n">
        <v>69</v>
      </c>
      <c r="E8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83" s="218" t="n">
        <v>16850</v>
      </c>
    </row>
    <row r="84">
      <c r="A84" s="210" t="inlineStr">
        <is>
          <t>اردیبهشت</t>
        </is>
      </c>
      <c r="B84" s="216" t="inlineStr">
        <is>
          <t>۱۴۰۴</t>
        </is>
      </c>
      <c r="C84" s="210" t="inlineStr">
        <is>
          <t>يخچال ميني</t>
        </is>
      </c>
      <c r="D84" s="219" t="n">
        <v>89</v>
      </c>
      <c r="E8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84" s="218" t="n">
        <v>16850</v>
      </c>
    </row>
    <row r="85">
      <c r="A85" s="210" t="inlineStr">
        <is>
          <t>اردیبهشت</t>
        </is>
      </c>
      <c r="B85" s="216" t="inlineStr">
        <is>
          <t>۱۴۰۴</t>
        </is>
      </c>
      <c r="C85" s="210" t="inlineStr">
        <is>
          <t>تلویزیون</t>
        </is>
      </c>
      <c r="D85" s="211" t="n">
        <v>0</v>
      </c>
      <c r="E8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85" s="218" t="n">
        <v>16850</v>
      </c>
    </row>
    <row r="86">
      <c r="A86" s="210" t="inlineStr">
        <is>
          <t>خرداد</t>
        </is>
      </c>
      <c r="B86" s="216" t="inlineStr">
        <is>
          <t>۱۴۰۴</t>
        </is>
      </c>
      <c r="C86" s="210" t="inlineStr">
        <is>
          <t>ماشين ظرفشويي</t>
        </is>
      </c>
      <c r="D86" s="219" t="n">
        <v>537</v>
      </c>
      <c r="E8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86" s="218" t="n">
        <v>16851</v>
      </c>
    </row>
    <row r="87">
      <c r="A87" s="210" t="inlineStr">
        <is>
          <t>خرداد</t>
        </is>
      </c>
      <c r="B87" s="216" t="inlineStr">
        <is>
          <t>۱۴۰۴</t>
        </is>
      </c>
      <c r="C87" s="210" t="inlineStr">
        <is>
          <t>ماشين لباسشويي</t>
        </is>
      </c>
      <c r="D87" s="211" t="n">
        <v>0</v>
      </c>
      <c r="E8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87" s="218" t="n">
        <v>16851</v>
      </c>
    </row>
    <row r="88">
      <c r="A88" s="210" t="inlineStr">
        <is>
          <t>خرداد</t>
        </is>
      </c>
      <c r="B88" s="216" t="inlineStr">
        <is>
          <t>۱۴۰۴</t>
        </is>
      </c>
      <c r="C88" s="210" t="inlineStr">
        <is>
          <t>یخچال ساید‌بای‌ساید</t>
        </is>
      </c>
      <c r="D88" s="219" t="n">
        <v>138</v>
      </c>
      <c r="E8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88" s="218" t="n">
        <v>16851</v>
      </c>
    </row>
    <row r="89">
      <c r="A89" s="210" t="inlineStr">
        <is>
          <t>خرداد</t>
        </is>
      </c>
      <c r="B89" s="216" t="inlineStr">
        <is>
          <t>۱۴۰۴</t>
        </is>
      </c>
      <c r="C89" s="210" t="inlineStr">
        <is>
          <t>يخچال ميني</t>
        </is>
      </c>
      <c r="D89" s="219" t="n">
        <v>104</v>
      </c>
      <c r="E8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89" s="218" t="n">
        <v>16851</v>
      </c>
    </row>
    <row r="90">
      <c r="A90" s="210" t="inlineStr">
        <is>
          <t>خرداد</t>
        </is>
      </c>
      <c r="B90" s="216" t="inlineStr">
        <is>
          <t>۱۴۰۴</t>
        </is>
      </c>
      <c r="C90" s="210" t="inlineStr">
        <is>
          <t>تلویزیون</t>
        </is>
      </c>
      <c r="D90" s="211" t="n">
        <v>0</v>
      </c>
      <c r="E9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90" s="218" t="n">
        <v>16851</v>
      </c>
    </row>
    <row r="91">
      <c r="A91" s="210" t="inlineStr">
        <is>
          <t>تیر</t>
        </is>
      </c>
      <c r="B91" s="216" t="inlineStr">
        <is>
          <t>۱۴۰۴</t>
        </is>
      </c>
      <c r="C91" s="210" t="inlineStr">
        <is>
          <t>ماشين ظرفشويي</t>
        </is>
      </c>
      <c r="D91" s="219" t="n">
        <v>374</v>
      </c>
      <c r="E9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91" s="218" t="n">
        <v>16852</v>
      </c>
    </row>
    <row r="92">
      <c r="A92" s="210" t="inlineStr">
        <is>
          <t>تیر</t>
        </is>
      </c>
      <c r="B92" s="216" t="inlineStr">
        <is>
          <t>۱۴۰۴</t>
        </is>
      </c>
      <c r="C92" s="210" t="inlineStr">
        <is>
          <t>ماشين لباسشويي</t>
        </is>
      </c>
      <c r="D92" s="211" t="n">
        <v>0</v>
      </c>
      <c r="E9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92" s="218" t="n">
        <v>16852</v>
      </c>
    </row>
    <row r="93">
      <c r="A93" s="210" t="inlineStr">
        <is>
          <t>تیر</t>
        </is>
      </c>
      <c r="B93" s="216" t="inlineStr">
        <is>
          <t>۱۴۰۴</t>
        </is>
      </c>
      <c r="C93" s="210" t="inlineStr">
        <is>
          <t>یخچال ساید‌بای‌ساید</t>
        </is>
      </c>
      <c r="D93" s="219" t="n">
        <v>197</v>
      </c>
      <c r="E9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93" s="218" t="n">
        <v>16852</v>
      </c>
    </row>
    <row r="94">
      <c r="A94" s="210" t="inlineStr">
        <is>
          <t>تیر</t>
        </is>
      </c>
      <c r="B94" s="216" t="inlineStr">
        <is>
          <t>۱۴۰۴</t>
        </is>
      </c>
      <c r="C94" s="210" t="inlineStr">
        <is>
          <t>يخچال ميني</t>
        </is>
      </c>
      <c r="D94" s="219" t="n">
        <v>58</v>
      </c>
      <c r="E9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94" s="218" t="n">
        <v>16852</v>
      </c>
    </row>
    <row r="95">
      <c r="A95" s="210" t="inlineStr">
        <is>
          <t>تیر</t>
        </is>
      </c>
      <c r="B95" s="216" t="inlineStr">
        <is>
          <t>۱۴۰۴</t>
        </is>
      </c>
      <c r="C95" s="210" t="inlineStr">
        <is>
          <t>تلویزیون</t>
        </is>
      </c>
      <c r="D95" s="211" t="n">
        <v>0</v>
      </c>
      <c r="E9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95" s="218" t="n">
        <v>16852</v>
      </c>
    </row>
    <row r="96">
      <c r="A96" s="210" t="inlineStr">
        <is>
          <t>مرداد</t>
        </is>
      </c>
      <c r="B96" s="216" t="inlineStr">
        <is>
          <t>۱۴۰۴</t>
        </is>
      </c>
      <c r="C96" s="210" t="inlineStr">
        <is>
          <t>ماشين ظرفشويي</t>
        </is>
      </c>
      <c r="D96" s="219" t="n">
        <v>792</v>
      </c>
      <c r="E9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96" s="218" t="n">
        <v>16853</v>
      </c>
    </row>
    <row r="97">
      <c r="A97" s="210" t="inlineStr">
        <is>
          <t>مرداد</t>
        </is>
      </c>
      <c r="B97" s="216" t="inlineStr">
        <is>
          <t>۱۴۰۴</t>
        </is>
      </c>
      <c r="C97" s="210" t="inlineStr">
        <is>
          <t>ماشين لباسشويي</t>
        </is>
      </c>
      <c r="D97" s="211" t="n">
        <v>0</v>
      </c>
      <c r="E9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97" s="218" t="n">
        <v>16853</v>
      </c>
    </row>
    <row r="98">
      <c r="A98" s="210" t="inlineStr">
        <is>
          <t>مرداد</t>
        </is>
      </c>
      <c r="B98" s="216" t="inlineStr">
        <is>
          <t>۱۴۰۴</t>
        </is>
      </c>
      <c r="C98" s="210" t="inlineStr">
        <is>
          <t>یخچال ساید‌بای‌ساید</t>
        </is>
      </c>
      <c r="D98" s="219" t="n">
        <v>134</v>
      </c>
      <c r="E9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98" s="218" t="n">
        <v>16853</v>
      </c>
    </row>
    <row r="99">
      <c r="A99" s="210" t="inlineStr">
        <is>
          <t>مرداد</t>
        </is>
      </c>
      <c r="B99" s="216" t="inlineStr">
        <is>
          <t>۱۴۰۴</t>
        </is>
      </c>
      <c r="C99" s="210" t="inlineStr">
        <is>
          <t>يخچال ميني</t>
        </is>
      </c>
      <c r="D99" s="219" t="n">
        <v>118</v>
      </c>
      <c r="E9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99" s="218" t="n">
        <v>16853</v>
      </c>
    </row>
    <row r="100">
      <c r="A100" s="210" t="inlineStr">
        <is>
          <t>مرداد</t>
        </is>
      </c>
      <c r="B100" s="216" t="inlineStr">
        <is>
          <t>۱۴۰۴</t>
        </is>
      </c>
      <c r="C100" s="210" t="inlineStr">
        <is>
          <t>تلویزیون</t>
        </is>
      </c>
      <c r="D100" s="211" t="n">
        <v>0</v>
      </c>
      <c r="E10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00" s="218" t="n">
        <v>16853</v>
      </c>
    </row>
    <row r="101">
      <c r="A101" s="210" t="inlineStr">
        <is>
          <t>شهریور</t>
        </is>
      </c>
      <c r="B101" s="216" t="inlineStr">
        <is>
          <t>۱۴۰۴</t>
        </is>
      </c>
      <c r="C101" s="210" t="inlineStr">
        <is>
          <t>ماشين ظرفشويي</t>
        </is>
      </c>
      <c r="D101" s="219" t="n">
        <v>1292</v>
      </c>
      <c r="E10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01" s="218" t="n">
        <v>16854</v>
      </c>
    </row>
    <row r="102">
      <c r="A102" s="210" t="inlineStr">
        <is>
          <t>شهریور</t>
        </is>
      </c>
      <c r="B102" s="216" t="inlineStr">
        <is>
          <t>۱۴۰۴</t>
        </is>
      </c>
      <c r="C102" s="210" t="inlineStr">
        <is>
          <t>ماشين لباسشويي</t>
        </is>
      </c>
      <c r="D102" s="211" t="n">
        <v>0</v>
      </c>
      <c r="E10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02" s="218" t="n">
        <v>16854</v>
      </c>
    </row>
    <row r="103">
      <c r="A103" s="210" t="inlineStr">
        <is>
          <t>شهریور</t>
        </is>
      </c>
      <c r="B103" s="216" t="inlineStr">
        <is>
          <t>۱۴۰۴</t>
        </is>
      </c>
      <c r="C103" s="210" t="inlineStr">
        <is>
          <t>یخچال ساید‌بای‌ساید</t>
        </is>
      </c>
      <c r="D103" s="219" t="n">
        <v>69</v>
      </c>
      <c r="E10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03" s="218" t="n">
        <v>16854</v>
      </c>
    </row>
    <row r="104">
      <c r="A104" s="210" t="inlineStr">
        <is>
          <t>شهریور</t>
        </is>
      </c>
      <c r="B104" s="216" t="inlineStr">
        <is>
          <t>۱۴۰۴</t>
        </is>
      </c>
      <c r="C104" s="210" t="inlineStr">
        <is>
          <t>يخچال ميني</t>
        </is>
      </c>
      <c r="D104" s="219" t="n">
        <v>155</v>
      </c>
      <c r="E10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04" s="218" t="n">
        <v>16854</v>
      </c>
    </row>
    <row r="105">
      <c r="A105" s="210" t="inlineStr">
        <is>
          <t>شهریور</t>
        </is>
      </c>
      <c r="B105" s="216" t="inlineStr">
        <is>
          <t>۱۴۰۴</t>
        </is>
      </c>
      <c r="C105" s="210" t="inlineStr">
        <is>
          <t>تلویزیون</t>
        </is>
      </c>
      <c r="D105" s="211" t="n">
        <v>0</v>
      </c>
      <c r="E10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05" s="218" t="n">
        <v>16854</v>
      </c>
    </row>
    <row r="106">
      <c r="A106" s="210" t="inlineStr">
        <is>
          <t>مهر</t>
        </is>
      </c>
      <c r="B106" s="216" t="inlineStr">
        <is>
          <t>۱۴۰۴</t>
        </is>
      </c>
      <c r="C106" s="210" t="inlineStr">
        <is>
          <t>ماشين ظرفشويي</t>
        </is>
      </c>
      <c r="D106" s="219" t="n">
        <v>997</v>
      </c>
      <c r="E10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06" s="218" t="n">
        <v>16855</v>
      </c>
    </row>
    <row r="107">
      <c r="A107" s="210" t="inlineStr">
        <is>
          <t>مهر</t>
        </is>
      </c>
      <c r="B107" s="216" t="inlineStr">
        <is>
          <t>۱۴۰۴</t>
        </is>
      </c>
      <c r="C107" s="210" t="inlineStr">
        <is>
          <t>ماشين لباسشويي</t>
        </is>
      </c>
      <c r="D107" s="211" t="n">
        <v>0</v>
      </c>
      <c r="E10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07" s="218" t="n">
        <v>16855</v>
      </c>
    </row>
    <row r="108">
      <c r="A108" s="210" t="inlineStr">
        <is>
          <t>مهر</t>
        </is>
      </c>
      <c r="B108" s="216" t="inlineStr">
        <is>
          <t>۱۴۰۴</t>
        </is>
      </c>
      <c r="C108" s="210" t="inlineStr">
        <is>
          <t>یخچال ساید‌بای‌ساید</t>
        </is>
      </c>
      <c r="D108" s="219" t="n">
        <v>50</v>
      </c>
      <c r="E10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08" s="218" t="n">
        <v>16855</v>
      </c>
    </row>
    <row r="109">
      <c r="A109" s="210" t="inlineStr">
        <is>
          <t>مهر</t>
        </is>
      </c>
      <c r="B109" s="216" t="inlineStr">
        <is>
          <t>۱۴۰۴</t>
        </is>
      </c>
      <c r="C109" s="210" t="inlineStr">
        <is>
          <t>يخچال ميني</t>
        </is>
      </c>
      <c r="D109" s="219" t="n">
        <v>175</v>
      </c>
      <c r="E10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09" s="218" t="n">
        <v>16855</v>
      </c>
    </row>
    <row r="110">
      <c r="A110" s="210" t="inlineStr">
        <is>
          <t>مهر</t>
        </is>
      </c>
      <c r="B110" s="216" t="inlineStr">
        <is>
          <t>۱۴۰۴</t>
        </is>
      </c>
      <c r="C110" s="210" t="inlineStr">
        <is>
          <t>تلویزیون</t>
        </is>
      </c>
      <c r="D110" s="211" t="n">
        <v>0</v>
      </c>
      <c r="E11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10" s="218" t="n">
        <v>16855</v>
      </c>
    </row>
    <row r="111">
      <c r="A111" s="210" t="inlineStr">
        <is>
          <t>آبان</t>
        </is>
      </c>
      <c r="B111" s="216" t="inlineStr">
        <is>
          <t>۱۴۰۴</t>
        </is>
      </c>
      <c r="C111" s="210" t="inlineStr">
        <is>
          <t>ماشين ظرفشويي</t>
        </is>
      </c>
      <c r="D111" s="219" t="n">
        <v>866</v>
      </c>
      <c r="E11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11" s="218" t="n">
        <v>16856</v>
      </c>
    </row>
    <row r="112">
      <c r="A112" s="210" t="inlineStr">
        <is>
          <t>آبان</t>
        </is>
      </c>
      <c r="B112" s="216" t="inlineStr">
        <is>
          <t>۱۴۰۴</t>
        </is>
      </c>
      <c r="C112" s="210" t="inlineStr">
        <is>
          <t>ماشين لباسشويي</t>
        </is>
      </c>
      <c r="D112" s="211" t="n">
        <v>0</v>
      </c>
      <c r="E11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12" s="218" t="n">
        <v>16856</v>
      </c>
    </row>
    <row r="113">
      <c r="A113" s="210" t="inlineStr">
        <is>
          <t>آبان</t>
        </is>
      </c>
      <c r="B113" s="216" t="inlineStr">
        <is>
          <t>۱۴۰۴</t>
        </is>
      </c>
      <c r="C113" s="210" t="inlineStr">
        <is>
          <t>یخچال ساید‌بای‌ساید</t>
        </is>
      </c>
      <c r="D113" s="219" t="n">
        <v>39</v>
      </c>
      <c r="E11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13" s="218" t="n">
        <v>16856</v>
      </c>
    </row>
    <row r="114">
      <c r="A114" s="210" t="inlineStr">
        <is>
          <t>آبان</t>
        </is>
      </c>
      <c r="B114" s="216" t="inlineStr">
        <is>
          <t>۱۴۰۴</t>
        </is>
      </c>
      <c r="C114" s="210" t="inlineStr">
        <is>
          <t>يخچال ميني</t>
        </is>
      </c>
      <c r="D114" s="219" t="n">
        <v>146</v>
      </c>
      <c r="E11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14" s="218" t="n">
        <v>16856</v>
      </c>
    </row>
    <row r="115">
      <c r="A115" s="210" t="inlineStr">
        <is>
          <t>آبان</t>
        </is>
      </c>
      <c r="B115" s="216" t="inlineStr">
        <is>
          <t>۱۴۰۴</t>
        </is>
      </c>
      <c r="C115" s="210" t="inlineStr">
        <is>
          <t>تلویزیون</t>
        </is>
      </c>
      <c r="D115" s="211" t="n">
        <v>0</v>
      </c>
      <c r="E11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15" s="218" t="n">
        <v>16856</v>
      </c>
    </row>
    <row r="116">
      <c r="A116" s="210" t="inlineStr">
        <is>
          <t>آذر</t>
        </is>
      </c>
      <c r="B116" s="216" t="inlineStr">
        <is>
          <t>۱۴۰۴</t>
        </is>
      </c>
      <c r="C116" s="210" t="inlineStr">
        <is>
          <t>ماشين ظرفشويي</t>
        </is>
      </c>
      <c r="D116" s="219" t="n">
        <v>1290</v>
      </c>
      <c r="E11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16" s="218" t="n">
        <v>16857</v>
      </c>
    </row>
    <row r="117">
      <c r="A117" s="210" t="inlineStr">
        <is>
          <t>آذر</t>
        </is>
      </c>
      <c r="B117" s="216" t="inlineStr">
        <is>
          <t>۱۴۰۴</t>
        </is>
      </c>
      <c r="C117" s="210" t="inlineStr">
        <is>
          <t>ماشين لباسشويي</t>
        </is>
      </c>
      <c r="D117" s="211" t="n">
        <v>0</v>
      </c>
      <c r="E11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17" s="218" t="n">
        <v>16857</v>
      </c>
    </row>
    <row r="118">
      <c r="A118" s="210" t="inlineStr">
        <is>
          <t>آذر</t>
        </is>
      </c>
      <c r="B118" s="216" t="inlineStr">
        <is>
          <t>۱۴۰۴</t>
        </is>
      </c>
      <c r="C118" s="210" t="inlineStr">
        <is>
          <t>یخچال ساید‌بای‌ساید</t>
        </is>
      </c>
      <c r="D118" s="219" t="n">
        <v>25</v>
      </c>
      <c r="E11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18" s="218" t="n">
        <v>16857</v>
      </c>
    </row>
    <row r="119">
      <c r="A119" s="210" t="inlineStr">
        <is>
          <t>آذر</t>
        </is>
      </c>
      <c r="B119" s="216" t="inlineStr">
        <is>
          <t>۱۴۰۴</t>
        </is>
      </c>
      <c r="C119" s="210" t="inlineStr">
        <is>
          <t>يخچال ميني</t>
        </is>
      </c>
      <c r="D119" s="219" t="n">
        <v>131</v>
      </c>
      <c r="E11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19" s="218" t="n">
        <v>16857</v>
      </c>
    </row>
    <row r="120">
      <c r="A120" s="210" t="inlineStr">
        <is>
          <t>آذر</t>
        </is>
      </c>
      <c r="B120" s="216" t="inlineStr">
        <is>
          <t>۱۴۰۴</t>
        </is>
      </c>
      <c r="C120" s="210" t="inlineStr">
        <is>
          <t>تلویزیون</t>
        </is>
      </c>
      <c r="D120" s="211" t="n">
        <v>0</v>
      </c>
      <c r="E12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20" s="218" t="n">
        <v>16857</v>
      </c>
    </row>
    <row r="121">
      <c r="A121" s="210" t="inlineStr">
        <is>
          <t>دی</t>
        </is>
      </c>
      <c r="B121" s="216" t="inlineStr">
        <is>
          <t>۱۴۰۴</t>
        </is>
      </c>
      <c r="C121" s="210" t="inlineStr">
        <is>
          <t>ماشين ظرفشويي</t>
        </is>
      </c>
      <c r="D121" s="219" t="n">
        <v>790</v>
      </c>
      <c r="E12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21" s="218" t="n">
        <v>16858</v>
      </c>
    </row>
    <row r="122">
      <c r="A122" s="210" t="inlineStr">
        <is>
          <t>دی</t>
        </is>
      </c>
      <c r="B122" s="216" t="inlineStr">
        <is>
          <t>۱۴۰۴</t>
        </is>
      </c>
      <c r="C122" s="210" t="inlineStr">
        <is>
          <t>ماشين لباسشويي</t>
        </is>
      </c>
      <c r="D122" s="211" t="n">
        <v>0</v>
      </c>
      <c r="E12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22" s="218" t="n">
        <v>16858</v>
      </c>
    </row>
    <row r="123">
      <c r="A123" s="210" t="inlineStr">
        <is>
          <t>دی</t>
        </is>
      </c>
      <c r="B123" s="216" t="inlineStr">
        <is>
          <t>۱۴۰۴</t>
        </is>
      </c>
      <c r="C123" s="210" t="inlineStr">
        <is>
          <t>یخچال ساید‌بای‌ساید</t>
        </is>
      </c>
      <c r="D123" s="219" t="n">
        <v>22</v>
      </c>
      <c r="E12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23" s="218" t="n">
        <v>16858</v>
      </c>
    </row>
    <row r="124">
      <c r="A124" s="210" t="inlineStr">
        <is>
          <t>دی</t>
        </is>
      </c>
      <c r="B124" s="216" t="inlineStr">
        <is>
          <t>۱۴۰۴</t>
        </is>
      </c>
      <c r="C124" s="210" t="inlineStr">
        <is>
          <t>يخچال ميني</t>
        </is>
      </c>
      <c r="D124" s="219" t="n">
        <v>100</v>
      </c>
      <c r="E12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24" s="218" t="n">
        <v>16858</v>
      </c>
    </row>
    <row r="125">
      <c r="A125" s="210" t="inlineStr">
        <is>
          <t>دی</t>
        </is>
      </c>
      <c r="B125" s="216" t="inlineStr">
        <is>
          <t>۱۴۰۴</t>
        </is>
      </c>
      <c r="C125" s="210" t="inlineStr">
        <is>
          <t>تلویزیون</t>
        </is>
      </c>
      <c r="D125" s="211" t="n">
        <v>0</v>
      </c>
      <c r="E12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25" s="218" t="n">
        <v>16858</v>
      </c>
    </row>
    <row r="126">
      <c r="A126" s="210" t="inlineStr">
        <is>
          <t>بهمن</t>
        </is>
      </c>
      <c r="B126" s="216" t="inlineStr">
        <is>
          <t>۱۴۰۴</t>
        </is>
      </c>
      <c r="C126" s="210" t="inlineStr">
        <is>
          <t>ماشين ظرفشويي</t>
        </is>
      </c>
      <c r="D126" s="219" t="n">
        <v>585</v>
      </c>
      <c r="E12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26" s="218" t="n">
        <v>16859</v>
      </c>
    </row>
    <row r="127">
      <c r="A127" s="210" t="inlineStr">
        <is>
          <t>بهمن</t>
        </is>
      </c>
      <c r="B127" s="216" t="inlineStr">
        <is>
          <t>۱۴۰۴</t>
        </is>
      </c>
      <c r="C127" s="210" t="inlineStr">
        <is>
          <t>ماشين لباسشويي</t>
        </is>
      </c>
      <c r="D127" s="211" t="n">
        <v>0</v>
      </c>
      <c r="E12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27" s="218" t="n">
        <v>16859</v>
      </c>
    </row>
    <row r="128">
      <c r="A128" s="210" t="inlineStr">
        <is>
          <t>بهمن</t>
        </is>
      </c>
      <c r="B128" s="216" t="inlineStr">
        <is>
          <t>۱۴۰۴</t>
        </is>
      </c>
      <c r="C128" s="210" t="inlineStr">
        <is>
          <t>یخچال ساید‌بای‌ساید</t>
        </is>
      </c>
      <c r="D128" s="219" t="n">
        <v>26</v>
      </c>
      <c r="E12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28" s="218" t="n">
        <v>16859</v>
      </c>
    </row>
    <row r="129">
      <c r="A129" s="210" t="inlineStr">
        <is>
          <t>بهمن</t>
        </is>
      </c>
      <c r="B129" s="216" t="inlineStr">
        <is>
          <t>۱۴۰۴</t>
        </is>
      </c>
      <c r="C129" s="210" t="inlineStr">
        <is>
          <t>يخچال ميني</t>
        </is>
      </c>
      <c r="D129" s="219" t="n">
        <v>114</v>
      </c>
      <c r="E12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29" s="218" t="n">
        <v>16859</v>
      </c>
    </row>
    <row r="130">
      <c r="A130" s="210" t="inlineStr">
        <is>
          <t>بهمن</t>
        </is>
      </c>
      <c r="B130" s="216" t="inlineStr">
        <is>
          <t>۱۴۰۴</t>
        </is>
      </c>
      <c r="C130" s="210" t="inlineStr">
        <is>
          <t>تلویزیون</t>
        </is>
      </c>
      <c r="D130" s="211" t="n">
        <v>0</v>
      </c>
      <c r="E13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30" s="218" t="n">
        <v>16859</v>
      </c>
    </row>
    <row r="131">
      <c r="A131" s="210" t="inlineStr">
        <is>
          <t>اسفند</t>
        </is>
      </c>
      <c r="B131" s="216" t="inlineStr">
        <is>
          <t>۱۴۰۴</t>
        </is>
      </c>
      <c r="C131" s="210" t="inlineStr">
        <is>
          <t>ماشين ظرفشويي</t>
        </is>
      </c>
      <c r="D131" s="219" t="n">
        <v>480</v>
      </c>
      <c r="E13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31" s="218" t="n">
        <v>16860</v>
      </c>
    </row>
    <row r="132">
      <c r="A132" s="210" t="inlineStr">
        <is>
          <t>اسفند</t>
        </is>
      </c>
      <c r="B132" s="216" t="inlineStr">
        <is>
          <t>۱۴۰۴</t>
        </is>
      </c>
      <c r="C132" s="210" t="inlineStr">
        <is>
          <t>ماشين لباسشويي</t>
        </is>
      </c>
      <c r="D132" s="211" t="n">
        <v>0</v>
      </c>
      <c r="E13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32" s="218" t="n">
        <v>16860</v>
      </c>
    </row>
    <row r="133">
      <c r="A133" s="210" t="inlineStr">
        <is>
          <t>اسفند</t>
        </is>
      </c>
      <c r="B133" s="216" t="inlineStr">
        <is>
          <t>۱۴۰۴</t>
        </is>
      </c>
      <c r="C133" s="210" t="inlineStr">
        <is>
          <t>یخچال ساید‌بای‌ساید</t>
        </is>
      </c>
      <c r="D133" s="219" t="n">
        <v>26</v>
      </c>
      <c r="E13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33" s="218" t="n">
        <v>16860</v>
      </c>
    </row>
    <row r="134">
      <c r="A134" s="210" t="inlineStr">
        <is>
          <t>اسفند</t>
        </is>
      </c>
      <c r="B134" s="216" t="inlineStr">
        <is>
          <t>۱۴۰۴</t>
        </is>
      </c>
      <c r="C134" s="210" t="inlineStr">
        <is>
          <t>يخچال ميني</t>
        </is>
      </c>
      <c r="D134" s="219" t="n">
        <v>100</v>
      </c>
      <c r="E13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34" s="218" t="n">
        <v>16860</v>
      </c>
    </row>
    <row r="135">
      <c r="A135" s="210" t="inlineStr">
        <is>
          <t>اسفند</t>
        </is>
      </c>
      <c r="B135" s="216" t="inlineStr">
        <is>
          <t>۱۴۰۴</t>
        </is>
      </c>
      <c r="C135" s="210" t="inlineStr">
        <is>
          <t>تلویزیون</t>
        </is>
      </c>
      <c r="D135" s="211" t="n">
        <v>0</v>
      </c>
      <c r="E13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35" s="218" t="n">
        <v>16860</v>
      </c>
    </row>
    <row r="136">
      <c r="A136" s="210" t="inlineStr">
        <is>
          <t>فروردین</t>
        </is>
      </c>
      <c r="B136" s="216" t="inlineStr">
        <is>
          <t>۱۴۰۵</t>
        </is>
      </c>
      <c r="C136" s="210" t="inlineStr">
        <is>
          <t>ماشين ظرفشويي</t>
        </is>
      </c>
      <c r="D136" s="219" t="n">
        <v>273</v>
      </c>
      <c r="E13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36" s="218" t="n">
        <v>16861</v>
      </c>
    </row>
    <row r="137">
      <c r="A137" s="210" t="inlineStr">
        <is>
          <t>فروردین</t>
        </is>
      </c>
      <c r="B137" s="216" t="inlineStr">
        <is>
          <t>۱۴۰۵</t>
        </is>
      </c>
      <c r="C137" s="210" t="inlineStr">
        <is>
          <t>ماشين لباسشويي</t>
        </is>
      </c>
      <c r="D137" s="211" t="n">
        <v>0</v>
      </c>
      <c r="E13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37" s="218" t="n">
        <v>16861</v>
      </c>
    </row>
    <row r="138">
      <c r="A138" s="210" t="inlineStr">
        <is>
          <t>فروردین</t>
        </is>
      </c>
      <c r="B138" s="216" t="inlineStr">
        <is>
          <t>۱۴۰۵</t>
        </is>
      </c>
      <c r="C138" s="210" t="inlineStr">
        <is>
          <t>یخچال ساید‌بای‌ساید</t>
        </is>
      </c>
      <c r="D138" s="219" t="n">
        <v>19</v>
      </c>
      <c r="E13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38" s="218" t="n">
        <v>16861</v>
      </c>
    </row>
    <row r="139">
      <c r="A139" s="210" t="inlineStr">
        <is>
          <t>فروردین</t>
        </is>
      </c>
      <c r="B139" s="216" t="inlineStr">
        <is>
          <t>۱۴۰۵</t>
        </is>
      </c>
      <c r="C139" s="210" t="inlineStr">
        <is>
          <t>يخچال ميني</t>
        </is>
      </c>
      <c r="D139" s="219" t="n">
        <v>80</v>
      </c>
      <c r="E13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39" s="218" t="n">
        <v>16861</v>
      </c>
    </row>
    <row r="140">
      <c r="A140" s="210" t="inlineStr">
        <is>
          <t>فروردین</t>
        </is>
      </c>
      <c r="B140" s="216" t="inlineStr">
        <is>
          <t>۱۴۰۵</t>
        </is>
      </c>
      <c r="C140" s="210" t="inlineStr">
        <is>
          <t>تلویزیون</t>
        </is>
      </c>
      <c r="D140" s="211" t="n">
        <v>0</v>
      </c>
      <c r="E14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40" s="218" t="n">
        <v>16861</v>
      </c>
    </row>
    <row r="141">
      <c r="A141" s="210" t="inlineStr">
        <is>
          <t>اردیبهشت</t>
        </is>
      </c>
      <c r="B141" s="216" t="inlineStr">
        <is>
          <t>۱۴۰۵</t>
        </is>
      </c>
      <c r="C141" s="210" t="inlineStr">
        <is>
          <t>ماشين ظرفشويي</t>
        </is>
      </c>
      <c r="D141" s="219" t="n">
        <v>306</v>
      </c>
      <c r="E14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41" s="218" t="n">
        <v>16862</v>
      </c>
    </row>
    <row r="142">
      <c r="A142" s="210" t="inlineStr">
        <is>
          <t>اردیبهشت</t>
        </is>
      </c>
      <c r="B142" s="216" t="inlineStr">
        <is>
          <t>۱۴۰۵</t>
        </is>
      </c>
      <c r="C142" s="210" t="inlineStr">
        <is>
          <t>ماشين لباسشويي</t>
        </is>
      </c>
      <c r="D142" s="211" t="n">
        <v>0</v>
      </c>
      <c r="E14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42" s="218" t="n">
        <v>16862</v>
      </c>
    </row>
    <row r="143">
      <c r="A143" s="210" t="inlineStr">
        <is>
          <t>اردیبهشت</t>
        </is>
      </c>
      <c r="B143" s="216" t="inlineStr">
        <is>
          <t>۱۴۰۵</t>
        </is>
      </c>
      <c r="C143" s="210" t="inlineStr">
        <is>
          <t>یخچال ساید‌بای‌ساید</t>
        </is>
      </c>
      <c r="D143" s="219" t="n">
        <v>16</v>
      </c>
      <c r="E14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43" s="218" t="n">
        <v>16862</v>
      </c>
    </row>
    <row r="144">
      <c r="A144" s="210" t="inlineStr">
        <is>
          <t>اردیبهشت</t>
        </is>
      </c>
      <c r="B144" s="216" t="inlineStr">
        <is>
          <t>۱۴۰۵</t>
        </is>
      </c>
      <c r="C144" s="210" t="inlineStr">
        <is>
          <t>يخچال ميني</t>
        </is>
      </c>
      <c r="D144" s="219" t="n">
        <v>191</v>
      </c>
      <c r="E14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44" s="218" t="n">
        <v>16862</v>
      </c>
    </row>
    <row r="145">
      <c r="A145" s="210" t="inlineStr">
        <is>
          <t>اردیبهشت</t>
        </is>
      </c>
      <c r="B145" s="216" t="inlineStr">
        <is>
          <t>۱۴۰۵</t>
        </is>
      </c>
      <c r="C145" s="210" t="inlineStr">
        <is>
          <t>تلویزیون</t>
        </is>
      </c>
      <c r="D145" s="211" t="n">
        <v>0</v>
      </c>
      <c r="E14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45" s="218" t="n">
        <v>16862</v>
      </c>
    </row>
    <row r="146">
      <c r="A146" s="210" t="inlineStr">
        <is>
          <t>خرداد</t>
        </is>
      </c>
      <c r="B146" s="216" t="inlineStr">
        <is>
          <t>۱۴۰۵</t>
        </is>
      </c>
      <c r="C146" s="210" t="inlineStr">
        <is>
          <t>ماشين ظرفشويي</t>
        </is>
      </c>
      <c r="D146" s="219" t="n">
        <v>248</v>
      </c>
      <c r="E146"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46" s="218" t="n">
        <v>16863</v>
      </c>
    </row>
    <row r="147">
      <c r="A147" s="210" t="inlineStr">
        <is>
          <t>خرداد</t>
        </is>
      </c>
      <c r="B147" s="216" t="inlineStr">
        <is>
          <t>۱۴۰۵</t>
        </is>
      </c>
      <c r="C147" s="210" t="inlineStr">
        <is>
          <t>ماشين لباسشويي</t>
        </is>
      </c>
      <c r="D147" s="211" t="n">
        <v>0</v>
      </c>
      <c r="E147"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47" s="218" t="n">
        <v>16863</v>
      </c>
    </row>
    <row r="148">
      <c r="A148" s="210" t="inlineStr">
        <is>
          <t>خرداد</t>
        </is>
      </c>
      <c r="B148" s="216" t="inlineStr">
        <is>
          <t>۱۴۰۵</t>
        </is>
      </c>
      <c r="C148" s="210" t="inlineStr">
        <is>
          <t>یخچال ساید‌بای‌ساید</t>
        </is>
      </c>
      <c r="D148" s="219" t="n">
        <v>18</v>
      </c>
      <c r="E148"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48" s="218" t="n">
        <v>16863</v>
      </c>
    </row>
    <row r="149">
      <c r="A149" s="210" t="inlineStr">
        <is>
          <t>خرداد</t>
        </is>
      </c>
      <c r="B149" s="216" t="inlineStr">
        <is>
          <t>۱۴۰۵</t>
        </is>
      </c>
      <c r="C149" s="210" t="inlineStr">
        <is>
          <t>يخچال ميني</t>
        </is>
      </c>
      <c r="D149" s="219" t="n">
        <v>181</v>
      </c>
      <c r="E149"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49" s="218" t="n">
        <v>16863</v>
      </c>
    </row>
    <row r="150">
      <c r="A150" s="210" t="inlineStr">
        <is>
          <t>خرداد</t>
        </is>
      </c>
      <c r="B150" s="216" t="inlineStr">
        <is>
          <t>۱۴۰۵</t>
        </is>
      </c>
      <c r="C150" s="210" t="inlineStr">
        <is>
          <t>تلویزیون</t>
        </is>
      </c>
      <c r="D150" s="211" t="n">
        <v>0</v>
      </c>
      <c r="E150"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50" s="218" t="n">
        <v>16863</v>
      </c>
    </row>
    <row r="151">
      <c r="A151" s="210" t="inlineStr">
        <is>
          <t>تیر</t>
        </is>
      </c>
      <c r="B151" s="216" t="inlineStr">
        <is>
          <t>۱۴۰۵</t>
        </is>
      </c>
      <c r="C151" s="210" t="inlineStr">
        <is>
          <t>ماشين ظرفشويي</t>
        </is>
      </c>
      <c r="D151" s="234" t="n">
        <v>165</v>
      </c>
      <c r="E151" s="21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51" s="218" t="n">
        <v>16864</v>
      </c>
    </row>
    <row r="152">
      <c r="A152" s="210" t="inlineStr">
        <is>
          <t>تیر</t>
        </is>
      </c>
      <c r="B152" s="216" t="inlineStr">
        <is>
          <t>۱۴۰۵</t>
        </is>
      </c>
      <c r="C152" s="210" t="inlineStr">
        <is>
          <t>ماشين لباسشويي</t>
        </is>
      </c>
      <c r="D152" s="234" t="n">
        <v>214</v>
      </c>
      <c r="E152" s="21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52" s="218" t="n">
        <v>16864</v>
      </c>
    </row>
    <row r="153">
      <c r="A153" s="210" t="inlineStr">
        <is>
          <t>تیر</t>
        </is>
      </c>
      <c r="B153" s="216" t="inlineStr">
        <is>
          <t>۱۴۰۵</t>
        </is>
      </c>
      <c r="C153" s="210" t="inlineStr">
        <is>
          <t>یخچال ساید‌بای‌ساید</t>
        </is>
      </c>
      <c r="D153" s="219" t="n">
        <v>9</v>
      </c>
      <c r="E153" s="21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53" s="218" t="n">
        <v>16864</v>
      </c>
    </row>
    <row r="154">
      <c r="A154" s="210" t="inlineStr">
        <is>
          <t>تیر</t>
        </is>
      </c>
      <c r="B154" s="216" t="inlineStr">
        <is>
          <t>۱۴۰۵</t>
        </is>
      </c>
      <c r="C154" s="210" t="inlineStr">
        <is>
          <t>يخچال ميني</t>
        </is>
      </c>
      <c r="D154" s="234" t="n">
        <v>190</v>
      </c>
      <c r="E154" s="21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54" s="218" t="n">
        <v>16864</v>
      </c>
    </row>
    <row r="155">
      <c r="A155" s="210" t="inlineStr">
        <is>
          <t>تیر</t>
        </is>
      </c>
      <c r="B155" s="216" t="inlineStr">
        <is>
          <t>۱۴۰۵</t>
        </is>
      </c>
      <c r="C155" s="210" t="inlineStr">
        <is>
          <t>تلویزیون</t>
        </is>
      </c>
      <c r="D155" s="235" t="n">
        <v>21</v>
      </c>
      <c r="E155" s="21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55" s="218" t="n">
        <v>16864</v>
      </c>
    </row>
    <row r="156">
      <c r="A156" s="210" t="inlineStr">
        <is>
          <t>مرداد</t>
        </is>
      </c>
      <c r="B156" s="236" t="inlineStr">
        <is>
          <t>۱۴۰۵ (تا ۲۰ام)</t>
        </is>
      </c>
      <c r="C156" s="210" t="inlineStr">
        <is>
          <t>ماشين ظرفشويي</t>
        </is>
      </c>
      <c r="D156" s="219" t="n">
        <v>115</v>
      </c>
      <c r="E156" s="237">
        <f>IF(SUMIF('قیمت‌ها و مفروضات'!$A$9:$A$13,"ماشين ظرفشويي",'قیمت‌ها و مفروضات'!$C$9:$C$13)&lt;&gt;0,SUMIF('قیمت‌ها و مفروضات'!$A$9:$A$13,"ماشين ظرفشويي",'قیمت‌ها و مفروضات'!$C$9:$C$13),SUMIF('قیمت‌ها و مفروضات'!$A$9:$A$13,"ماشين ظرفشويي",'قیمت‌ها و مفروضات'!$B$9:$B$13))</f>
        <v/>
      </c>
      <c r="F156" s="230" t="n">
        <v>16865</v>
      </c>
    </row>
    <row r="157">
      <c r="A157" s="210" t="inlineStr">
        <is>
          <t>مرداد</t>
        </is>
      </c>
      <c r="B157" s="236" t="inlineStr">
        <is>
          <t>۱۴۰۵ (تا ۲۰ام)</t>
        </is>
      </c>
      <c r="C157" s="210" t="inlineStr">
        <is>
          <t>ماشين لباسشويي</t>
        </is>
      </c>
      <c r="D157" s="219" t="n">
        <v>134</v>
      </c>
      <c r="E157" s="237">
        <f>IF(SUMIF('قیمت‌ها و مفروضات'!$A$9:$A$13,"ماشين لباسشويي",'قیمت‌ها و مفروضات'!$C$9:$C$13)&lt;&gt;0,SUMIF('قیمت‌ها و مفروضات'!$A$9:$A$13,"ماشين لباسشويي",'قیمت‌ها و مفروضات'!$C$9:$C$13),SUMIF('قیمت‌ها و مفروضات'!$A$9:$A$13,"ماشين لباسشويي",'قیمت‌ها و مفروضات'!$B$9:$B$13))</f>
        <v/>
      </c>
      <c r="F157" s="230" t="n">
        <v>16865</v>
      </c>
    </row>
    <row r="158">
      <c r="A158" s="238" t="inlineStr">
        <is>
          <t>مرداد</t>
        </is>
      </c>
      <c r="B158" s="236" t="inlineStr">
        <is>
          <t>۱۴۰۵ (تا ۲۰ام)</t>
        </is>
      </c>
      <c r="C158" s="210" t="inlineStr">
        <is>
          <t>یخچال ساید‌بای‌ساید</t>
        </is>
      </c>
      <c r="D158" s="219" t="n">
        <v>3</v>
      </c>
      <c r="E158" s="237">
        <f>IF(SUMIF('قیمت‌ها و مفروضات'!$A$9:$A$13,"یخچال ساید‌بای‌ساید",'قیمت‌ها و مفروضات'!$C$9:$C$13)&lt;&gt;0,SUMIF('قیمت‌ها و مفروضات'!$A$9:$A$13,"یخچال ساید‌بای‌ساید",'قیمت‌ها و مفروضات'!$C$9:$C$13),SUMIF('قیمت‌ها و مفروضات'!$A$9:$A$13,"یخچال ساید‌بای‌ساید",'قیمت‌ها و مفروضات'!$B$9:$B$13))</f>
        <v/>
      </c>
      <c r="F158" s="230" t="n">
        <v>16865</v>
      </c>
    </row>
    <row r="159">
      <c r="A159" s="239" t="inlineStr">
        <is>
          <t>مرداد</t>
        </is>
      </c>
      <c r="B159" s="236" t="inlineStr">
        <is>
          <t>۱۴۰۵ (تا ۲۰ام)</t>
        </is>
      </c>
      <c r="C159" s="210" t="inlineStr">
        <is>
          <t>يخچال ميني</t>
        </is>
      </c>
      <c r="D159" s="219" t="n">
        <v>212</v>
      </c>
      <c r="E159" s="237">
        <f>IF(SUMIF('قیمت‌ها و مفروضات'!$A$9:$A$13,"يخچال ميني",'قیمت‌ها و مفروضات'!$C$9:$C$13)&lt;&gt;0,SUMIF('قیمت‌ها و مفروضات'!$A$9:$A$13,"يخچال ميني",'قیمت‌ها و مفروضات'!$C$9:$C$13),SUMIF('قیمت‌ها و مفروضات'!$A$9:$A$13,"يخچال ميني",'قیمت‌ها و مفروضات'!$B$9:$B$13))</f>
        <v/>
      </c>
      <c r="F159" s="230" t="n">
        <v>16865</v>
      </c>
    </row>
    <row r="160">
      <c r="A160" s="210" t="inlineStr">
        <is>
          <t>مرداد</t>
        </is>
      </c>
      <c r="B160" s="236" t="inlineStr">
        <is>
          <t>۱۴۰۵ (تا ۲۰ام)</t>
        </is>
      </c>
      <c r="C160" s="210" t="inlineStr">
        <is>
          <t>تلویزیون</t>
        </is>
      </c>
      <c r="D160" s="219" t="n">
        <v>13</v>
      </c>
      <c r="E160" s="237">
        <f>IF(SUMIF('قیمت‌ها و مفروضات'!$A$9:$A$13,"تلویزیون",'قیمت‌ها و مفروضات'!$C$9:$C$13)&lt;&gt;0,SUMIF('قیمت‌ها و مفروضات'!$A$9:$A$13,"تلویزیون",'قیمت‌ها و مفروضات'!$C$9:$C$13),SUMIF('قیمت‌ها و مفروضات'!$A$9:$A$13,"تلویزیون",'قیمت‌ها و مفروضات'!$B$9:$B$13))</f>
        <v/>
      </c>
      <c r="F160" s="230" t="n">
        <v>16865</v>
      </c>
    </row>
    <row r="162" ht="28" customHeight="1" s="151">
      <c r="A162" s="212" t="inlineStr">
        <is>
          <t>یادداشت: داده مرداد فقط تا روز بیستم است (ناقص) — به‌همین دلیل در محاسبه «نرخ واقعی خرابی (کوهورت)» بخش تحلیل تکمیلی لحاظ نشده تا نرخ‌ها بر مبنای ماه‌های کامل و قابل‌مقایسه بمانند.</t>
        </is>
      </c>
    </row>
    <row r="164">
      <c r="A164" s="220" t="inlineStr">
        <is>
          <t>راهنما:</t>
        </is>
      </c>
    </row>
    <row r="165">
      <c r="A165" s="240" t="n"/>
      <c r="B165" s="241" t="inlineStr">
        <is>
          <t>سلول ورودی — باید با عدد واقعی جایگزین شود</t>
        </is>
      </c>
    </row>
    <row r="166">
      <c r="A166" s="222" t="n"/>
      <c r="B166" s="241" t="inlineStr">
        <is>
          <t>سلول محاسبه‌شده (فرمول) — نیازی به ویرایش دستی نیست؛ قیمت واحد خودکار از شیت «قیمت‌ها و مفروضات» می‌آید (اولویت با «مبلغ واقعی» است)</t>
        </is>
      </c>
    </row>
  </sheetData>
  <mergeCells count="5">
    <mergeCell ref="B166:E166"/>
    <mergeCell ref="A2:E3"/>
    <mergeCell ref="A1:E1"/>
    <mergeCell ref="B165:E165"/>
    <mergeCell ref="A162:E162"/>
  </mergeCells>
  <pageMargins left="0.75" right="0.75" top="1" bottom="1" header="0.5" footer="0.5"/>
  <pageSetup orientation="portrait" fitToHeight="0" fitToWidth="1"/>
</worksheet>
</file>

<file path=xl/worksheets/sheet7.xml><?xml version="1.0" encoding="utf-8"?>
<worksheet xmlns="http://schemas.openxmlformats.org/spreadsheetml/2006/main">
  <sheetPr>
    <tabColor rgb="00C4622D"/>
    <outlinePr summaryBelow="1" summaryRight="1"/>
    <pageSetUpPr fitToPage="1"/>
  </sheetPr>
  <dimension ref="A1:H74"/>
  <sheetViews>
    <sheetView rightToLeft="1" workbookViewId="0">
      <selection activeCell="A1" sqref="A1"/>
    </sheetView>
  </sheetViews>
  <sheetFormatPr baseColWidth="8" defaultRowHeight="15"/>
  <cols>
    <col width="30" customWidth="1" style="151" min="1" max="1"/>
    <col width="20" customWidth="1" style="151" min="2" max="2"/>
    <col width="15" customWidth="1" style="151" min="3" max="3"/>
    <col width="15" customWidth="1" style="151" min="4" max="4"/>
    <col width="15" customWidth="1" style="151" min="5" max="5"/>
    <col width="17" customWidth="1" style="151" min="6" max="6"/>
    <col width="16" customWidth="1" style="151" min="7" max="7"/>
    <col width="20" customWidth="1" style="151" min="8" max="8"/>
  </cols>
  <sheetData>
    <row r="1">
      <c r="A1" s="209" t="inlineStr">
        <is>
          <t>تحلیل تکمیلی — نرخ واقعی، هزینه نسبت به فروش، مقایسه دوره و تأمین‌کننده</t>
        </is>
      </c>
    </row>
    <row r="2">
      <c r="A2" s="214" t="inlineStr">
        <is>
          <t>این شیت با استفاده از داده‌های ورودی شیت‌های «نصب و فروش» و «قیمت‌ها و مفروضات» محاسبه می‌شود. تا زمانی‌که آن ورودی‌ها (سلول‌های زرد) با آمار واقعی جایگزین نشوند، اعداد این صفحه صرفاً نمونه/صفر خواهند بود.</t>
        </is>
      </c>
    </row>
    <row r="3"/>
    <row r="5">
      <c r="A5" s="223" t="inlineStr">
        <is>
          <t>۰۱  |  نرخ واقعی خرابی — روش کوهورت (وزن‌دهی بر اساس مواجهه)</t>
        </is>
      </c>
    </row>
    <row r="6" ht="42" customHeight="1" s="151">
      <c r="A6" s="212" t="inlineStr">
        <is>
          <t>روش: به‌جای جمع‌زدن یک‌جای ۳۰ ماه نصب (که به دستگاه تازه‌نصب‌شده و دستگاه ۲۹ ماهه وزن یکسان می‌دهد)، برای هر یک از ۴ ماه کامل گزارش (فروردین تا تیر ۱۴۰۵ — مرداد چون ناقص است [فقط تا روز ۲۰ام] در این محاسبه نرخ لحاظ نشده) جداگانه محاسبه می‌کنیم «چند دستگاه در آن ماه واقعاً داخل بازه گارانتی بودند»، سپس این ۴ عدد را جمع می‌زنیم. دستگاه قدیمی‌تر در هر ۴ ماه حساب می‌شود (وزن ۴×)؛ دستگاه تازه‌نصب فقط در ماه نصبش (وزن ۱×). ستون «نرخ ساده» برای مقایسه با روش قبلی نگه داشته شده است.</t>
        </is>
      </c>
    </row>
    <row r="8">
      <c r="A8" s="207" t="inlineStr">
        <is>
          <t>نوع دستگاه</t>
        </is>
      </c>
      <c r="B8" s="207" t="inlineStr">
        <is>
          <t>مواجهه فروردین ۱۴۰۵</t>
        </is>
      </c>
      <c r="C8" s="207" t="inlineStr">
        <is>
          <t>مواجهه اردیبهشت ۱۴۰۵</t>
        </is>
      </c>
      <c r="D8" s="207" t="inlineStr">
        <is>
          <t>مواجهه خرداد ۱۴۰۵</t>
        </is>
      </c>
      <c r="E8" s="207" t="inlineStr">
        <is>
          <t>مواجهه تیر ۱۴۰۵</t>
        </is>
      </c>
      <c r="F8" s="207" t="inlineStr">
        <is>
          <t>کل مواجهه (نصب‌-ماه)</t>
        </is>
      </c>
    </row>
    <row r="9">
      <c r="A9" s="210" t="inlineStr">
        <is>
          <t>ماشين ظرفشويي</t>
        </is>
      </c>
      <c r="B9" s="217">
        <f>SUMIFS('نصب و فروش'!$D$6:$D$155,'نصب و فروش'!$C$6:$C$155,A9,'نصب و فروش'!$F$6:$F$155,"&gt;="&amp;16832,'نصب و فروش'!$F$6:$F$155,"&lt;="&amp;16861)</f>
        <v/>
      </c>
      <c r="C9" s="217">
        <f>SUMIFS('نصب و فروش'!$D$6:$D$155,'نصب و فروش'!$C$6:$C$155,A9,'نصب و فروش'!$F$6:$F$155,"&gt;="&amp;16833,'نصب و فروش'!$F$6:$F$155,"&lt;="&amp;16862)</f>
        <v/>
      </c>
      <c r="D9" s="217">
        <f>SUMIFS('نصب و فروش'!$D$6:$D$155,'نصب و فروش'!$C$6:$C$155,A9,'نصب و فروش'!$F$6:$F$155,"&gt;="&amp;16834,'نصب و فروش'!$F$6:$F$155,"&lt;="&amp;16863)</f>
        <v/>
      </c>
      <c r="E9" s="217">
        <f>SUMIFS('نصب و فروش'!$D$6:$D$155,'نصب و فروش'!$C$6:$C$155,A9,'نصب و فروش'!$F$6:$F$155,"&gt;="&amp;16835,'نصب و فروش'!$F$6:$F$155,"&lt;="&amp;16864)</f>
        <v/>
      </c>
      <c r="F9" s="224">
        <f>SUM(B9:E9)</f>
        <v/>
      </c>
    </row>
    <row r="10">
      <c r="A10" s="210" t="inlineStr">
        <is>
          <t>ماشين لباسشويي</t>
        </is>
      </c>
      <c r="B10" s="217">
        <f>SUMIFS('نصب و فروش'!$D$6:$D$155,'نصب و فروش'!$C$6:$C$155,A10,'نصب و فروش'!$F$6:$F$155,"&gt;="&amp;16832,'نصب و فروش'!$F$6:$F$155,"&lt;="&amp;16861)</f>
        <v/>
      </c>
      <c r="C10" s="217">
        <f>SUMIFS('نصب و فروش'!$D$6:$D$155,'نصب و فروش'!$C$6:$C$155,A10,'نصب و فروش'!$F$6:$F$155,"&gt;="&amp;16833,'نصب و فروش'!$F$6:$F$155,"&lt;="&amp;16862)</f>
        <v/>
      </c>
      <c r="D10" s="217">
        <f>SUMIFS('نصب و فروش'!$D$6:$D$155,'نصب و فروش'!$C$6:$C$155,A10,'نصب و فروش'!$F$6:$F$155,"&gt;="&amp;16834,'نصب و فروش'!$F$6:$F$155,"&lt;="&amp;16863)</f>
        <v/>
      </c>
      <c r="E10" s="217">
        <f>SUMIFS('نصب و فروش'!$D$6:$D$155,'نصب و فروش'!$C$6:$C$155,A10,'نصب و فروش'!$F$6:$F$155,"&gt;="&amp;16835,'نصب و فروش'!$F$6:$F$155,"&lt;="&amp;16864)</f>
        <v/>
      </c>
      <c r="F10" s="224">
        <f>SUM(B10:E10)</f>
        <v/>
      </c>
    </row>
    <row r="11">
      <c r="A11" s="210" t="inlineStr">
        <is>
          <t>یخچال ساید‌بای‌ساید</t>
        </is>
      </c>
      <c r="B11" s="217">
        <f>SUMIFS('نصب و فروش'!$D$6:$D$155,'نصب و فروش'!$C$6:$C$155,A11,'نصب و فروش'!$F$6:$F$155,"&gt;="&amp;16832,'نصب و فروش'!$F$6:$F$155,"&lt;="&amp;16861)</f>
        <v/>
      </c>
      <c r="C11" s="217">
        <f>SUMIFS('نصب و فروش'!$D$6:$D$155,'نصب و فروش'!$C$6:$C$155,A11,'نصب و فروش'!$F$6:$F$155,"&gt;="&amp;16833,'نصب و فروش'!$F$6:$F$155,"&lt;="&amp;16862)</f>
        <v/>
      </c>
      <c r="D11" s="217">
        <f>SUMIFS('نصب و فروش'!$D$6:$D$155,'نصب و فروش'!$C$6:$C$155,A11,'نصب و فروش'!$F$6:$F$155,"&gt;="&amp;16834,'نصب و فروش'!$F$6:$F$155,"&lt;="&amp;16863)</f>
        <v/>
      </c>
      <c r="E11" s="217">
        <f>SUMIFS('نصب و فروش'!$D$6:$D$155,'نصب و فروش'!$C$6:$C$155,A11,'نصب و فروش'!$F$6:$F$155,"&gt;="&amp;16835,'نصب و فروش'!$F$6:$F$155,"&lt;="&amp;16864)</f>
        <v/>
      </c>
      <c r="F11" s="224">
        <f>SUM(B11:E11)</f>
        <v/>
      </c>
    </row>
    <row r="12">
      <c r="A12" s="210" t="inlineStr">
        <is>
          <t>يخچال ميني</t>
        </is>
      </c>
      <c r="B12" s="217">
        <f>SUMIFS('نصب و فروش'!$D$6:$D$155,'نصب و فروش'!$C$6:$C$155,A12,'نصب و فروش'!$F$6:$F$155,"&gt;="&amp;16832,'نصب و فروش'!$F$6:$F$155,"&lt;="&amp;16861)</f>
        <v/>
      </c>
      <c r="C12" s="217">
        <f>SUMIFS('نصب و فروش'!$D$6:$D$155,'نصب و فروش'!$C$6:$C$155,A12,'نصب و فروش'!$F$6:$F$155,"&gt;="&amp;16833,'نصب و فروش'!$F$6:$F$155,"&lt;="&amp;16862)</f>
        <v/>
      </c>
      <c r="D12" s="217">
        <f>SUMIFS('نصب و فروش'!$D$6:$D$155,'نصب و فروش'!$C$6:$C$155,A12,'نصب و فروش'!$F$6:$F$155,"&gt;="&amp;16834,'نصب و فروش'!$F$6:$F$155,"&lt;="&amp;16863)</f>
        <v/>
      </c>
      <c r="E12" s="217">
        <f>SUMIFS('نصب و فروش'!$D$6:$D$155,'نصب و فروش'!$C$6:$C$155,A12,'نصب و فروش'!$F$6:$F$155,"&gt;="&amp;16835,'نصب و فروش'!$F$6:$F$155,"&lt;="&amp;16864)</f>
        <v/>
      </c>
      <c r="F12" s="224">
        <f>SUM(B12:E12)</f>
        <v/>
      </c>
    </row>
    <row r="13">
      <c r="A13" s="210" t="inlineStr">
        <is>
          <t>تلویزیون</t>
        </is>
      </c>
      <c r="B13" s="217">
        <f>SUMIFS('نصب و فروش'!$D$6:$D$155,'نصب و فروش'!$C$6:$C$155,A13,'نصب و فروش'!$F$6:$F$155,"&gt;="&amp;16832,'نصب و فروش'!$F$6:$F$155,"&lt;="&amp;16861)</f>
        <v/>
      </c>
      <c r="C13" s="217">
        <f>SUMIFS('نصب و فروش'!$D$6:$D$155,'نصب و فروش'!$C$6:$C$155,A13,'نصب و فروش'!$F$6:$F$155,"&gt;="&amp;16833,'نصب و فروش'!$F$6:$F$155,"&lt;="&amp;16862)</f>
        <v/>
      </c>
      <c r="D13" s="217">
        <f>SUMIFS('نصب و فروش'!$D$6:$D$155,'نصب و فروش'!$C$6:$C$155,A13,'نصب و فروش'!$F$6:$F$155,"&gt;="&amp;16834,'نصب و فروش'!$F$6:$F$155,"&lt;="&amp;16863)</f>
        <v/>
      </c>
      <c r="E13" s="217">
        <f>SUMIFS('نصب و فروش'!$D$6:$D$155,'نصب و فروش'!$C$6:$C$155,A13,'نصب و فروش'!$F$6:$F$155,"&gt;="&amp;16835,'نصب و فروش'!$F$6:$F$155,"&lt;="&amp;16864)</f>
        <v/>
      </c>
      <c r="F13" s="224">
        <f>SUM(B13:E13)</f>
        <v/>
      </c>
    </row>
    <row r="16">
      <c r="A16" s="207" t="inlineStr">
        <is>
          <t>نوع دستگاه</t>
        </is>
      </c>
      <c r="B16" s="207" t="inlineStr">
        <is>
          <t>کل مواجهه (نصب‌-ماه)</t>
        </is>
      </c>
      <c r="C16" s="207" t="inlineStr">
        <is>
          <t>تعداد تعمیر گارانتی</t>
        </is>
      </c>
      <c r="D16" s="207" t="inlineStr">
        <is>
          <t>نرخ واقعی (کوهورت، این ۴ ماه)</t>
        </is>
      </c>
      <c r="E16" s="207" t="inlineStr">
        <is>
          <t>نرخ ساده (بدون وزن سن)</t>
        </is>
      </c>
    </row>
    <row r="17">
      <c r="A17" s="210" t="inlineStr">
        <is>
          <t>ماشين ظرفشويي</t>
        </is>
      </c>
      <c r="B17" s="217">
        <f>F9</f>
        <v/>
      </c>
      <c r="C17" s="217">
        <f>COUNTIF('داده خام'!$C$2:$C$456,A17)</f>
        <v/>
      </c>
      <c r="D17" s="225">
        <f>IFERROR(IF(C17/B17*4&gt;0.5,"⚠ داده ناکافی",C17/B17*4),"—")</f>
        <v/>
      </c>
      <c r="E17" s="226">
        <f>IFERROR(IF(C17/SUMIFS('نصب و فروش'!$D$6:$D$155,'نصب و فروش'!$C$6:$C$155,A17)&gt;0.5,"⚠ داده ناکافی",C17/SUMIFS('نصب و فروش'!$D$6:$D$155,'نصب و فروش'!$C$6:$C$155,A17)),"—")</f>
        <v/>
      </c>
    </row>
    <row r="18">
      <c r="A18" s="210" t="inlineStr">
        <is>
          <t>ماشين لباسشويي</t>
        </is>
      </c>
      <c r="B18" s="217">
        <f>F10</f>
        <v/>
      </c>
      <c r="C18" s="217">
        <f>COUNTIF('داده خام'!$C$2:$C$456,A18)</f>
        <v/>
      </c>
      <c r="D18" s="225">
        <f>IFERROR(IF(C18/B18*4&gt;0.5,"⚠ داده ناکافی",C18/B18*4),"—")</f>
        <v/>
      </c>
      <c r="E18" s="226">
        <f>IFERROR(IF(C18/SUMIFS('نصب و فروش'!$D$6:$D$155,'نصب و فروش'!$C$6:$C$155,A18)&gt;0.5,"⚠ داده ناکافی",C18/SUMIFS('نصب و فروش'!$D$6:$D$155,'نصب و فروش'!$C$6:$C$155,A18)),"—")</f>
        <v/>
      </c>
    </row>
    <row r="19">
      <c r="A19" s="210" t="inlineStr">
        <is>
          <t>یخچال ساید‌بای‌ساید</t>
        </is>
      </c>
      <c r="B19" s="217">
        <f>F11</f>
        <v/>
      </c>
      <c r="C19" s="217">
        <f>COUNTIF('داده خام'!$C$2:$C$456,A19)</f>
        <v/>
      </c>
      <c r="D19" s="225">
        <f>IFERROR(IF(C19/B19*4&gt;0.5,"⚠ داده ناکافی",C19/B19*4),"—")</f>
        <v/>
      </c>
      <c r="E19" s="226">
        <f>IFERROR(IF(C19/SUMIFS('نصب و فروش'!$D$6:$D$155,'نصب و فروش'!$C$6:$C$155,A19)&gt;0.5,"⚠ داده ناکافی",C19/SUMIFS('نصب و فروش'!$D$6:$D$155,'نصب و فروش'!$C$6:$C$155,A19)),"—")</f>
        <v/>
      </c>
    </row>
    <row r="20">
      <c r="A20" s="210" t="inlineStr">
        <is>
          <t>يخچال ميني</t>
        </is>
      </c>
      <c r="B20" s="217">
        <f>F12</f>
        <v/>
      </c>
      <c r="C20" s="217">
        <f>COUNTIF('داده خام'!$C$2:$C$456,A20)</f>
        <v/>
      </c>
      <c r="D20" s="225">
        <f>IFERROR(IF(C20/B20*4&gt;0.5,"⚠ داده ناکافی",C20/B20*4),"—")</f>
        <v/>
      </c>
      <c r="E20" s="226">
        <f>IFERROR(IF(C20/SUMIFS('نصب و فروش'!$D$6:$D$155,'نصب و فروش'!$C$6:$C$155,A20)&gt;0.5,"⚠ داده ناکافی",C20/SUMIFS('نصب و فروش'!$D$6:$D$155,'نصب و فروش'!$C$6:$C$155,A20)),"—")</f>
        <v/>
      </c>
    </row>
    <row r="21">
      <c r="A21" s="210" t="inlineStr">
        <is>
          <t>تلویزیون</t>
        </is>
      </c>
      <c r="B21" s="217">
        <f>F13</f>
        <v/>
      </c>
      <c r="C21" s="217">
        <f>COUNTIF('داده خام'!$C$2:$C$456,A21)</f>
        <v/>
      </c>
      <c r="D21" s="225">
        <f>IFERROR(IF(C21/B21*4&gt;0.5,"⚠ داده ناکافی",C21/B21*4),"—")</f>
        <v/>
      </c>
      <c r="E21" s="226">
        <f>IFERROR(IF(C21/SUMIFS('نصب و فروش'!$D$6:$D$155,'نصب و فروش'!$C$6:$C$155,A21)&gt;0.5,"⚠ داده ناکافی",C21/SUMIFS('نصب و فروش'!$D$6:$D$155,'نصب و فروش'!$C$6:$C$155,A21)),"—")</f>
        <v/>
      </c>
    </row>
    <row r="24">
      <c r="A24" s="223" t="inlineStr">
        <is>
          <t>۰۲  |  هزینه گارانتی به‌عنوان درصد ارزش فروش</t>
        </is>
      </c>
    </row>
    <row r="26">
      <c r="A26" s="227" t="inlineStr">
        <is>
          <t>ارزش کل فروش (30 ماه اخیر، تومان)</t>
        </is>
      </c>
      <c r="B26" s="217">
        <f>SUMPRODUCT('نصب و فروش'!$D$6:$D$155,'نصب و فروش'!$E$6:$E$155)</f>
        <v/>
      </c>
    </row>
    <row r="27">
      <c r="A27" s="227" t="inlineStr">
        <is>
          <t>هزینه گارانتی کل — دوره فعلی (تومان)</t>
        </is>
      </c>
      <c r="B27" s="217">
        <f>'تحلیل'!C140</f>
        <v/>
      </c>
    </row>
    <row r="28">
      <c r="A28" s="228" t="inlineStr">
        <is>
          <t>هزینه گارانتی به‌عنوان درصد ارزش فروش</t>
        </is>
      </c>
      <c r="B28" s="229">
        <f>IFERROR(B27/B26,"—")</f>
        <v/>
      </c>
    </row>
    <row r="30">
      <c r="A30" s="223" t="inlineStr">
        <is>
          <t>۰۳  |  مقایسه با دوره قبل</t>
        </is>
      </c>
    </row>
    <row r="32">
      <c r="A32" s="207" t="inlineStr">
        <is>
          <t>شاخص</t>
        </is>
      </c>
      <c r="B32" s="207" t="inlineStr">
        <is>
          <t>دوره قبل</t>
        </is>
      </c>
      <c r="C32" s="207" t="inlineStr">
        <is>
          <t>دوره فعلی</t>
        </is>
      </c>
      <c r="D32" s="207" t="inlineStr">
        <is>
          <t>تغییر (٪)</t>
        </is>
      </c>
    </row>
    <row r="33">
      <c r="A33" s="210" t="inlineStr">
        <is>
          <t>تعداد مراجعه گارانتی</t>
        </is>
      </c>
      <c r="B33" s="217">
        <f>'قیمت‌ها و مفروضات'!B69</f>
        <v/>
      </c>
      <c r="C33" s="231">
        <f>COUNTA('داده خام'!A2:A456)</f>
        <v/>
      </c>
      <c r="D33" s="232">
        <f>IFERROR((C33-B33)/B33,"—")</f>
        <v/>
      </c>
    </row>
    <row r="34">
      <c r="A34" s="210" t="inlineStr">
        <is>
          <t>هزینه گارانتی کل (تومان)</t>
        </is>
      </c>
      <c r="B34" s="217">
        <f>'قیمت‌ها و مفروضات'!B70</f>
        <v/>
      </c>
      <c r="C34" s="217">
        <f>B27</f>
        <v/>
      </c>
      <c r="D34" s="232">
        <f>IFERROR((C34-B34)/B34,"—")</f>
        <v/>
      </c>
    </row>
    <row r="35">
      <c r="A35" s="210" t="inlineStr">
        <is>
          <t>میانگین هزینه هر مراجعه (تومان)</t>
        </is>
      </c>
      <c r="B35" s="217">
        <f>IFERROR(B34/B33,"—")</f>
        <v/>
      </c>
      <c r="C35" s="217">
        <f>IFERROR(C34/C33,"—")</f>
        <v/>
      </c>
      <c r="D35" s="232">
        <f>IFERROR((C35-B35)/B35,"—")</f>
        <v/>
      </c>
    </row>
    <row r="38">
      <c r="A38" s="223" t="inlineStr">
        <is>
          <t>۰۴  |  تحلیل بر اساس تأمین‌کننده</t>
        </is>
      </c>
    </row>
    <row r="39">
      <c r="A39" s="212" t="inlineStr">
        <is>
          <t>ستون «تأمین‌کننده» را در شیت «قیمت‌ها و مفروضات» (ستون E، ردیف‌های ۱۸ تا ۶۳) مقابل هر دسته علت خرابی پر کنید تا این جدول به‌طور خودکار بر اساس تأمین‌کننده جمع‌بندی شود.</t>
        </is>
      </c>
    </row>
    <row r="41">
      <c r="A41" s="207" t="inlineStr">
        <is>
          <t>تأمین‌کننده</t>
        </is>
      </c>
      <c r="B41" s="207" t="inlineStr">
        <is>
          <t>تعداد موارد</t>
        </is>
      </c>
      <c r="C41" s="207" t="inlineStr">
        <is>
          <t>هزینه کل (تومان)</t>
        </is>
      </c>
    </row>
    <row r="42">
      <c r="A42" s="208" t="inlineStr"/>
      <c r="B42" s="217">
        <f>IF(A42="","",SUMIF('قیمت‌ها و مفروضات'!$E$18:$E$63,A42,'قیمت‌ها و مفروضات'!$Z$18:$Z$63))</f>
        <v/>
      </c>
      <c r="C42" s="217">
        <f>IF(A42="","",SUMIF('قیمت‌ها و مفروضات'!$E$18:$E$63,A42,'قیمت‌ها و مفروضات'!$AA$18:$AA$63))</f>
        <v/>
      </c>
    </row>
    <row r="43">
      <c r="A43" s="208" t="inlineStr"/>
      <c r="B43" s="217">
        <f>IF(A43="","",SUMIF('قیمت‌ها و مفروضات'!$E$18:$E$63,A43,'قیمت‌ها و مفروضات'!$Z$18:$Z$63))</f>
        <v/>
      </c>
      <c r="C43" s="217">
        <f>IF(A43="","",SUMIF('قیمت‌ها و مفروضات'!$E$18:$E$63,A43,'قیمت‌ها و مفروضات'!$AA$18:$AA$63))</f>
        <v/>
      </c>
    </row>
    <row r="44">
      <c r="A44" s="208" t="inlineStr"/>
      <c r="B44" s="217">
        <f>IF(A44="","",SUMIF('قیمت‌ها و مفروضات'!$E$18:$E$63,A44,'قیمت‌ها و مفروضات'!$Z$18:$Z$63))</f>
        <v/>
      </c>
      <c r="C44" s="217">
        <f>IF(A44="","",SUMIF('قیمت‌ها و مفروضات'!$E$18:$E$63,A44,'قیمت‌ها و مفروضات'!$AA$18:$AA$63))</f>
        <v/>
      </c>
    </row>
    <row r="45">
      <c r="A45" s="208" t="inlineStr"/>
      <c r="B45" s="217">
        <f>IF(A45="","",SUMIF('قیمت‌ها و مفروضات'!$E$18:$E$63,A45,'قیمت‌ها و مفروضات'!$Z$18:$Z$63))</f>
        <v/>
      </c>
      <c r="C45" s="217">
        <f>IF(A45="","",SUMIF('قیمت‌ها و مفروضات'!$E$18:$E$63,A45,'قیمت‌ها و مفروضات'!$AA$18:$AA$63))</f>
        <v/>
      </c>
    </row>
    <row r="46">
      <c r="A46" s="208" t="inlineStr"/>
      <c r="B46" s="217">
        <f>IF(A46="","",SUMIF('قیمت‌ها و مفروضات'!$E$18:$E$63,A46,'قیمت‌ها و مفروضات'!$Z$18:$Z$63))</f>
        <v/>
      </c>
      <c r="C46" s="217">
        <f>IF(A46="","",SUMIF('قیمت‌ها و مفروضات'!$E$18:$E$63,A46,'قیمت‌ها و مفروضات'!$AA$18:$AA$63))</f>
        <v/>
      </c>
    </row>
    <row r="47">
      <c r="A47" s="208" t="inlineStr"/>
      <c r="B47" s="217">
        <f>IF(A47="","",SUMIF('قیمت‌ها و مفروضات'!$E$18:$E$63,A47,'قیمت‌ها و مفروضات'!$Z$18:$Z$63))</f>
        <v/>
      </c>
      <c r="C47" s="217">
        <f>IF(A47="","",SUMIF('قیمت‌ها و مفروضات'!$E$18:$E$63,A47,'قیمت‌ها و مفروضات'!$AA$18:$AA$63))</f>
        <v/>
      </c>
    </row>
    <row r="48">
      <c r="A48" s="208" t="inlineStr"/>
      <c r="B48" s="217">
        <f>IF(A48="","",SUMIF('قیمت‌ها و مفروضات'!$E$18:$E$63,A48,'قیمت‌ها و مفروضات'!$Z$18:$Z$63))</f>
        <v/>
      </c>
      <c r="C48" s="217">
        <f>IF(A48="","",SUMIF('قیمت‌ها و مفروضات'!$E$18:$E$63,A48,'قیمت‌ها و مفروضات'!$AA$18:$AA$63))</f>
        <v/>
      </c>
    </row>
    <row r="49">
      <c r="A49" s="208" t="inlineStr"/>
      <c r="B49" s="217">
        <f>IF(A49="","",SUMIF('قیمت‌ها و مفروضات'!$E$18:$E$63,A49,'قیمت‌ها و مفروضات'!$Z$18:$Z$63))</f>
        <v/>
      </c>
      <c r="C49" s="217">
        <f>IF(A49="","",SUMIF('قیمت‌ها و مفروضات'!$E$18:$E$63,A49,'قیمت‌ها و مفروضات'!$AA$18:$AA$63))</f>
        <v/>
      </c>
    </row>
    <row r="52">
      <c r="A52" s="223" t="inlineStr">
        <is>
          <t>۰۵  |  عملکرد تکنسین/نصاب و تحلیل منطقه‌ای</t>
        </is>
      </c>
    </row>
    <row r="53">
      <c r="A53" s="212" t="inlineStr">
        <is>
          <t>ستون‌های «کد تکنسین/نصاب» و «شهر/منطقه نصب» را در شیت «داده خام» (ستون‌های W و X) برای هر مورد پر کنید — این دو جدول به‌طور خودکار بر همان اساس جمع‌بندی می‌شوند.</t>
        </is>
      </c>
    </row>
    <row r="55">
      <c r="A55" s="207" t="inlineStr">
        <is>
          <t>کد تکنسین/نصاب</t>
        </is>
      </c>
      <c r="B55" s="207" t="inlineStr">
        <is>
          <t>تعداد مراجعه</t>
        </is>
      </c>
      <c r="C55" s="207" t="inlineStr">
        <is>
          <t>هزینه کل (تومان)</t>
        </is>
      </c>
    </row>
    <row r="56">
      <c r="A56" s="208" t="inlineStr"/>
      <c r="B56" s="217">
        <f>IF(A56="","",COUNTIF('داده خام'!$W$2:$W$456,A56))</f>
        <v/>
      </c>
      <c r="C56" s="217">
        <f>IF(A56="","",SUMIF('داده خام'!$W$2:$W$456,A56,'داده خام'!$T$2:$T$456))</f>
        <v/>
      </c>
    </row>
    <row r="57">
      <c r="A57" s="208" t="inlineStr"/>
      <c r="B57" s="217">
        <f>IF(A57="","",COUNTIF('داده خام'!$W$2:$W$456,A57))</f>
        <v/>
      </c>
      <c r="C57" s="217">
        <f>IF(A57="","",SUMIF('داده خام'!$W$2:$W$456,A57,'داده خام'!$T$2:$T$456))</f>
        <v/>
      </c>
    </row>
    <row r="58">
      <c r="A58" s="208" t="inlineStr"/>
      <c r="B58" s="217">
        <f>IF(A58="","",COUNTIF('داده خام'!$W$2:$W$456,A58))</f>
        <v/>
      </c>
      <c r="C58" s="217">
        <f>IF(A58="","",SUMIF('داده خام'!$W$2:$W$456,A58,'داده خام'!$T$2:$T$456))</f>
        <v/>
      </c>
    </row>
    <row r="59">
      <c r="A59" s="208" t="inlineStr"/>
      <c r="B59" s="217">
        <f>IF(A59="","",COUNTIF('داده خام'!$W$2:$W$456,A59))</f>
        <v/>
      </c>
      <c r="C59" s="217">
        <f>IF(A59="","",SUMIF('داده خام'!$W$2:$W$456,A59,'داده خام'!$T$2:$T$456))</f>
        <v/>
      </c>
    </row>
    <row r="60">
      <c r="A60" s="208" t="inlineStr"/>
      <c r="B60" s="217">
        <f>IF(A60="","",COUNTIF('داده خام'!$W$2:$W$456,A60))</f>
        <v/>
      </c>
      <c r="C60" s="217">
        <f>IF(A60="","",SUMIF('داده خام'!$W$2:$W$456,A60,'داده خام'!$T$2:$T$456))</f>
        <v/>
      </c>
    </row>
    <row r="61">
      <c r="A61" s="208" t="inlineStr"/>
      <c r="B61" s="217">
        <f>IF(A61="","",COUNTIF('داده خام'!$W$2:$W$456,A61))</f>
        <v/>
      </c>
      <c r="C61" s="217">
        <f>IF(A61="","",SUMIF('داده خام'!$W$2:$W$456,A61,'داده خام'!$T$2:$T$456))</f>
        <v/>
      </c>
    </row>
    <row r="62">
      <c r="A62" s="208" t="inlineStr"/>
      <c r="B62" s="217">
        <f>IF(A62="","",COUNTIF('داده خام'!$W$2:$W$456,A62))</f>
        <v/>
      </c>
      <c r="C62" s="217">
        <f>IF(A62="","",SUMIF('داده خام'!$W$2:$W$456,A62,'داده خام'!$T$2:$T$456))</f>
        <v/>
      </c>
    </row>
    <row r="63">
      <c r="A63" s="208" t="inlineStr"/>
      <c r="B63" s="217">
        <f>IF(A63="","",COUNTIF('داده خام'!$W$2:$W$456,A63))</f>
        <v/>
      </c>
      <c r="C63" s="217">
        <f>IF(A63="","",SUMIF('داده خام'!$W$2:$W$456,A63,'داده خام'!$T$2:$T$456))</f>
        <v/>
      </c>
    </row>
    <row r="66">
      <c r="A66" s="207" t="inlineStr">
        <is>
          <t>شهر/منطقه</t>
        </is>
      </c>
      <c r="B66" s="207" t="inlineStr">
        <is>
          <t>تعداد مراجعه</t>
        </is>
      </c>
      <c r="C66" s="207" t="inlineStr">
        <is>
          <t>هزینه کل (تومان)</t>
        </is>
      </c>
    </row>
    <row r="67">
      <c r="A67" s="208" t="inlineStr"/>
      <c r="B67" s="217">
        <f>IF(A67="","",COUNTIF('داده خام'!$X$2:$X$456,A67))</f>
        <v/>
      </c>
      <c r="C67" s="217">
        <f>IF(A67="","",SUMIF('داده خام'!$X$2:$X$456,A67,'داده خام'!$T$2:$T$456))</f>
        <v/>
      </c>
    </row>
    <row r="68">
      <c r="A68" s="208" t="inlineStr"/>
      <c r="B68" s="217">
        <f>IF(A68="","",COUNTIF('داده خام'!$X$2:$X$456,A68))</f>
        <v/>
      </c>
      <c r="C68" s="217">
        <f>IF(A68="","",SUMIF('داده خام'!$X$2:$X$456,A68,'داده خام'!$T$2:$T$456))</f>
        <v/>
      </c>
    </row>
    <row r="69">
      <c r="A69" s="208" t="inlineStr"/>
      <c r="B69" s="217">
        <f>IF(A69="","",COUNTIF('داده خام'!$X$2:$X$456,A69))</f>
        <v/>
      </c>
      <c r="C69" s="217">
        <f>IF(A69="","",SUMIF('داده خام'!$X$2:$X$456,A69,'داده خام'!$T$2:$T$456))</f>
        <v/>
      </c>
    </row>
    <row r="70">
      <c r="A70" s="208" t="inlineStr"/>
      <c r="B70" s="217">
        <f>IF(A70="","",COUNTIF('داده خام'!$X$2:$X$456,A70))</f>
        <v/>
      </c>
      <c r="C70" s="217">
        <f>IF(A70="","",SUMIF('داده خام'!$X$2:$X$456,A70,'داده خام'!$T$2:$T$456))</f>
        <v/>
      </c>
    </row>
    <row r="71">
      <c r="A71" s="208" t="inlineStr"/>
      <c r="B71" s="217">
        <f>IF(A71="","",COUNTIF('داده خام'!$X$2:$X$456,A71))</f>
        <v/>
      </c>
      <c r="C71" s="217">
        <f>IF(A71="","",SUMIF('داده خام'!$X$2:$X$456,A71,'داده خام'!$T$2:$T$456))</f>
        <v/>
      </c>
    </row>
    <row r="72">
      <c r="A72" s="208" t="inlineStr"/>
      <c r="B72" s="217">
        <f>IF(A72="","",COUNTIF('داده خام'!$X$2:$X$456,A72))</f>
        <v/>
      </c>
      <c r="C72" s="217">
        <f>IF(A72="","",SUMIF('داده خام'!$X$2:$X$456,A72,'داده خام'!$T$2:$T$456))</f>
        <v/>
      </c>
    </row>
    <row r="73">
      <c r="A73" s="208" t="inlineStr"/>
      <c r="B73" s="217">
        <f>IF(A73="","",COUNTIF('داده خام'!$X$2:$X$456,A73))</f>
        <v/>
      </c>
      <c r="C73" s="217">
        <f>IF(A73="","",SUMIF('داده خام'!$X$2:$X$456,A73,'داده خام'!$T$2:$T$456))</f>
        <v/>
      </c>
    </row>
    <row r="74">
      <c r="A74" s="208" t="inlineStr"/>
      <c r="B74" s="217">
        <f>IF(A74="","",COUNTIF('داده خام'!$X$2:$X$456,A74))</f>
        <v/>
      </c>
      <c r="C74" s="217">
        <f>IF(A74="","",SUMIF('داده خام'!$X$2:$X$456,A74,'داده خام'!$T$2:$T$456))</f>
        <v/>
      </c>
    </row>
  </sheetData>
  <mergeCells count="10">
    <mergeCell ref="A30:E30"/>
    <mergeCell ref="A39:E39"/>
    <mergeCell ref="A53:E53"/>
    <mergeCell ref="A1:G1"/>
    <mergeCell ref="A24:E24"/>
    <mergeCell ref="A38:E38"/>
    <mergeCell ref="A52:E52"/>
    <mergeCell ref="A2:G3"/>
    <mergeCell ref="A5:H5"/>
    <mergeCell ref="A6:H6"/>
  </mergeCells>
  <pageMargins left="0.75" right="0.75" top="1" bottom="1" header="0.5" footer="0.5"/>
  <pageSetup orientation="portrait" fitToHeight="0" fitToWidth="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2026-07-02T21:45:19Z</dcterms:created>
  <dcterms:modified xmlns:dcterms="http://purl.org/dc/terms/" xmlns:xsi="http://www.w3.org/2001/XMLSchema-instance" xsi:type="dcterms:W3CDTF">2026-09-19T09:37:51Z</dcterms:modified>
  <cp:revision>5</cp:revision>
  <cp:lastPrinted>2026-08-10T07:44:09Z</cp:lastPrinted>
</cp:coreProperties>
</file>